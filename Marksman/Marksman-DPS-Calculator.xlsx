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Marksman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Archer Mastery/Bow Acceleration)</t>
        </is>
      </c>
      <c r="B11" s="6" t="n">
        <v>0</v>
      </c>
    </row>
    <row r="12">
      <c r="A12" s="5" t="inlineStr">
        <is>
          <t>Flat DEX (include Soul Arrow: Bow's own bonus if unlocked)</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TriggersBoltSurplus</t>
        </is>
      </c>
      <c r="V1" s="9" t="inlineStr">
        <is>
          <t>MapleHeroBase(tenths%)</t>
        </is>
      </c>
      <c r="W1" s="9" t="inlineStr">
        <is>
          <t>MapleHeroFactorIndex</t>
        </is>
      </c>
      <c r="X1" s="9"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T1" t="inlineStr">
        <is>
          <t>BossOnlyDPS</t>
        </is>
      </c>
      <c r="V1" t="inlineStr">
        <is>
          <t>NormalOnlyDPS</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J2*(1+Summary!$B$51/100)*(1+Inputs!$B$15/100)*(1+Inputs!$B$16/100)*(5000/(6000+Inputs!$B$42*(1-Inputs!$B$19/100)))*(1+(Inputs!$B$24+Summary!$B$65)/100)*(1+(IF(Skills!A2="EMPOWERED_PIERCING_ARROW",Inputs!$B$17,Inputs!$B$18))/100)*(Summary!$B$57*I2)</f>
        <v/>
      </c>
      <c r="L2">
        <f>K2*(MIN(Inputs!$B$22,Inputs!$B$23)/100+Inputs!$B$23/100)/2</f>
        <v/>
      </c>
      <c r="M2">
        <f>L2*(1+(Inputs!$B$10+Summary!$B$64)/100)</f>
        <v/>
      </c>
      <c r="N2">
        <f>L2*(1-MIN((Inputs!$B$9+Summary!$B$58),100)/100)+M2*(MIN((Inputs!$B$9+Summary!$B$58),100)/100)</f>
        <v/>
      </c>
      <c r="O2">
        <f>(1-Summary!$B$55)*T2+Summary!$B$55*V2</f>
        <v/>
      </c>
      <c r="P2">
        <f>IF(Summary!$B$3=0,0,O2/Summary!$B$3)</f>
        <v/>
      </c>
      <c r="Q2" t="n">
        <v>0</v>
      </c>
      <c r="R2" t="n">
        <v>0</v>
      </c>
      <c r="S2">
        <f>IFERROR((Skills!G2*N2*Summary!$B$63)/N2*IF(Inputs!$B$38="pvp",1,(1-Summary!$B$55)*1+Summary!$B$55*(MIN(Skills!R2,Inputs!$B$37))),0)</f>
        <v/>
      </c>
      <c r="T2">
        <f>IF(C2,(Skills!G2*N2*Summary!$B$63)*IF(Inputs!$B$38="pvp",1,1+(Inputs!$B$20+Skills!P2+Summary!$B$59)/100),0)</f>
        <v/>
      </c>
      <c r="V2">
        <f>IF(C2,(Skills!G2*N2*Summary!$B$63)*IF(Inputs!$B$38="pvp",1,(1+(Inputs!$B$21+Skills!Q2+Summary!$B$59)/100)*(MIN(Skills!R2,Inputs!$B$37))),0)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J5*(1+Summary!$B$51/100)*(1+Inputs!$B$15/100)*(1+Inputs!$B$16/100)*(5000/(6000+Inputs!$B$42*(1-Inputs!$B$19/100)))*(1+(Inputs!$B$24+Summary!$B$65)/100)*(1+4.0*IF(C8=TRUE,F8,0)/100)*(1+(IF(Skills!A5="EMPOWERED_PIERCING_ARROW",Inputs!$B$17,Inputs!$B$18))/100)*(Summary!$B$57*I5)</f>
        <v/>
      </c>
      <c r="L5">
        <f>K5*(MIN(Inputs!$B$22,Inputs!$B$23)/100+Inputs!$B$23/100)/2</f>
        <v/>
      </c>
      <c r="M5">
        <f>L5*(1+(Inputs!$B$10+Summary!$B$64)/100)</f>
        <v/>
      </c>
      <c r="N5">
        <f>L5*(1-MIN((Inputs!$B$9+Summary!$B$58),100)/100)+M5*(MIN((Inputs!$B$9+Summary!$B$58),100)/100)</f>
        <v/>
      </c>
      <c r="O5">
        <f>(1-Summary!$B$55)*T5+Summary!$B$55*V5</f>
        <v/>
      </c>
      <c r="P5">
        <f>IF(Summary!$B$3=0,0,O5/Summary!$B$3)</f>
        <v/>
      </c>
      <c r="Q5">
        <f>IFERROR(1/IF(Inputs!$B$38="pvp",15,MAX(0.1,Skills!D5-IF(Skills!E5=TRUE,Inputs!$B$32,0))),0)</f>
        <v/>
      </c>
      <c r="R5">
        <f>IF(AND(Inputs!$B$38&lt;&gt;"pvp",Inputs!$B$43&gt;0),IF(MAX(0,Inputs!$B$43-Summary!$B$67)&lt;=0,0,(INT(MAX(0,Inputs!$B$43-Summary!$B$67)/IF(Inputs!$B$38="pvp",15,MAX(0.1,Skills!D5-IF(Skills!E5=TRUE,Inputs!$B$32,0))))+1)),0)</f>
        <v/>
      </c>
      <c r="S5">
        <f>IFERROR((H5*N5*IF(AND(Inputs!$B$38&lt;&gt;"pvp",Inputs!$B$43&gt;0),((Skills!G5*((R5-1)*IF(Skills!H5&gt;0,Skills!I5/Skills!H5,1)+IF(Skills!H5&gt;0,MIN(Skills!I5,MAX(0,MAX(0,Inputs!$B$43-Summary!$B$67)-((R5-1)*IF(Inputs!$B$38="pvp",15,MAX(0.1,Skills!D5-IF(Skills!E5=TRUE,Inputs!$B$32,0))))))/Skills!H5,1)))/Inputs!$B$43),G5*Q5))/N5*IF(Inputs!$B$38="pvp",1,(1-Summary!$B$55)*1+Summary!$B$55*(MIN(Skills!R5,Inputs!$B$37))),0)</f>
        <v/>
      </c>
      <c r="T5">
        <f>IF(C5,(H5*N5*IF(AND(Inputs!$B$38&lt;&gt;"pvp",Inputs!$B$43&gt;0),((Skills!G5*((R5-1)*IF(Skills!H5&gt;0,Skills!I5/Skills!H5,1)+IF(Skills!H5&gt;0,MIN(Skills!I5,MAX(0,MAX(0,Inputs!$B$43-Summary!$B$67)-((R5-1)*IF(Inputs!$B$38="pvp",15,MAX(0.1,Skills!D5-IF(Skills!E5=TRUE,Inputs!$B$32,0))))))/Skills!H5,1)))/Inputs!$B$43),G5*Q5))*IF(Inputs!$B$38="pvp",1,1+(Inputs!$B$20+Skills!P5+Summary!$B$59)/100),0)</f>
        <v/>
      </c>
      <c r="V5">
        <f>IF(C5,(H5*N5*IF(AND(Inputs!$B$38&lt;&gt;"pvp",Inputs!$B$43&gt;0),((Skills!G5*((R5-1)*IF(Skills!H5&gt;0,Skills!I5/Skills!H5,1)+IF(Skills!H5&gt;0,MIN(Skills!I5,MAX(0,MAX(0,Inputs!$B$43-Summary!$B$67)-((R5-1)*IF(Inputs!$B$38="pvp",15,MAX(0.1,Skills!D5-IF(Skills!E5=TRUE,Inputs!$B$32,0))))))/Skills!H5,1)))/Inputs!$B$43),G5*Q5))*IF(Inputs!$B$38="pvp",1,(1+(Inputs!$B$21+Skills!Q5+Summary!$B$59)/100)*(MIN(Skills!R5,Inputs!$B$37))),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J6*(1+Summary!$B$51/100)*(1+Inputs!$B$15/100)*(1+Inputs!$B$16/100)*(5000/(6000+Inputs!$B$42*(1-Inputs!$B$19/100)))*(1+(Inputs!$B$24+Summary!$B$65)/100)*(1+1.0*IF(C8=TRUE,F8,0)/100)*(1+(IF(Skills!A6="EMPOWERED_PIERCING_ARROW",Inputs!$B$17,Inputs!$B$18))/100)*(Summary!$B$57*I6)</f>
        <v/>
      </c>
      <c r="L6">
        <f>K6*(MIN(Inputs!$B$22,Inputs!$B$23)/100+Inputs!$B$23/100)/2</f>
        <v/>
      </c>
      <c r="M6">
        <f>L6*(1+(Inputs!$B$10+Summary!$B$64)/100)</f>
        <v/>
      </c>
      <c r="N6">
        <f>L6*(1-MIN((Inputs!$B$9+Summary!$B$58),100)/100)+M6*(MIN((Inputs!$B$9+Summary!$B$58),100)/100)</f>
        <v/>
      </c>
      <c r="O6">
        <f>(1-Summary!$B$55)*T6+Summary!$B$55*V6</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H6*N6*IF(AND(Inputs!$B$38&lt;&gt;"pvp",Inputs!$B$43&gt;0),((Skills!G6*((R6-1)*IF(Skills!H6&gt;0,Skills!I6/Skills!H6,1)+IF(Skills!H6&gt;0,MIN(Skills!I6,MAX(0,MAX(0,Inputs!$B$43-Summary!$B$67)-((R6-1)*IF(Inputs!$B$38="pvp",15,MAX(0.1,Skills!D6-IF(Skills!E6=TRUE,Inputs!$B$32,0))))))/Skills!H6,1)))/Inputs!$B$43),G6*Q6))/N6*IF(Inputs!$B$38="pvp",1,(1-Summary!$B$55)*1+Summary!$B$55*(MIN(Skills!R6,Inputs!$B$37))),0)</f>
        <v/>
      </c>
      <c r="T6">
        <f>IF(C6,(H6*N6*IF(AND(Inputs!$B$38&lt;&gt;"pvp",Inputs!$B$43&gt;0),((Skills!G6*((R6-1)*IF(Skills!H6&gt;0,Skills!I6/Skills!H6,1)+IF(Skills!H6&gt;0,MIN(Skills!I6,MAX(0,MAX(0,Inputs!$B$43-Summary!$B$67)-((R6-1)*IF(Inputs!$B$38="pvp",15,MAX(0.1,Skills!D6-IF(Skills!E6=TRUE,Inputs!$B$32,0))))))/Skills!H6,1)))/Inputs!$B$43),G6*Q6))*IF(Inputs!$B$38="pvp",1,1+(Inputs!$B$20+Skills!P6+Summary!$B$59)/100),0)</f>
        <v/>
      </c>
      <c r="V6">
        <f>IF(C6,(H6*N6*IF(AND(Inputs!$B$38&lt;&gt;"pvp",Inputs!$B$43&gt;0),((Skills!G6*((R6-1)*IF(Skills!H6&gt;0,Skills!I6/Skills!H6,1)+IF(Skills!H6&gt;0,MIN(Skills!I6,MAX(0,MAX(0,Inputs!$B$43-Summary!$B$67)-((R6-1)*IF(Inputs!$B$38="pvp",15,MAX(0.1,Skills!D6-IF(Skills!E6=TRUE,Inputs!$B$32,0))))))/Skills!H6,1)))/Inputs!$B$43),G6*Q6))*IF(Inputs!$B$38="pvp",1,(1+(Inputs!$B$21+Skills!Q6+Summary!$B$59)/100)*(MIN(Skills!R6,Inputs!$B$37))),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J7*(1+Summary!$B$51/100)*(1+Inputs!$B$15/100)*(1+Inputs!$B$16/100)*(5000/(6000+Inputs!$B$42*(1-Inputs!$B$19/100)))*(1+(Inputs!$B$24+Summary!$B$65)/100)*(1+1.2*IF(C8=TRUE,F8,0)/100)*(1+(IF(Skills!A7="EMPOWERED_PIERCING_ARROW",Inputs!$B$17,Inputs!$B$18))/100)*(Summary!$B$57*I7)</f>
        <v/>
      </c>
      <c r="L7">
        <f>K7*(MIN(Inputs!$B$22,Inputs!$B$23)/100+Inputs!$B$23/100)/2</f>
        <v/>
      </c>
      <c r="M7">
        <f>L7*(1+(Inputs!$B$10+Summary!$B$64)/100)</f>
        <v/>
      </c>
      <c r="N7">
        <f>L7*(1-MIN((Inputs!$B$9+Summary!$B$58),100)/100)+M7*(MIN((Inputs!$B$9+Summary!$B$58),100)/100)</f>
        <v/>
      </c>
      <c r="O7">
        <f>(1-Summary!$B$55)*T7+Summary!$B$55*V7</f>
        <v/>
      </c>
      <c r="P7">
        <f>IF(Summary!$B$3=0,0,O7/Summary!$B$3)</f>
        <v/>
      </c>
      <c r="Q7">
        <f>IFERROR(1/IF(Inputs!$B$38="pvp",15,MAX(0.1,Skills!D7-IF(Skills!E7=TRUE,Inputs!$B$32,0))),0)</f>
        <v/>
      </c>
      <c r="R7">
        <f>IF(AND(Inputs!$B$38&lt;&gt;"pvp",Inputs!$B$43&gt;0),IF(MAX(0,Inputs!$B$43-Summary!$B$67)&lt;=0,0,(INT(MAX(0,Inputs!$B$43-Summary!$B$67)/IF(Inputs!$B$38="pvp",15,MAX(0.1,Skills!D7-IF(Skills!E7=TRUE,Inputs!$B$32,0))))+1)),0)</f>
        <v/>
      </c>
      <c r="S7">
        <f>IFERROR((H7*N7*IF(AND(Inputs!$B$38&lt;&gt;"pvp",Inputs!$B$43&gt;0),((Skills!G7*((R7-1)*IF(Skills!H7&gt;0,Skills!I7/Skills!H7,1)+IF(Skills!H7&gt;0,MIN(Skills!I7,MAX(0,MAX(0,Inputs!$B$43-Summary!$B$67)-((R7-1)*IF(Inputs!$B$38="pvp",15,MAX(0.1,Skills!D7-IF(Skills!E7=TRUE,Inputs!$B$32,0))))))/Skills!H7,1)))/Inputs!$B$43),G7*Q7))/N7*IF(Inputs!$B$38="pvp",1,(1-Summary!$B$55)*1+Summary!$B$55*(MIN(Skills!R7,Inputs!$B$37))),0)</f>
        <v/>
      </c>
      <c r="T7">
        <f>IF(C7,(H7*N7*IF(AND(Inputs!$B$38&lt;&gt;"pvp",Inputs!$B$43&gt;0),((Skills!G7*((R7-1)*IF(Skills!H7&gt;0,Skills!I7/Skills!H7,1)+IF(Skills!H7&gt;0,MIN(Skills!I7,MAX(0,MAX(0,Inputs!$B$43-Summary!$B$67)-((R7-1)*IF(Inputs!$B$38="pvp",15,MAX(0.1,Skills!D7-IF(Skills!E7=TRUE,Inputs!$B$32,0))))))/Skills!H7,1)))/Inputs!$B$43),G7*Q7))*IF(Inputs!$B$38="pvp",1,1+(Inputs!$B$20+Skills!P7+Summary!$B$59)/100),0)</f>
        <v/>
      </c>
      <c r="V7">
        <f>IF(C7,(H7*N7*IF(AND(Inputs!$B$38&lt;&gt;"pvp",Inputs!$B$43&gt;0),((Skills!G7*((R7-1)*IF(Skills!H7&gt;0,Skills!I7/Skills!H7,1)+IF(Skills!H7&gt;0,MIN(Skills!I7,MAX(0,MAX(0,Inputs!$B$43-Summary!$B$67)-((R7-1)*IF(Inputs!$B$38="pvp",15,MAX(0.1,Skills!D7-IF(Skills!E7=TRUE,Inputs!$B$32,0))))))/Skills!H7,1)))/Inputs!$B$43),G7*Q7))*IF(Inputs!$B$38="pvp",1,(1+(Inputs!$B$21+Skills!Q7+Summary!$B$59)/100)*(MIN(Skills!R7,Inputs!$B$37))),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c r="T8" t="inlineStr"/>
      <c r="V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J9*(1+Summary!$B$51/100)*(1+Inputs!$B$15/100)*(1+Inputs!$B$16/100)*(5000/(6000+Inputs!$B$42*(1-Inputs!$B$19/100)))*(1+(Inputs!$B$24+Summary!$B$65)/100)*(1+(IF(Skills!A9="EMPOWERED_PIERCING_ARROW",Inputs!$B$17,Inputs!$B$18))/100)*(Summary!$B$57*I9)</f>
        <v/>
      </c>
      <c r="L9">
        <f>K9*(MIN(Inputs!$B$22,Inputs!$B$23)/100+Inputs!$B$23/100)/2</f>
        <v/>
      </c>
      <c r="M9">
        <f>L9*(1+(Inputs!$B$10+Summary!$B$64)/100)</f>
        <v/>
      </c>
      <c r="N9">
        <f>L9*(1-MIN((Inputs!$B$9+Summary!$B$58),100)/100)+M9*(MIN((Inputs!$B$9+Summary!$B$58),100)/100)</f>
        <v/>
      </c>
      <c r="O9">
        <f>(1-Summary!$B$55)*T9+Summary!$B$55*V9</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H9*N9*IF(AND(Inputs!$B$38&lt;&gt;"pvp",Inputs!$B$43&gt;0),((Skills!G9*((R9-1)*IF(Skills!H9&gt;0,Skills!I9/Skills!H9,1)+IF(Skills!H9&gt;0,MIN(Skills!I9,MAX(0,MAX(0,Inputs!$B$43-Summary!$B$67)-((R9-1)*IF(Inputs!$B$38="pvp",15,MAX(0.1,Skills!D9-IF(Skills!E9=TRUE,Inputs!$B$32,0))))))/Skills!H9,1)))/Inputs!$B$43),G9*Q9))/N9*IF(Inputs!$B$38="pvp",1,(1-Summary!$B$55)*1+Summary!$B$55*(MIN(Skills!R9,Inputs!$B$37))),0)</f>
        <v/>
      </c>
      <c r="T9">
        <f>IF(C9,(H9*N9*IF(AND(Inputs!$B$38&lt;&gt;"pvp",Inputs!$B$43&gt;0),((Skills!G9*((R9-1)*IF(Skills!H9&gt;0,Skills!I9/Skills!H9,1)+IF(Skills!H9&gt;0,MIN(Skills!I9,MAX(0,MAX(0,Inputs!$B$43-Summary!$B$67)-((R9-1)*IF(Inputs!$B$38="pvp",15,MAX(0.1,Skills!D9-IF(Skills!E9=TRUE,Inputs!$B$32,0))))))/Skills!H9,1)))/Inputs!$B$43),G9*Q9))*IF(Inputs!$B$38="pvp",1,1+(Inputs!$B$20+Skills!P9+Summary!$B$59)/100),0)</f>
        <v/>
      </c>
      <c r="V9">
        <f>IF(C9,(H9*N9*IF(AND(Inputs!$B$38&lt;&gt;"pvp",Inputs!$B$43&gt;0),((Skills!G9*((R9-1)*IF(Skills!H9&gt;0,Skills!I9/Skills!H9,1)+IF(Skills!H9&gt;0,MIN(Skills!I9,MAX(0,MAX(0,Inputs!$B$43-Summary!$B$67)-((R9-1)*IF(Inputs!$B$38="pvp",15,MAX(0.1,Skills!D9-IF(Skills!E9=TRUE,Inputs!$B$32,0))))))/Skills!H9,1)))/Inputs!$B$43),G9*Q9))*IF(Inputs!$B$38="pvp",1,(1+(Inputs!$B$21+Skills!Q9+Summary!$B$59)/100)*(MIN(Skills!R9,Inputs!$B$37))),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J10*(1+Summary!$B$51/100)*(1+Inputs!$B$15/100)*(1+Inputs!$B$16/100)*(5000/(6000+Inputs!$B$42*(1-Inputs!$B$19/100)))*(1+(Inputs!$B$24+Summary!$B$65)/100)*(1+(IF(Skills!A10="EMPOWERED_PIERCING_ARROW",Inputs!$B$17,Inputs!$B$18))/100)*(Summary!$B$57*I10)</f>
        <v/>
      </c>
      <c r="L10">
        <f>K10*(MIN(Inputs!$B$22,Inputs!$B$23)/100+Inputs!$B$23/100)/2</f>
        <v/>
      </c>
      <c r="M10">
        <f>L10*(1+(Inputs!$B$10+Summary!$B$64)/100)</f>
        <v/>
      </c>
      <c r="N10">
        <f>L10*(1-MIN((Inputs!$B$9+Summary!$B$58),100)/100)+M10*(MIN((Inputs!$B$9+Summary!$B$58),100)/100)</f>
        <v/>
      </c>
      <c r="O10">
        <f>(1-Summary!$B$55)*T10+Summary!$B$55*V10</f>
        <v/>
      </c>
      <c r="P10">
        <f>IF(Summary!$B$3=0,0,O10/Summary!$B$3)</f>
        <v/>
      </c>
      <c r="Q10" t="n">
        <v>0</v>
      </c>
      <c r="R10" t="n">
        <v>0</v>
      </c>
      <c r="S10" t="n">
        <v>0</v>
      </c>
      <c r="T10">
        <f>IF(C10,(0.15*SUMPRODUCT((Skills!U2:U29=TRUE)*(Calc!C2:C29=TRUE)*Calc!S2:S29)*Skills!G10*N10)*IF(Inputs!$B$38="pvp",1,1+(Inputs!$B$20+Skills!P10+Summary!$B$59)/100),0)</f>
        <v/>
      </c>
      <c r="V10">
        <f>IF(C10,(0.15*SUMPRODUCT((Skills!U2:U29=TRUE)*(Calc!C2:C29=TRUE)*Calc!S2:S29)*Skills!G10*N10)*IF(Inputs!$B$38="pvp",1,(1+(Inputs!$B$21+Skills!Q10+Summary!$B$59)/100)*(MIN(Skills!R10,Inputs!$B$37))),0)</f>
        <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J11*(1+Summary!$B$51/100)*(1+Inputs!$B$15/100)*(1+Inputs!$B$16/100)*(5000/(6000+Inputs!$B$42*(1-Inputs!$B$19/100)))*(1+(Inputs!$B$24+Summary!$B$65)/100)*(1+(IF(Skills!A11="EMPOWERED_PIERCING_ARROW",Inputs!$B$17,Inputs!$B$18))/100)*(Summary!$B$57*I11)</f>
        <v/>
      </c>
      <c r="L11">
        <f>K11*(MIN(Inputs!$B$22,Inputs!$B$23)/100+Inputs!$B$23/100)/2</f>
        <v/>
      </c>
      <c r="M11">
        <f>L11*(1+(Inputs!$B$10+Summary!$B$64)/100)</f>
        <v/>
      </c>
      <c r="N11">
        <f>L11*(1-MIN((Inputs!$B$9+Summary!$B$58),100)/100)+M11*(MIN((Inputs!$B$9+Summary!$B$58),100)/100)</f>
        <v/>
      </c>
      <c r="O11">
        <f>(1-Summary!$B$55)*T11+Summary!$B$55*V11</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H11*N11*IF(AND(Inputs!$B$38&lt;&gt;"pvp",Inputs!$B$43&gt;0),((Skills!G11*((R11-1)*IF(Skills!H11&gt;0,Skills!I11/Skills!H11,1)+IF(Skills!H11&gt;0,MIN(Skills!I11,MAX(0,MAX(0,Inputs!$B$43-Summary!$B$67)-((R11-1)*IF(Inputs!$B$38="pvp",15,MAX(0.1,Skills!D11-IF(Skills!E11=TRUE,Inputs!$B$32,0))))))/Skills!H11,1)))/Inputs!$B$43),G11*Q11))/N11*IF(Inputs!$B$38="pvp",1,(1-Summary!$B$55)*1+Summary!$B$55*(MIN(Skills!R11,Inputs!$B$37))),0)</f>
        <v/>
      </c>
      <c r="T11">
        <f>IF(C11,(H11*N11*IF(AND(Inputs!$B$38&lt;&gt;"pvp",Inputs!$B$43&gt;0),((Skills!G11*((R11-1)*IF(Skills!H11&gt;0,Skills!I11/Skills!H11,1)+IF(Skills!H11&gt;0,MIN(Skills!I11,MAX(0,MAX(0,Inputs!$B$43-Summary!$B$67)-((R11-1)*IF(Inputs!$B$38="pvp",15,MAX(0.1,Skills!D11-IF(Skills!E11=TRUE,Inputs!$B$32,0))))))/Skills!H11,1)))/Inputs!$B$43),G11*Q11))*IF(Inputs!$B$38="pvp",1,1+(Inputs!$B$20+Skills!P11+Summary!$B$59)/100),0)</f>
        <v/>
      </c>
      <c r="V11">
        <f>IF(C11,(H11*N11*IF(AND(Inputs!$B$38&lt;&gt;"pvp",Inputs!$B$43&gt;0),((Skills!G11*((R11-1)*IF(Skills!H11&gt;0,Skills!I11/Skills!H11,1)+IF(Skills!H11&gt;0,MIN(Skills!I11,MAX(0,MAX(0,Inputs!$B$43-Summary!$B$67)-((R11-1)*IF(Inputs!$B$38="pvp",15,MAX(0.1,Skills!D11-IF(Skills!E11=TRUE,Inputs!$B$32,0))))))/Skills!H11,1)))/Inputs!$B$43),G11*Q11))*IF(Inputs!$B$38="pvp",1,(1+(Inputs!$B$21+Skills!Q11+Summary!$B$59)/100)*(MIN(Skills!R11,Inputs!$B$37))),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f>(1-Summary!$B$55)*T12+Summary!$B$55*V12</f>
        <v/>
      </c>
      <c r="P12">
        <f>IF(Summary!$B$3=0,0,O12/Summary!$B$3)</f>
        <v/>
      </c>
      <c r="Q12" t="n">
        <v>0</v>
      </c>
      <c r="R12" t="n">
        <v>0</v>
      </c>
      <c r="S12" t="n">
        <v>0</v>
      </c>
      <c r="T12" t="n">
        <v>0</v>
      </c>
      <c r="V12" t="n">
        <v>0</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(1-Summary!$B$55)*T13+Summary!$B$55*V13</f>
        <v/>
      </c>
      <c r="P13">
        <f>IF(Summary!$B$3=0,0,O13/Summary!$B$3)</f>
        <v/>
      </c>
      <c r="Q13" t="n">
        <v>0</v>
      </c>
      <c r="R13" t="n">
        <v>0</v>
      </c>
      <c r="S13" t="n">
        <v>0</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(1-Summary!$B$55)*T14+Summary!$B$55*V14</f>
        <v/>
      </c>
      <c r="P14">
        <f>IF(Summary!$B$3=0,0,O14/Summary!$B$3)</f>
        <v/>
      </c>
      <c r="Q14" t="n">
        <v>0</v>
      </c>
      <c r="R14" t="n">
        <v>0</v>
      </c>
      <c r="S14" t="n">
        <v>0</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(1-Summary!$B$55)*T15+Summary!$B$55*V15</f>
        <v/>
      </c>
      <c r="P15">
        <f>IF(Summary!$B$3=0,0,O15/Summary!$B$3)</f>
        <v/>
      </c>
      <c r="Q15">
        <f>IFERROR(1/IF(Inputs!$B$38="pvp",15,MAX(0.1,Skills!D15-IF(Skills!E15=TRUE,Inputs!$B$32,0))),0)</f>
        <v/>
      </c>
      <c r="R15">
        <f>IF(AND(Inputs!$B$38&lt;&gt;"pvp",Inputs!$B$43&gt;0),IF(Inputs!$B$43&lt;=0,0,(INT(Inputs!$B$43/IF(Inputs!$B$38="pvp",15,MAX(0.1,Skills!D15-IF(Skills!E15=TRUE,Inputs!$B$32,0))))+1)),0)</f>
        <v/>
      </c>
      <c r="S15" t="n">
        <v>0</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(1-Summary!$B$55)*T16+Summary!$B$55*V16</f>
        <v/>
      </c>
      <c r="P16">
        <f>IF(Summary!$B$3=0,0,O16/Summary!$B$3)</f>
        <v/>
      </c>
      <c r="Q16">
        <f>IFERROR(1/IF(Inputs!$B$38="pvp",15,MAX(0.1,Skills!D16-IF(Skills!E16=TRUE,Inputs!$B$32,0))),0)</f>
        <v/>
      </c>
      <c r="R16">
        <f>IF(AND(Inputs!$B$38&lt;&gt;"pvp",Inputs!$B$43&gt;0),IF(Inputs!$B$43&lt;=0,0,(INT(Inputs!$B$43/IF(Inputs!$B$38="pvp",15,MAX(0.1,Skills!D16-IF(Skills!E16=TRUE,Inputs!$B$32,0))))+1)),0)</f>
        <v/>
      </c>
      <c r="S16" t="n">
        <v>0</v>
      </c>
      <c r="T16" t="n">
        <v>0</v>
      </c>
      <c r="V16" t="n">
        <v>0</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(1-Summary!$B$55)*T17+Summary!$B$55*V17</f>
        <v/>
      </c>
      <c r="P17">
        <f>IF(Summary!$B$3=0,0,O17/Summary!$B$3)</f>
        <v/>
      </c>
      <c r="Q17" t="n">
        <v>0</v>
      </c>
      <c r="R17" t="n">
        <v>0</v>
      </c>
      <c r="S17" t="n">
        <v>0</v>
      </c>
      <c r="T17" t="n">
        <v>0</v>
      </c>
      <c r="V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(1-Summary!$B$55)*T18+Summary!$B$55*V18</f>
        <v/>
      </c>
      <c r="P18">
        <f>IF(Summary!$B$3=0,0,O18/Summary!$B$3)</f>
        <v/>
      </c>
      <c r="Q18">
        <f>IFERROR(1/IF(Inputs!$B$38="pvp",15,MAX(0.1,Skills!D18-IF(Skills!E18=TRUE,Inputs!$B$32,0))),0)</f>
        <v/>
      </c>
      <c r="R18">
        <f>IF(AND(Inputs!$B$38&lt;&gt;"pvp",Inputs!$B$43&gt;0),IF(Inputs!$B$43&lt;=0,0,(INT(Inputs!$B$43/IF(Inputs!$B$38="pvp",15,MAX(0.1,Skills!D18-IF(Skills!E18=TRUE,Inputs!$B$32,0))))+1)),0)</f>
        <v/>
      </c>
      <c r="S18" t="n">
        <v>0</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(1-Summary!$B$55)*T19+Summary!$B$55*V19</f>
        <v/>
      </c>
      <c r="P19">
        <f>IF(Summary!$B$3=0,0,O19/Summary!$B$3)</f>
        <v/>
      </c>
      <c r="Q19" t="n">
        <v>0</v>
      </c>
      <c r="R19" t="n">
        <v>0</v>
      </c>
      <c r="S19" t="n">
        <v>0</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(1-Summary!$B$55)*T20+Summary!$B$55*V20</f>
        <v/>
      </c>
      <c r="P20">
        <f>IF(Summary!$B$3=0,0,O20/Summary!$B$3)</f>
        <v/>
      </c>
      <c r="Q20" t="n">
        <v>0</v>
      </c>
      <c r="R20" t="n">
        <v>0</v>
      </c>
      <c r="S20" t="n">
        <v>0</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(1-Summary!$B$55)*T21+Summary!$B$55*V21</f>
        <v/>
      </c>
      <c r="P21">
        <f>IF(Summary!$B$3=0,0,O21/Summary!$B$3)</f>
        <v/>
      </c>
      <c r="Q21" t="n">
        <v>0</v>
      </c>
      <c r="R21" t="n">
        <v>0</v>
      </c>
      <c r="S21" t="n">
        <v>0</v>
      </c>
      <c r="T21" t="n">
        <v>0</v>
      </c>
      <c r="V21" t="n">
        <v>0</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(1-Summary!$B$55)*T22+Summary!$B$55*V22</f>
        <v/>
      </c>
      <c r="P22">
        <f>IF(Summary!$B$3=0,0,O22/Summary!$B$3)</f>
        <v/>
      </c>
      <c r="Q22" t="n">
        <v>0</v>
      </c>
      <c r="R22" t="n">
        <v>0</v>
      </c>
      <c r="S22" t="n">
        <v>0</v>
      </c>
      <c r="T22" t="n">
        <v>0</v>
      </c>
      <c r="V22" t="n">
        <v>0</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(1-Summary!$B$55)*T23+Summary!$B$55*V23</f>
        <v/>
      </c>
      <c r="P23">
        <f>IF(Summary!$B$3=0,0,O23/Summary!$B$3)</f>
        <v/>
      </c>
      <c r="Q23" t="n">
        <v>0</v>
      </c>
      <c r="R23" t="n">
        <v>0</v>
      </c>
      <c r="S23" t="n">
        <v>0</v>
      </c>
      <c r="T23" t="n">
        <v>0</v>
      </c>
      <c r="V23" t="n">
        <v>0</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(1-Summary!$B$55)*T24+Summary!$B$55*V24</f>
        <v/>
      </c>
      <c r="P24">
        <f>IF(Summary!$B$3=0,0,O24/Summary!$B$3)</f>
        <v/>
      </c>
      <c r="Q24" t="n">
        <v>0</v>
      </c>
      <c r="R24" t="n">
        <v>0</v>
      </c>
      <c r="S24" t="n">
        <v>0</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(1-Summary!$B$55)*T25+Summary!$B$55*V25</f>
        <v/>
      </c>
      <c r="P25">
        <f>IF(Summary!$B$3=0,0,O25/Summary!$B$3)</f>
        <v/>
      </c>
      <c r="Q25" t="n">
        <v>0</v>
      </c>
      <c r="R25" t="n">
        <v>0</v>
      </c>
      <c r="S25" t="n">
        <v>0</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(1-Summary!$B$55)*T26+Summary!$B$55*V26</f>
        <v/>
      </c>
      <c r="P26">
        <f>IF(Summary!$B$3=0,0,O26/Summary!$B$3)</f>
        <v/>
      </c>
      <c r="Q26" t="n">
        <v>0</v>
      </c>
      <c r="R26" t="n">
        <v>0</v>
      </c>
      <c r="S26" t="n">
        <v>0</v>
      </c>
      <c r="T26" t="n">
        <v>0</v>
      </c>
      <c r="V26" t="n">
        <v>0</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(1-Summary!$B$55)*T27+Summary!$B$55*V27</f>
        <v/>
      </c>
      <c r="P27">
        <f>IF(Summary!$B$3=0,0,O27/Summary!$B$3)</f>
        <v/>
      </c>
      <c r="Q27" t="n">
        <v>0</v>
      </c>
      <c r="R27" t="n">
        <v>0</v>
      </c>
      <c r="S27" t="n">
        <v>0</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(1-Summary!$B$55)*T28+Summary!$B$55*V28</f>
        <v/>
      </c>
      <c r="P28">
        <f>IF(Summary!$B$3=0,0,O28/Summary!$B$3)</f>
        <v/>
      </c>
      <c r="Q28" t="n">
        <v>0</v>
      </c>
      <c r="R28" t="n">
        <v>0</v>
      </c>
      <c r="S28" t="n">
        <v>0</v>
      </c>
      <c r="T28" t="n">
        <v>0</v>
      </c>
      <c r="V28" t="n">
        <v>0</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(1-Summary!$B$55)*T29+Summary!$B$55*V29</f>
        <v/>
      </c>
      <c r="P29">
        <f>IF(Summary!$B$3=0,0,O29/Summary!$B$3)</f>
        <v/>
      </c>
      <c r="Q29" t="n">
        <v>0</v>
      </c>
      <c r="R29" t="n">
        <v>0</v>
      </c>
      <c r="S29" t="n">
        <v>0</v>
      </c>
      <c r="T29" t="n">
        <v>0</v>
      </c>
      <c r="V29"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Calc!B11</f>
        <v/>
      </c>
      <c r="B13">
        <f>Calc!O11</f>
        <v/>
      </c>
      <c r="C13">
        <f>Calc!P11*100</f>
        <v/>
      </c>
    </row>
    <row r="14">
      <c r="A14" s="7" t="inlineStr">
        <is>
          <t>Marginal DPS &amp; Stat Value (see Sensitivity for full detail)</t>
        </is>
      </c>
    </row>
    <row r="16">
      <c r="A16" s="9" t="inlineStr">
        <is>
          <t>Stat</t>
        </is>
      </c>
      <c r="B16" s="9" t="inlineStr">
        <is>
          <t>DPS per +1</t>
        </is>
      </c>
      <c r="C16" s="9"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9">
      <c r="A49" s="7" t="inlineStr">
        <is>
          <t>Derived Values (read-only, computed from Inputs)</t>
        </is>
      </c>
    </row>
    <row r="50">
      <c r="A50" t="inlineStr">
        <is>
          <t>ATTACK (= Flat ATTACK x (1+ATTACK%/100))</t>
        </is>
      </c>
      <c r="B50">
        <f>Inputs!$B$6*(1+Inputs!$B$7/100)</f>
        <v/>
      </c>
    </row>
    <row r="51">
      <c r="A51" t="inlineStr">
        <is>
          <t>STAT_DAMAGE % (= 1% of total DEX + 0.25% of STR)</t>
        </is>
      </c>
      <c r="B51">
        <f>(Inputs!$B$12*(1+Inputs!$B$13/100))*0.01+Inputs!$B$14*0.0025</f>
        <v/>
      </c>
    </row>
    <row r="52">
      <c r="A52" t="inlineStr">
        <is>
          <t>Basic Attack (Empowered Piercing Arrow)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Empowered Piercing Arrow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(Marksmanship base+conditional + Illusion Step + Blink Bolt, summed additively)</t>
        </is>
      </c>
      <c r="B57">
        <f>1+(((Calc!C13=TRUE)*Calc!F13)+((Calc!C14=TRUE)*IF(Inputs!$B$38="pvp",Calc!F14,(1-Summary!$B$55)*(Calc!F14)+Summary!$B$55*(0)))+((Calc!C15=TRUE)*Calc!F15*IF(AND(Inputs!$B$38&lt;&gt;"pvp",Inputs!$B$43&gt;0),(((Calc!R15-1)*(Skills!T15*(1+Inputs!$B$34/100))+MIN((Skills!T15*(1+Inputs!$B$34/100)),MAX(0,Inputs!$B$43-((Calc!R15-1)*Skills!D15))))/Inputs!$B$43),IF(Inputs!$B$38="pvp",MIN((Skills!T15*(1+Inputs!$B$34/100)),15)/15,(Skills!T15*(1+Inputs!$B$34/100))/Skills!D15)))+((Calc!C12=TRUE)*Calc!F12))/100</f>
        <v/>
      </c>
    </row>
    <row r="58">
      <c r="A58" t="inlineStr">
        <is>
          <t>Global Crit Rate Bonus % (Sharp Eyes, flat 20, duty-cycle averaged)</t>
        </is>
      </c>
      <c r="B58">
        <f>(Calc!C16=TRUE)*20*IF(AND(Inputs!$B$38&lt;&gt;"pvp",Inputs!$B$43&gt;0),(((Calc!R16-1)*(Skills!T16*(1+Inputs!$B$34/100))+MIN((Skills!T16*(1+Inputs!$B$34/100)),MAX(0,Inputs!$B$43-((Calc!R16-1)*Skills!D16))))/Inputs!$B$43),IF(Inputs!$B$38="pvp",MIN((Skills!T16*(1+Inputs!$B$34/100)),15)/15,(Skills!T16*(1+Inputs!$B$34/100))/Skills!D16))</f>
        <v/>
      </c>
    </row>
    <row r="59">
      <c r="A59" t="inlineStr">
        <is>
          <t>Global Monster Damage-Taken Bonus % (unused — no such source exists in this kit)</t>
        </is>
      </c>
      <c r="B59" t="n">
        <v>0</v>
      </c>
    </row>
    <row r="60">
      <c r="A60" t="inlineStr">
        <is>
          <t>Attack Speed Buff Bonus % (Nimble Feet, duty-cycle averaged)</t>
        </is>
      </c>
      <c r="B60">
        <f>((Calc!C18=TRUE)*Calc!F18*IF(AND(Inputs!$B$38&lt;&gt;"pvp",Inputs!$B$43&gt;0),(((Calc!R18-1)*(Skills!T18*(1+Inputs!$B$34/100))+MIN((Skills!T18*(1+Inputs!$B$34/100)),MAX(0,Inputs!$B$43-((Calc!R18-1)*Skills!D18))))/Inputs!$B$43),IF(Inputs!$B$38="pvp",MIN((Skills!T18*(1+Inputs!$B$34/100)),15)/15,(Skills!T18*(1+Inputs!$B$34/100))/Skills!D18)))</f>
        <v/>
      </c>
    </row>
    <row r="61">
      <c r="A61" t="inlineStr">
        <is>
          <t>Actions Per Second</t>
        </is>
      </c>
      <c r="B61">
        <f>1+MIN(150,150*(1-(1-Inputs!$B$11/150)*(1-B60/150)))/100</f>
        <v/>
      </c>
    </row>
    <row r="62">
      <c r="A62" t="inlineStr">
        <is>
          <t>Skill + Buff Cast Rate (subtracted from Empowered Piercing Arrow, 1/s)</t>
        </is>
      </c>
      <c r="B62">
        <f>IF(AND(Inputs!$B$38&lt;&gt;"pvp",Inputs!$B$43&gt;0),SUMPRODUCT((Skills!E2:E29=TRUE)*(Calc!C2:C29=TRUE)*Calc!R2:R29*Skills!F2:F29)/Inputs!$B$43,SUMPRODUCT((Skills!E2:E29=TRUE)*(Calc!C2:C29=TRUE)*Calc!Q2:Q29*Skills!F2:F29))</f>
        <v/>
      </c>
    </row>
    <row r="63">
      <c r="A63" t="inlineStr">
        <is>
          <t>Empowered Piercing Arrow (Basic Attack) Casts Per Second</t>
        </is>
      </c>
      <c r="B63">
        <f>MAX(0,B61-B62)</f>
        <v/>
      </c>
    </row>
    <row r="64">
      <c r="A64" t="inlineStr">
        <is>
          <t>Global Critical Damage Bonus % (Sharp Eyes scaling — Marksman has no Concentration-equivalent stacking passive)</t>
        </is>
      </c>
      <c r="B64">
        <f>(Calc!C16=TRUE)*Calc!F16*IF(AND(Inputs!$B$38&lt;&gt;"pvp",Inputs!$B$43&gt;0),(((Calc!R16-1)*(Skills!T16*(1+Inputs!$B$34/100))+MIN((Skills!T16*(1+Inputs!$B$34/100)),MAX(0,Inputs!$B$43-((Calc!R16-1)*Skills!D16))))/Inputs!$B$43),IF(Inputs!$B$38="pvp",MIN((Skills!T16*(1+Inputs!$B$34/100)),15)/15,(Skills!T16*(1+Inputs!$B$34/100))/Skills!D16))</f>
        <v/>
      </c>
    </row>
    <row r="65">
      <c r="A65" t="inlineStr">
        <is>
          <t>Global Final Damage Bonus % (Mortal Blow steady-state + Last Man Standing conditional half, boss/pvp-blended)</t>
        </is>
      </c>
      <c r="B65">
        <f>(Calc!C17=TRUE)*Calc!F17+((Calc!C26=TRUE)*IF(Inputs!$B$38="pvp",Calc!F26,(1-Summary!$B$55)*(Calc!F26)+Summary!$B$55*(0)))</f>
        <v/>
      </c>
    </row>
    <row r="66">
      <c r="A66" t="inlineStr">
        <is>
          <t>Empowered Piercing Arrow (Basic Attack) DPS</t>
        </is>
      </c>
      <c r="B66">
        <f>Calc!O2</f>
        <v/>
      </c>
    </row>
    <row r="67">
      <c r="A67" t="inlineStr">
        <is>
          <t>Buff-Casting Startup Delay (s, before first damage-skill cast; fixed-duration only)</t>
        </is>
      </c>
      <c r="B67">
        <f>IF(AND(Inputs!$B$38&lt;&gt;"pvp",Inputs!$B$43&gt;0),SUMPRODUCT((Skills!T2:T29&gt;0)*(Skills!E2:E29=TRUE)*(Calc!C2:C29=TRUE))/B61,0)</f>
        <v/>
      </c>
    </row>
    <row r="68">
      <c r="A68" t="inlineStr">
        <is>
          <t>Boss-Only Total DPS (Sensitivity baseline)</t>
        </is>
      </c>
      <c r="B68">
        <f>SUM(Calc!T2:T29)</f>
        <v/>
      </c>
    </row>
    <row r="69">
      <c r="A69" t="inlineStr">
        <is>
          <t>Normal-Only Total DPS (Sensitivity baseline)</t>
        </is>
      </c>
      <c r="B69">
        <f>SUM(Calc!V2:V29)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66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B75</f>
        <v/>
      </c>
      <c r="H5">
        <f>Summary!$B$3*(((1-Summary!$B$55)*IFERROR(B73/Summary!$B$68,1)+Summary!$B$55*IFERROR(B74/Summary!$B$69,1))-1)</f>
        <v/>
      </c>
      <c r="I5">
        <f>((1-Summary!$B$55)*IFERROR(B73/Summary!$B$68,1)+Summary!$B$55*IFERROR(B74/Summary!$B$69,1))*100</f>
        <v/>
      </c>
    </row>
    <row r="6">
      <c r="A6" t="inlineStr">
        <is>
          <t>DEX %</t>
        </is>
      </c>
      <c r="B6">
        <f>IFERROR(1/(I6-100),"n/a")</f>
        <v/>
      </c>
      <c r="C6" t="inlineStr">
        <is>
          <t>pct</t>
        </is>
      </c>
      <c r="D6">
        <f>Inputs!$B$13</f>
        <v/>
      </c>
      <c r="E6">
        <f>(Inputs!$B$13+1)</f>
        <v/>
      </c>
      <c r="F6">
        <f>Summary!$B$3</f>
        <v/>
      </c>
      <c r="G6">
        <f>B120</f>
        <v/>
      </c>
      <c r="H6">
        <f>Summary!$B$3*(((1-Summary!$B$55)*IFERROR(B118/Summary!$B$68,1)+Summary!$B$55*IFERROR(B119/Summary!$B$69,1))-1)</f>
        <v/>
      </c>
      <c r="I6">
        <f>((1-Summary!$B$55)*IFERROR(B118/Summary!$B$68,1)+Summary!$B$55*IFERROR(B119/Summary!$B$69,1))*100</f>
        <v/>
      </c>
    </row>
    <row r="7">
      <c r="A7" t="inlineStr">
        <is>
          <t>STR</t>
        </is>
      </c>
      <c r="B7">
        <f>IFERROR(1/(I7-100),"n/a")</f>
        <v/>
      </c>
      <c r="C7" t="inlineStr">
        <is>
          <t>flat</t>
        </is>
      </c>
      <c r="D7">
        <f>Inputs!$B$14</f>
        <v/>
      </c>
      <c r="E7">
        <f>(Inputs!$B$14+1)</f>
        <v/>
      </c>
      <c r="F7">
        <f>Summary!$B$3</f>
        <v/>
      </c>
      <c r="G7">
        <f>B165</f>
        <v/>
      </c>
      <c r="H7">
        <f>Summary!$B$3*(((1-Summary!$B$55)*IFERROR(B163/Summary!$B$68,1)+Summary!$B$55*IFERROR(B164/Summary!$B$69,1))-1)</f>
        <v/>
      </c>
      <c r="I7">
        <f>((1-Summary!$B$55)*IFERROR(B163/Summary!$B$68,1)+Summary!$B$55*IFERROR(B164/Summary!$B$69,1))*100</f>
        <v/>
      </c>
    </row>
    <row r="8">
      <c r="A8" t="inlineStr">
        <is>
          <t>DAMAGE %</t>
        </is>
      </c>
      <c r="B8">
        <f>IFERROR(1/(I8-100),"n/a")</f>
        <v/>
      </c>
      <c r="C8" t="inlineStr">
        <is>
          <t>pct</t>
        </is>
      </c>
      <c r="D8">
        <f>Inputs!$B$15</f>
        <v/>
      </c>
      <c r="E8">
        <f>(Inputs!$B$15+1)</f>
        <v/>
      </c>
      <c r="F8">
        <f>Summary!$B$3</f>
        <v/>
      </c>
      <c r="G8">
        <f>B210</f>
        <v/>
      </c>
      <c r="H8">
        <f>Summary!$B$3*(((1-Summary!$B$55)*IFERROR(B208/Summary!$B$68,1)+Summary!$B$55*IFERROR(B209/Summary!$B$69,1))-1)</f>
        <v/>
      </c>
      <c r="I8">
        <f>((1-Summary!$B$55)*IFERROR(B208/Summary!$B$68,1)+Summary!$B$55*IFERROR(B209/Summary!$B$69,1))*100</f>
        <v/>
      </c>
    </row>
    <row r="9">
      <c r="A9" t="inlineStr">
        <is>
          <t>DAMAGE_AMP %</t>
        </is>
      </c>
      <c r="B9">
        <f>IFERROR(1/(I9-100),"n/a")</f>
        <v/>
      </c>
      <c r="C9" t="inlineStr">
        <is>
          <t>pct</t>
        </is>
      </c>
      <c r="D9">
        <f>Inputs!$B$16</f>
        <v/>
      </c>
      <c r="E9">
        <f>(Inputs!$B$16+1)</f>
        <v/>
      </c>
      <c r="F9">
        <f>Summary!$B$3</f>
        <v/>
      </c>
      <c r="G9">
        <f>B255</f>
        <v/>
      </c>
      <c r="H9">
        <f>Summary!$B$3*(((1-Summary!$B$55)*IFERROR(B253/Summary!$B$68,1)+Summary!$B$55*IFERROR(B254/Summary!$B$69,1))-1)</f>
        <v/>
      </c>
      <c r="I9">
        <f>((1-Summary!$B$55)*IFERROR(B253/Summary!$B$68,1)+Summary!$B$55*IFERROR(B254/Summary!$B$69,1))*100</f>
        <v/>
      </c>
    </row>
    <row r="10">
      <c r="A10" t="inlineStr">
        <is>
          <t>BOSS_DAMAGE %</t>
        </is>
      </c>
      <c r="B10">
        <f>IFERROR(1/(I10-100),"n/a")</f>
        <v/>
      </c>
      <c r="C10" t="inlineStr">
        <is>
          <t>pct</t>
        </is>
      </c>
      <c r="D10">
        <f>Inputs!$B$20</f>
        <v/>
      </c>
      <c r="E10">
        <f>(Inputs!$B$20+1)</f>
        <v/>
      </c>
      <c r="F10">
        <f>Summary!$B$3</f>
        <v/>
      </c>
      <c r="G10">
        <f>B300</f>
        <v/>
      </c>
      <c r="H10">
        <f>Summary!$B$3*(((1-Summary!$B$55)*IFERROR(B298/Summary!$B$68,1)+Summary!$B$55*IFERROR(B299/Summary!$B$69,1))-1)</f>
        <v/>
      </c>
      <c r="I10">
        <f>((1-Summary!$B$55)*IFERROR(B298/Summary!$B$68,1)+Summary!$B$55*IFERROR(B299/Summary!$B$69,1))*100</f>
        <v/>
      </c>
    </row>
    <row r="11">
      <c r="A11" t="inlineStr">
        <is>
          <t>NORMAL_DAMAGE %</t>
        </is>
      </c>
      <c r="B11">
        <f>IFERROR(1/(I11-100),"n/a")</f>
        <v/>
      </c>
      <c r="C11" t="inlineStr">
        <is>
          <t>pct</t>
        </is>
      </c>
      <c r="D11">
        <f>Inputs!$B$21</f>
        <v/>
      </c>
      <c r="E11">
        <f>(Inputs!$B$21+1)</f>
        <v/>
      </c>
      <c r="F11">
        <f>Summary!$B$3</f>
        <v/>
      </c>
      <c r="G11">
        <f>B345</f>
        <v/>
      </c>
      <c r="H11">
        <f>Summary!$B$3*(((1-Summary!$B$55)*IFERROR(B343/Summary!$B$68,1)+Summary!$B$55*IFERROR(B344/Summary!$B$69,1))-1)</f>
        <v/>
      </c>
      <c r="I11">
        <f>((1-Summary!$B$55)*IFERROR(B343/Summary!$B$68,1)+Summary!$B$55*IFERROR(B344/Summary!$B$69,1))*100</f>
        <v/>
      </c>
    </row>
    <row r="12">
      <c r="A12" t="inlineStr">
        <is>
          <t>FINAL_DAMAGE % (multiplicative source)</t>
        </is>
      </c>
      <c r="B12">
        <f>IFERROR(1/(I12-100),"n/a")</f>
        <v/>
      </c>
      <c r="C12" t="inlineStr">
        <is>
          <t>mult</t>
        </is>
      </c>
      <c r="D12">
        <f>Inputs!$B$24</f>
        <v/>
      </c>
      <c r="E12">
        <f>((((1+Inputs!$B$24/100)*(1.01))-1)*100)</f>
        <v/>
      </c>
      <c r="F12">
        <f>Summary!$B$3</f>
        <v/>
      </c>
      <c r="G12">
        <f>B390</f>
        <v/>
      </c>
      <c r="H12">
        <f>Summary!$B$3*(((1-Summary!$B$55)*IFERROR(B388/Summary!$B$68,1)+Summary!$B$55*IFERROR(B389/Summary!$B$69,1))-1)</f>
        <v/>
      </c>
      <c r="I12">
        <f>((1-Summary!$B$55)*IFERROR(B388/Summary!$B$68,1)+Summary!$B$55*IFERROR(B389/Summary!$B$69,1))*100</f>
        <v/>
      </c>
    </row>
    <row r="13">
      <c r="A13" t="inlineStr">
        <is>
          <t>MIN_DAMAGE %</t>
        </is>
      </c>
      <c r="B13">
        <f>IFERROR(1/(I13-100),"n/a")</f>
        <v/>
      </c>
      <c r="C13" t="inlineStr">
        <is>
          <t>pct</t>
        </is>
      </c>
      <c r="D13">
        <f>Inputs!$B$22</f>
        <v/>
      </c>
      <c r="E13">
        <f>(Inputs!$B$22+1)</f>
        <v/>
      </c>
      <c r="F13">
        <f>Summary!$B$3</f>
        <v/>
      </c>
      <c r="G13">
        <f>B435</f>
        <v/>
      </c>
      <c r="H13">
        <f>Summary!$B$3*(((1-Summary!$B$55)*IFERROR(B433/Summary!$B$68,1)+Summary!$B$55*IFERROR(B434/Summary!$B$69,1))-1)</f>
        <v/>
      </c>
      <c r="I13">
        <f>((1-Summary!$B$55)*IFERROR(B433/Summary!$B$68,1)+Summary!$B$55*IFERROR(B434/Summary!$B$69,1))*100</f>
        <v/>
      </c>
    </row>
    <row r="14">
      <c r="A14" t="inlineStr">
        <is>
          <t>MAX_DAMAGE %</t>
        </is>
      </c>
      <c r="B14">
        <f>IFERROR(1/(I14-100),"n/a")</f>
        <v/>
      </c>
      <c r="C14" t="inlineStr">
        <is>
          <t>pct</t>
        </is>
      </c>
      <c r="D14">
        <f>Inputs!$B$23</f>
        <v/>
      </c>
      <c r="E14">
        <f>(Inputs!$B$23+1)</f>
        <v/>
      </c>
      <c r="F14">
        <f>Summary!$B$3</f>
        <v/>
      </c>
      <c r="G14">
        <f>B480</f>
        <v/>
      </c>
      <c r="H14">
        <f>Summary!$B$3*(((1-Summary!$B$55)*IFERROR(B478/Summary!$B$68,1)+Summary!$B$55*IFERROR(B479/Summary!$B$69,1))-1)</f>
        <v/>
      </c>
      <c r="I14">
        <f>((1-Summary!$B$55)*IFERROR(B478/Summary!$B$68,1)+Summary!$B$55*IFERROR(B479/Summary!$B$69,1))*100</f>
        <v/>
      </c>
    </row>
    <row r="15">
      <c r="A15" t="inlineStr">
        <is>
          <t>CRIT_RATE %</t>
        </is>
      </c>
      <c r="B15">
        <f>IFERROR(1/(I15-100),"n/a")</f>
        <v/>
      </c>
      <c r="C15" t="inlineStr">
        <is>
          <t>pct</t>
        </is>
      </c>
      <c r="D15">
        <f>Inputs!$B$9</f>
        <v/>
      </c>
      <c r="E15">
        <f>(Inputs!$B$9+1)</f>
        <v/>
      </c>
      <c r="F15">
        <f>Summary!$B$3</f>
        <v/>
      </c>
      <c r="G15">
        <f>B525</f>
        <v/>
      </c>
      <c r="H15">
        <f>Summary!$B$3*(((1-Summary!$B$55)*IFERROR(B523/Summary!$B$68,1)+Summary!$B$55*IFERROR(B524/Summary!$B$69,1))-1)</f>
        <v/>
      </c>
      <c r="I15">
        <f>((1-Summary!$B$55)*IFERROR(B523/Summary!$B$68,1)+Summary!$B$55*IFERROR(B524/Summary!$B$69,1))*100</f>
        <v/>
      </c>
    </row>
    <row r="16">
      <c r="A16" t="inlineStr">
        <is>
          <t>CRIT_DAMAGE %</t>
        </is>
      </c>
      <c r="B16">
        <f>IFERROR(1/(I16-100),"n/a")</f>
        <v/>
      </c>
      <c r="C16" t="inlineStr">
        <is>
          <t>pct</t>
        </is>
      </c>
      <c r="D16">
        <f>Inputs!$B$10</f>
        <v/>
      </c>
      <c r="E16">
        <f>(Inputs!$B$10+1)</f>
        <v/>
      </c>
      <c r="F16">
        <f>Summary!$B$3</f>
        <v/>
      </c>
      <c r="G16">
        <f>B570</f>
        <v/>
      </c>
      <c r="H16">
        <f>Summary!$B$3*(((1-Summary!$B$55)*IFERROR(B568/Summary!$B$68,1)+Summary!$B$55*IFERROR(B569/Summary!$B$69,1))-1)</f>
        <v/>
      </c>
      <c r="I16">
        <f>((1-Summary!$B$55)*IFERROR(B568/Summary!$B$68,1)+Summary!$B$55*IFERROR(B569/Summary!$B$69,1))*100</f>
        <v/>
      </c>
    </row>
    <row r="17">
      <c r="A17" t="inlineStr">
        <is>
          <t>ATTACK_SPEED % (diminishing returns, factor 150)</t>
        </is>
      </c>
      <c r="B17">
        <f>IFERROR(1/(I17-100),"n/a")</f>
        <v/>
      </c>
      <c r="C17" t="inlineStr">
        <is>
          <t>dr150</t>
        </is>
      </c>
      <c r="D17">
        <f>Inputs!$B$11</f>
        <v/>
      </c>
      <c r="E17">
        <f>((1-(1-Inputs!$B$11/150)*(1-1/150))*150)</f>
        <v/>
      </c>
      <c r="F17">
        <f>Summary!$B$3</f>
        <v/>
      </c>
      <c r="G17">
        <f>B615</f>
        <v/>
      </c>
      <c r="H17">
        <f>Summary!$B$3*(((1-Summary!$B$55)*IFERROR(B613/Summary!$B$68,1)+Summary!$B$55*IFERROR(B614/Summary!$B$69,1))-1)</f>
        <v/>
      </c>
      <c r="I17">
        <f>((1-Summary!$B$55)*IFERROR(B613/Summary!$B$68,1)+Summary!$B$55*IFERROR(B614/Summary!$B$69,1))*100</f>
        <v/>
      </c>
    </row>
    <row r="18">
      <c r="A18" t="inlineStr">
        <is>
          <t>DEF_PEN % (diminishing returns, factor 100)</t>
        </is>
      </c>
      <c r="B18">
        <f>IFERROR(1/(I18-100),"n/a")</f>
        <v/>
      </c>
      <c r="C18" t="inlineStr">
        <is>
          <t>dr100</t>
        </is>
      </c>
      <c r="D18">
        <f>Inputs!$B$19</f>
        <v/>
      </c>
      <c r="E18">
        <f>((1-(1-Inputs!$B$19/100)*(1-1/100))*100)</f>
        <v/>
      </c>
      <c r="F18">
        <f>Summary!$B$3</f>
        <v/>
      </c>
      <c r="G18">
        <f>B660</f>
        <v/>
      </c>
      <c r="H18">
        <f>Summary!$B$3*(((1-Summary!$B$55)*IFERROR(B658/Summary!$B$68,1)+Summary!$B$55*IFERROR(B659/Summary!$B$69,1))-1)</f>
        <v/>
      </c>
      <c r="I18">
        <f>((1-Summary!$B$55)*IFERROR(B658/Summary!$B$68,1)+Summary!$B$55*IFERROR(B659/Summary!$B$69,1))*100</f>
        <v/>
      </c>
    </row>
    <row r="19">
      <c r="A19" t="inlineStr">
        <is>
          <t>BASIC_ATTACK_DAMAGE %</t>
        </is>
      </c>
      <c r="B19">
        <f>IFERROR(1/(I19-100),"n/a")</f>
        <v/>
      </c>
      <c r="C19" t="inlineStr">
        <is>
          <t>pct</t>
        </is>
      </c>
      <c r="D19">
        <f>Inputs!$B$17</f>
        <v/>
      </c>
      <c r="E19">
        <f>(Inputs!$B$17+1)</f>
        <v/>
      </c>
      <c r="F19">
        <f>Summary!$B$3</f>
        <v/>
      </c>
      <c r="G19">
        <f>B705</f>
        <v/>
      </c>
      <c r="H19">
        <f>Summary!$B$3*(((1-Summary!$B$55)*IFERROR(B703/Summary!$B$68,1)+Summary!$B$55*IFERROR(B704/Summary!$B$69,1))-1)</f>
        <v/>
      </c>
      <c r="I19">
        <f>((1-Summary!$B$55)*IFERROR(B703/Summary!$B$68,1)+Summary!$B$55*IFERROR(B704/Summary!$B$69,1))*100</f>
        <v/>
      </c>
    </row>
    <row r="20">
      <c r="A20" t="inlineStr">
        <is>
          <t>SKILL_DAMAGE %</t>
        </is>
      </c>
      <c r="B20">
        <f>IFERROR(1/(I20-100),"n/a")</f>
        <v/>
      </c>
      <c r="C20" t="inlineStr">
        <is>
          <t>pct</t>
        </is>
      </c>
      <c r="D20">
        <f>Inputs!$B$18</f>
        <v/>
      </c>
      <c r="E20">
        <f>(Inputs!$B$18+1)</f>
        <v/>
      </c>
      <c r="F20">
        <f>Summary!$B$3</f>
        <v/>
      </c>
      <c r="G20">
        <f>B750</f>
        <v/>
      </c>
      <c r="H20">
        <f>Summary!$B$3*(((1-Summary!$B$55)*IFERROR(B748/Summary!$B$68,1)+Summary!$B$55*IFERROR(B749/Summary!$B$69,1))-1)</f>
        <v/>
      </c>
      <c r="I20">
        <f>((1-Summary!$B$55)*IFERROR(B748/Summary!$B$68,1)+Summary!$B$55*IFERROR(B749/Summary!$B$69,1))*100</f>
        <v/>
      </c>
    </row>
    <row r="21">
      <c r="A21" t="inlineStr">
        <is>
          <t>Skill Level Bonus — 1st Job</t>
        </is>
      </c>
      <c r="B21">
        <f>IFERROR(1/(I21-100),"n/a")</f>
        <v/>
      </c>
      <c r="C21" t="inlineStr">
        <is>
          <t>level</t>
        </is>
      </c>
      <c r="D21">
        <f>Inputs!$B$25</f>
        <v/>
      </c>
      <c r="E21">
        <f>(Inputs!$B$25+1)</f>
        <v/>
      </c>
      <c r="F21">
        <f>Summary!$B$3</f>
        <v/>
      </c>
      <c r="G21">
        <f>B795</f>
        <v/>
      </c>
      <c r="H21">
        <f>Summary!$B$3*(((1-Summary!$B$55)*IFERROR(B793/Summary!$B$68,1)+Summary!$B$55*IFERROR(B794/Summary!$B$69,1))-1)</f>
        <v/>
      </c>
      <c r="I21">
        <f>((1-Summary!$B$55)*IFERROR(B793/Summary!$B$68,1)+Summary!$B$55*IFERROR(B794/Summary!$B$69,1))*100</f>
        <v/>
      </c>
    </row>
    <row r="22">
      <c r="A22" t="inlineStr">
        <is>
          <t>Skill Level Bonus — 2nd Job</t>
        </is>
      </c>
      <c r="B22">
        <f>IFERROR(1/(I22-100),"n/a")</f>
        <v/>
      </c>
      <c r="C22" t="inlineStr">
        <is>
          <t>level</t>
        </is>
      </c>
      <c r="D22">
        <f>Inputs!$B$26</f>
        <v/>
      </c>
      <c r="E22">
        <f>(Inputs!$B$26+1)</f>
        <v/>
      </c>
      <c r="F22">
        <f>Summary!$B$3</f>
        <v/>
      </c>
      <c r="G22">
        <f>B840</f>
        <v/>
      </c>
      <c r="H22">
        <f>Summary!$B$3*(((1-Summary!$B$55)*IFERROR(B838/Summary!$B$68,1)+Summary!$B$55*IFERROR(B839/Summary!$B$69,1))-1)</f>
        <v/>
      </c>
      <c r="I22">
        <f>((1-Summary!$B$55)*IFERROR(B838/Summary!$B$68,1)+Summary!$B$55*IFERROR(B839/Summary!$B$69,1))*100</f>
        <v/>
      </c>
    </row>
    <row r="23">
      <c r="A23" t="inlineStr">
        <is>
          <t>Skill Level Bonus — 3rd Job</t>
        </is>
      </c>
      <c r="B23">
        <f>IFERROR(1/(I23-100),"n/a")</f>
        <v/>
      </c>
      <c r="C23" t="inlineStr">
        <is>
          <t>level</t>
        </is>
      </c>
      <c r="D23">
        <f>Inputs!$B$27</f>
        <v/>
      </c>
      <c r="E23">
        <f>(Inputs!$B$27+1)</f>
        <v/>
      </c>
      <c r="F23">
        <f>Summary!$B$3</f>
        <v/>
      </c>
      <c r="G23">
        <f>B885</f>
        <v/>
      </c>
      <c r="H23">
        <f>Summary!$B$3*(((1-Summary!$B$55)*IFERROR(B883/Summary!$B$68,1)+Summary!$B$55*IFERROR(B884/Summary!$B$69,1))-1)</f>
        <v/>
      </c>
      <c r="I23">
        <f>((1-Summary!$B$55)*IFERROR(B883/Summary!$B$68,1)+Summary!$B$55*IFERROR(B884/Summary!$B$69,1))*100</f>
        <v/>
      </c>
    </row>
    <row r="24">
      <c r="A24" t="inlineStr">
        <is>
          <t>Skill Level Bonus — 4th Job</t>
        </is>
      </c>
      <c r="B24">
        <f>IFERROR(1/(I24-100),"n/a")</f>
        <v/>
      </c>
      <c r="C24" t="inlineStr">
        <is>
          <t>level</t>
        </is>
      </c>
      <c r="D24">
        <f>Inputs!$B$28</f>
        <v/>
      </c>
      <c r="E24">
        <f>(Inputs!$B$28+1)</f>
        <v/>
      </c>
      <c r="F24">
        <f>Summary!$B$3</f>
        <v/>
      </c>
      <c r="G24">
        <f>B930</f>
        <v/>
      </c>
      <c r="H24">
        <f>Summary!$B$3*(((1-Summary!$B$55)*IFERROR(B928/Summary!$B$68,1)+Summary!$B$55*IFERROR(B929/Summary!$B$69,1))-1)</f>
        <v/>
      </c>
      <c r="I24">
        <f>((1-Summary!$B$55)*IFERROR(B928/Summary!$B$68,1)+Summary!$B$55*IFERROR(B929/Summary!$B$69,1))*100</f>
        <v/>
      </c>
    </row>
    <row r="25">
      <c r="A25" t="inlineStr">
        <is>
          <t>Skill Level Bonus — All Skills</t>
        </is>
      </c>
      <c r="B25">
        <f>IFERROR(1/(I25-100),"n/a")</f>
        <v/>
      </c>
      <c r="C25" t="inlineStr">
        <is>
          <t>level</t>
        </is>
      </c>
      <c r="D25">
        <f>Inputs!$B$29</f>
        <v/>
      </c>
      <c r="E25">
        <f>(Inputs!$B$29+1)</f>
        <v/>
      </c>
      <c r="F25">
        <f>Summary!$B$3</f>
        <v/>
      </c>
      <c r="G25">
        <f>B975</f>
        <v/>
      </c>
      <c r="H25">
        <f>Summary!$B$3*(((1-Summary!$B$55)*IFERROR(B973/Summary!$B$68,1)+Summary!$B$55*IFERROR(B974/Summary!$B$69,1))-1)</f>
        <v/>
      </c>
      <c r="I25">
        <f>((1-Summary!$B$55)*IFERROR(B973/Summary!$B$68,1)+Summary!$B$55*IFERROR(B974/Summary!$B$69,1))*100</f>
        <v/>
      </c>
    </row>
    <row r="26">
      <c r="A26" t="inlineStr">
        <is>
          <t>Flat ATTACK</t>
        </is>
      </c>
      <c r="B26">
        <f>IFERROR(1/(I26-100),"n/a")</f>
        <v/>
      </c>
      <c r="C26" t="inlineStr">
        <is>
          <t>flat</t>
        </is>
      </c>
      <c r="D26">
        <f>Inputs!$B$6</f>
        <v/>
      </c>
      <c r="E26">
        <f>(Inputs!$B$6+1)</f>
        <v/>
      </c>
      <c r="F26">
        <f>Summary!$B$3</f>
        <v/>
      </c>
      <c r="G26">
        <f>B1020</f>
        <v/>
      </c>
      <c r="H26">
        <f>Summary!$B$3*(((1-Summary!$B$55)*IFERROR(B1018/Summary!$B$68,1)+Summary!$B$55*IFERROR(B1019/Summary!$B$69,1))-1)</f>
        <v/>
      </c>
      <c r="I26">
        <f>((1-Summary!$B$55)*IFERROR(B1018/Summary!$B$68,1)+Summary!$B$55*IFERROR(B1019/Summary!$B$69,1))*100</f>
        <v/>
      </c>
    </row>
    <row r="27">
      <c r="A27" t="inlineStr">
        <is>
          <t>ATTACK %</t>
        </is>
      </c>
      <c r="B27">
        <f>IFERROR(1/(I27-100),"n/a")</f>
        <v/>
      </c>
      <c r="C27" t="inlineStr">
        <is>
          <t>pct</t>
        </is>
      </c>
      <c r="D27">
        <f>Inputs!$B$7</f>
        <v/>
      </c>
      <c r="E27">
        <f>(Inputs!$B$7+1)</f>
        <v/>
      </c>
      <c r="F27">
        <f>Summary!$B$3</f>
        <v/>
      </c>
      <c r="G27">
        <f>B1065</f>
        <v/>
      </c>
      <c r="H27">
        <f>Summary!$B$3*(((1-Summary!$B$55)*IFERROR(B1063/Summary!$B$68,1)+Summary!$B$55*IFERROR(B1064/Summary!$B$69,1))-1)</f>
        <v/>
      </c>
      <c r="I27">
        <f>((1-Summary!$B$55)*IFERROR(B1063/Summary!$B$68,1)+Summary!$B$55*IFERROR(B1064/Summary!$B$69,1))*100</f>
        <v/>
      </c>
    </row>
    <row r="28">
      <c r="A28" t="inlineStr">
        <is>
          <t>Skill Cooldown Decrease (seconds)</t>
        </is>
      </c>
      <c r="B28">
        <f>IFERROR(1/(I28-100),"n/a")</f>
        <v/>
      </c>
      <c r="C28" t="inlineStr">
        <is>
          <t>flat</t>
        </is>
      </c>
      <c r="D28">
        <f>Inputs!$B$32</f>
        <v/>
      </c>
      <c r="E28">
        <f>(Inputs!$B$32+1)</f>
        <v/>
      </c>
      <c r="F28">
        <f>Summary!$B$3</f>
        <v/>
      </c>
      <c r="G28">
        <f>B1110</f>
        <v/>
      </c>
      <c r="H28">
        <f>Summary!$B$3*(((1-Summary!$B$55)*IFERROR(B1108/Summary!$B$68,1)+Summary!$B$55*IFERROR(B1109/Summary!$B$69,1))-1)</f>
        <v/>
      </c>
      <c r="I28">
        <f>((1-Summary!$B$55)*IFERROR(B1108/Summary!$B$68,1)+Summary!$B$55*IFERROR(B1109/Summary!$B$69,1))*100</f>
        <v/>
      </c>
    </row>
    <row r="29">
      <c r="A29" t="inlineStr">
        <is>
          <t>Basic Attack Target Increase (flat)</t>
        </is>
      </c>
      <c r="B29">
        <f>IFERROR(1/(I29-100),"n/a")</f>
        <v/>
      </c>
      <c r="C29" t="inlineStr">
        <is>
          <t>flat</t>
        </is>
      </c>
      <c r="D29">
        <f>Inputs!$B$33</f>
        <v/>
      </c>
      <c r="E29">
        <f>(Inputs!$B$33+1)</f>
        <v/>
      </c>
      <c r="F29">
        <f>Summary!$B$3</f>
        <v/>
      </c>
      <c r="G29">
        <f>B1155</f>
        <v/>
      </c>
      <c r="H29">
        <f>Summary!$B$3*(((1-Summary!$B$55)*IFERROR(B1153/Summary!$B$68,1)+Summary!$B$55*IFERROR(B1154/Summary!$B$69,1))-1)</f>
        <v/>
      </c>
      <c r="I29">
        <f>((1-Summary!$B$55)*IFERROR(B1153/Summary!$B$68,1)+Summary!$B$55*IFERROR(B1154/Summary!$B$69,1))*100</f>
        <v/>
      </c>
    </row>
    <row r="30">
      <c r="A30" t="inlineStr">
        <is>
          <t>Buff Duration Increase %</t>
        </is>
      </c>
      <c r="B30">
        <f>IFERROR(1/(I30-100),"n/a")</f>
        <v/>
      </c>
      <c r="C30" t="inlineStr">
        <is>
          <t>pct</t>
        </is>
      </c>
      <c r="D30">
        <f>Inputs!$B$34</f>
        <v/>
      </c>
      <c r="E30">
        <f>(Inputs!$B$34+1)</f>
        <v/>
      </c>
      <c r="F30">
        <f>Summary!$B$3</f>
        <v/>
      </c>
      <c r="G30">
        <f>B1200</f>
        <v/>
      </c>
      <c r="H30">
        <f>Summary!$B$3*(((1-Summary!$B$55)*IFERROR(B1198/Summary!$B$68,1)+Summary!$B$55*IFERROR(B1199/Summary!$B$69,1))-1)</f>
        <v/>
      </c>
      <c r="I30">
        <f>((1-Summary!$B$55)*IFERROR(B1198/Summary!$B$68,1)+Summary!$B$55*IFERROR(B1199/Summary!$B$69,1))*100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nputs!$B$16/100)*(5000/(6000+Inputs!$B$42*(1-(Inputs!$B$19+0)/100)))*(1+(Inputs!$B$24+((C57=TRUE)*(F57-Calc!F24))+((C58=TRUE)*(F58-Calc!F25))+B71)/100)*(1+(IF(Skills!A2="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35)</f>
        <v/>
      </c>
      <c r="L35">
        <f>K35*(MIN(Inputs!$B$22+((C56=TRUE)*(F56-Calc!F23)),Inputs!$B$23+((C61=TRUE)*(F61-Calc!F28)))/100+(Inputs!$B$23+((C61=TRUE)*(F61-Calc!F28)))/100)/2</f>
        <v/>
      </c>
      <c r="M35">
        <f>L35*(1+(Inputs!$B$10+0+B70)/100)</f>
        <v/>
      </c>
      <c r="N35">
        <f>L35*(1-MIN((Inputs!$B$9+((C52=TRUE)*(F52-Calc!F19))+B65),100)/100)+M35*(MIN((Inputs!$B$9+((C52=TRUE)*(F52-Calc!F19))+B65),100)/100)</f>
        <v/>
      </c>
      <c r="O35">
        <f>(1-Summary!$B$55)*T35+Summary!$B$55*V35</f>
        <v/>
      </c>
      <c r="P35">
        <f>IF(B75=0,0,O35/B75)</f>
        <v/>
      </c>
      <c r="Q35" t="n">
        <v>0</v>
      </c>
      <c r="R35" t="n">
        <v>0</v>
      </c>
      <c r="S35">
        <f>IFERROR((Skills!G2*N35*B69)/N35*IF(Inputs!$B$38="pvp",1,(1-Summary!$B$55)*1+Summary!$B$55*(MIN((6+Inputs!$B$33),Inputs!$B$37))),0)</f>
        <v/>
      </c>
      <c r="T35">
        <f>IF(C35,(Skills!G2*N35*B69)*IF(Inputs!$B$38="pvp",1,1+(Inputs!$B$20+0+Skills!P2)/100),0)</f>
        <v/>
      </c>
      <c r="U35">
        <f>MAX(0,(Inputs!$B$3-100)*3)+Inputs!$B$28+Inputs!$B$29</f>
        <v/>
      </c>
      <c r="V35">
        <f>IF(C35,(Skills!G2*N35*B69)*IF(Inputs!$B$38="pvp",1,(1+(Inputs!$B$21+Skills!Q2)/100)*(MIN((6+Inputs!$B$33),Inputs!$B$37))),0)</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T36" t="inlineStr"/>
      <c r="U36">
        <f>INDEX(FactorTable!$B$2:$Y$301, MATCH(ROUND(MIN(300,MAX(1,U35)),0), FactorTable!$A$2:$A$301,0), 22)</f>
        <v/>
      </c>
      <c r="V36" t="inlineStr"/>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T37" t="inlineStr"/>
      <c r="U37">
        <f>290*U36/1000</f>
        <v/>
      </c>
      <c r="V37" t="inlineStr"/>
    </row>
    <row r="38">
      <c r="A38">
        <f>Skills!A5</f>
        <v/>
      </c>
      <c r="B38">
        <f>Skills!B5</f>
        <v/>
      </c>
      <c r="C38">
        <f>Inputs!$B$3&gt;=35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nputs!$B$16/100)*(5000/(6000+Inputs!$B$42*(1-(Inputs!$B$19+0)/100)))*(1+(Inputs!$B$24+((C57=TRUE)*(F57-Calc!F24))+((C58=TRUE)*(F58-Calc!F25))+B71)/100)*(1+4.0*IF(C41=TRUE,F41,0)/100)*(1+(IF(Skills!A5="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38)</f>
        <v/>
      </c>
      <c r="L38">
        <f>K38*(MIN(Inputs!$B$22+((C56=TRUE)*(F56-Calc!F23)),Inputs!$B$23+((C61=TRUE)*(F61-Calc!F28)))/100+(Inputs!$B$23+((C61=TRUE)*(F61-Calc!F28)))/100)/2</f>
        <v/>
      </c>
      <c r="M38">
        <f>L38*(1+(Inputs!$B$10+0+B70)/100)</f>
        <v/>
      </c>
      <c r="N38">
        <f>L38*(1-MIN((Inputs!$B$9+((C52=TRUE)*(F52-Calc!F19))+B65),100)/100)+M38*(MIN((Inputs!$B$9+((C52=TRUE)*(F52-Calc!F19))+B65),100)/100)</f>
        <v/>
      </c>
      <c r="O38">
        <f>(1-Summary!$B$55)*T38+Summary!$B$55*V38</f>
        <v/>
      </c>
      <c r="P38">
        <f>IF(B75=0,0,O38/B75)</f>
        <v/>
      </c>
      <c r="Q38">
        <f>IFERROR(1/IF(Inputs!$B$38="pvp",15,MAX(0.1,Skills!D5-IF(Skills!E5=TRUE,Inputs!$B$32,0))),0)</f>
        <v/>
      </c>
      <c r="R38">
        <f>IF(AND(Inputs!$B$38&lt;&gt;"pvp",Inputs!$B$43&gt;0),IF(MAX(0,Inputs!$B$43-B72)&lt;=0,0,(INT(MAX(0,Inputs!$B$43-B72)/IF(Inputs!$B$38="pvp",15,MAX(0.1,Skills!D5-IF(Skills!E5=TRUE,Inputs!$B$32,0))))+1)),0)</f>
        <v/>
      </c>
      <c r="S38">
        <f>IFERROR((H38*N38*IF(AND(Inputs!$B$38&lt;&gt;"pvp",Inputs!$B$43&gt;0),((Skills!G5*((R38-1)*IF(Skills!H5&gt;0,Skills!I5/Skills!H5,1)+IF(Skills!H5&gt;0,MIN(Skills!I5,MAX(0,MAX(0,Inputs!$B$43-B72)-((R38-1)*IF(Inputs!$B$38="pvp",15,MAX(0.1,Skills!D5-IF(Skills!E5=TRUE,Inputs!$B$32,0))))))/Skills!H5,1)))/Inputs!$B$43),G38*Q38))/N38*IF(Inputs!$B$38="pvp",1,(1-Summary!$B$55)*1+Summary!$B$55*(MIN(Skills!R5,Inputs!$B$37))),0)</f>
        <v/>
      </c>
      <c r="T38">
        <f>IF(C38,(H38*N38*IF(AND(Inputs!$B$38&lt;&gt;"pvp",Inputs!$B$43&gt;0),((Skills!G5*((R38-1)*IF(Skills!H5&gt;0,Skills!I5/Skills!H5,1)+IF(Skills!H5&gt;0,MIN(Skills!I5,MAX(0,MAX(0,Inputs!$B$43-B72)-((R38-1)*IF(Inputs!$B$38="pvp",15,MAX(0.1,Skills!D5-IF(Skills!E5=TRUE,Inputs!$B$32,0))))))/Skills!H5,1)))/Inputs!$B$43),G38*Q38))*IF(Inputs!$B$38="pvp",1,1+(Inputs!$B$20+0+Skills!P5)/100),0)</f>
        <v/>
      </c>
      <c r="V38">
        <f>IF(C38,(H38*N38*IF(AND(Inputs!$B$38&lt;&gt;"pvp",Inputs!$B$43&gt;0),((Skills!G5*((R38-1)*IF(Skills!H5&gt;0,Skills!I5/Skills!H5,1)+IF(Skills!H5&gt;0,MIN(Skills!I5,MAX(0,MAX(0,Inputs!$B$43-B72)-((R38-1)*IF(Inputs!$B$38="pvp",15,MAX(0.1,Skills!D5-IF(Skills!E5=TRUE,Inputs!$B$32,0))))))/Skills!H5,1)))/Inputs!$B$43),G38*Q38))*IF(Inputs!$B$38="pvp",1,(1+(Inputs!$B$21+Skills!Q5)/100)*(MIN(Skills!R5,Inputs!$B$37))),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nputs!$B$16/100)*(5000/(6000+Inputs!$B$42*(1-(Inputs!$B$19+0)/100)))*(1+(Inputs!$B$24+((C57=TRUE)*(F57-Calc!F24))+((C58=TRUE)*(F58-Calc!F25))+B71)/100)*(1+1.0*IF(C41=TRUE,F41,0)/100)*(1+(IF(Skills!A6="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39)</f>
        <v/>
      </c>
      <c r="L39">
        <f>K39*(MIN(Inputs!$B$22+((C56=TRUE)*(F56-Calc!F23)),Inputs!$B$23+((C61=TRUE)*(F61-Calc!F28)))/100+(Inputs!$B$23+((C61=TRUE)*(F61-Calc!F28)))/100)/2</f>
        <v/>
      </c>
      <c r="M39">
        <f>L39*(1+(Inputs!$B$10+0+B70)/100)</f>
        <v/>
      </c>
      <c r="N39">
        <f>L39*(1-MIN((Inputs!$B$9+((C52=TRUE)*(F52-Calc!F19))+B65),100)/100)+M39*(MIN((Inputs!$B$9+((C52=TRUE)*(F52-Calc!F19))+B65),100)/100)</f>
        <v/>
      </c>
      <c r="O39">
        <f>(1-Summary!$B$55)*T39+Summary!$B$55*V39</f>
        <v/>
      </c>
      <c r="P39">
        <f>IF(B75=0,0,O39/B75)</f>
        <v/>
      </c>
      <c r="Q39">
        <f>IFERROR(1/IF(Inputs!$B$38="pvp",15,MAX(0.1,Skills!D6-IF(Skills!E6=TRUE,Inputs!$B$32,0))),0)</f>
        <v/>
      </c>
      <c r="R39">
        <f>IF(AND(Inputs!$B$38&lt;&gt;"pvp",Inputs!$B$43&gt;0),IF(MAX(0,Inputs!$B$43-B72)&lt;=0,0,(INT(MAX(0,Inputs!$B$43-B72)/IF(Inputs!$B$38="pvp",15,MAX(0.1,Skills!D6-IF(Skills!E6=TRUE,Inputs!$B$32,0))))+1)),0)</f>
        <v/>
      </c>
      <c r="S39">
        <f>IFERROR((H39*N39*IF(AND(Inputs!$B$38&lt;&gt;"pvp",Inputs!$B$43&gt;0),((Skills!G6*((R39-1)*IF(Skills!H6&gt;0,Skills!I6/Skills!H6,1)+IF(Skills!H6&gt;0,MIN(Skills!I6,MAX(0,MAX(0,Inputs!$B$43-B72)-((R39-1)*IF(Inputs!$B$38="pvp",15,MAX(0.1,Skills!D6-IF(Skills!E6=TRUE,Inputs!$B$32,0))))))/Skills!H6,1)))/Inputs!$B$43),G39*Q39))/N39*IF(Inputs!$B$38="pvp",1,(1-Summary!$B$55)*1+Summary!$B$55*(MIN(Skills!R6,Inputs!$B$37))),0)</f>
        <v/>
      </c>
      <c r="T39">
        <f>IF(C39,(H39*N39*IF(AND(Inputs!$B$38&lt;&gt;"pvp",Inputs!$B$43&gt;0),((Skills!G6*((R39-1)*IF(Skills!H6&gt;0,Skills!I6/Skills!H6,1)+IF(Skills!H6&gt;0,MIN(Skills!I6,MAX(0,MAX(0,Inputs!$B$43-B72)-((R39-1)*IF(Inputs!$B$38="pvp",15,MAX(0.1,Skills!D6-IF(Skills!E6=TRUE,Inputs!$B$32,0))))))/Skills!H6,1)))/Inputs!$B$43),G39*Q39))*IF(Inputs!$B$38="pvp",1,1+(Inputs!$B$20+0+Skills!P6)/100),0)</f>
        <v/>
      </c>
      <c r="V39">
        <f>IF(C39,(H39*N39*IF(AND(Inputs!$B$38&lt;&gt;"pvp",Inputs!$B$43&gt;0),((Skills!G6*((R39-1)*IF(Skills!H6&gt;0,Skills!I6/Skills!H6,1)+IF(Skills!H6&gt;0,MIN(Skills!I6,MAX(0,MAX(0,Inputs!$B$43-B72)-((R39-1)*IF(Inputs!$B$38="pvp",15,MAX(0.1,Skills!D6-IF(Skills!E6=TRUE,Inputs!$B$32,0))))))/Skills!H6,1)))/Inputs!$B$43),G39*Q39))*IF(Inputs!$B$38="pvp",1,(1+(Inputs!$B$21+Skills!Q6)/100)*(MIN(Skills!R6,Inputs!$B$37))),0)</f>
        <v/>
      </c>
    </row>
    <row r="40">
      <c r="A40">
        <f>Skills!A7</f>
        <v/>
      </c>
      <c r="B40">
        <f>Skills!B7</f>
        <v/>
      </c>
      <c r="C40">
        <f>Inputs!$B$3&gt;=69</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nputs!$B$16/100)*(5000/(6000+Inputs!$B$42*(1-(Inputs!$B$19+0)/100)))*(1+(Inputs!$B$24+((C57=TRUE)*(F57-Calc!F24))+((C58=TRUE)*(F58-Calc!F25))+B71)/100)*(1+1.2*IF(C41=TRUE,F41,0)/100)*(1+(IF(Skills!A7="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40)</f>
        <v/>
      </c>
      <c r="L40">
        <f>K40*(MIN(Inputs!$B$22+((C56=TRUE)*(F56-Calc!F23)),Inputs!$B$23+((C61=TRUE)*(F61-Calc!F28)))/100+(Inputs!$B$23+((C61=TRUE)*(F61-Calc!F28)))/100)/2</f>
        <v/>
      </c>
      <c r="M40">
        <f>L40*(1+(Inputs!$B$10+0+B70)/100)</f>
        <v/>
      </c>
      <c r="N40">
        <f>L40*(1-MIN((Inputs!$B$9+((C52=TRUE)*(F52-Calc!F19))+B65),100)/100)+M40*(MIN((Inputs!$B$9+((C52=TRUE)*(F52-Calc!F19))+B65),100)/100)</f>
        <v/>
      </c>
      <c r="O40">
        <f>(1-Summary!$B$55)*T40+Summary!$B$55*V40</f>
        <v/>
      </c>
      <c r="P40">
        <f>IF(B75=0,0,O40/B75)</f>
        <v/>
      </c>
      <c r="Q40">
        <f>IFERROR(1/IF(Inputs!$B$38="pvp",15,MAX(0.1,Skills!D7-IF(Skills!E7=TRUE,Inputs!$B$32,0))),0)</f>
        <v/>
      </c>
      <c r="R40">
        <f>IF(AND(Inputs!$B$38&lt;&gt;"pvp",Inputs!$B$43&gt;0),IF(MAX(0,Inputs!$B$43-B72)&lt;=0,0,(INT(MAX(0,Inputs!$B$43-B72)/IF(Inputs!$B$38="pvp",15,MAX(0.1,Skills!D7-IF(Skills!E7=TRUE,Inputs!$B$32,0))))+1)),0)</f>
        <v/>
      </c>
      <c r="S40">
        <f>IFERROR((H40*N40*IF(AND(Inputs!$B$38&lt;&gt;"pvp",Inputs!$B$43&gt;0),((Skills!G7*((R40-1)*IF(Skills!H7&gt;0,Skills!I7/Skills!H7,1)+IF(Skills!H7&gt;0,MIN(Skills!I7,MAX(0,MAX(0,Inputs!$B$43-B72)-((R40-1)*IF(Inputs!$B$38="pvp",15,MAX(0.1,Skills!D7-IF(Skills!E7=TRUE,Inputs!$B$32,0))))))/Skills!H7,1)))/Inputs!$B$43),G40*Q40))/N40*IF(Inputs!$B$38="pvp",1,(1-Summary!$B$55)*1+Summary!$B$55*(MIN(Skills!R7,Inputs!$B$37))),0)</f>
        <v/>
      </c>
      <c r="T40">
        <f>IF(C40,(H40*N40*IF(AND(Inputs!$B$38&lt;&gt;"pvp",Inputs!$B$43&gt;0),((Skills!G7*((R40-1)*IF(Skills!H7&gt;0,Skills!I7/Skills!H7,1)+IF(Skills!H7&gt;0,MIN(Skills!I7,MAX(0,MAX(0,Inputs!$B$43-B72)-((R40-1)*IF(Inputs!$B$38="pvp",15,MAX(0.1,Skills!D7-IF(Skills!E7=TRUE,Inputs!$B$32,0))))))/Skills!H7,1)))/Inputs!$B$43),G40*Q40))*IF(Inputs!$B$38="pvp",1,1+(Inputs!$B$20+0+Skills!P7)/100),0)</f>
        <v/>
      </c>
      <c r="V40">
        <f>IF(C40,(H40*N40*IF(AND(Inputs!$B$38&lt;&gt;"pvp",Inputs!$B$43&gt;0),((Skills!G7*((R40-1)*IF(Skills!H7&gt;0,Skills!I7/Skills!H7,1)+IF(Skills!H7&gt;0,MIN(Skills!I7,MAX(0,MAX(0,Inputs!$B$43-B72)-((R40-1)*IF(Inputs!$B$38="pvp",15,MAX(0.1,Skills!D7-IF(Skills!E7=TRUE,Inputs!$B$32,0))))))/Skills!H7,1)))/Inputs!$B$43),G40*Q40))*IF(Inputs!$B$38="pvp",1,(1+(Inputs!$B$21+Skills!Q7)/100)*(MIN(Skills!R7,Inputs!$B$37))),0)</f>
        <v/>
      </c>
    </row>
    <row r="41">
      <c r="A41">
        <f>Skills!A8</f>
        <v/>
      </c>
      <c r="B41">
        <f>Skills!B8</f>
        <v/>
      </c>
      <c r="C41">
        <f>Inputs!$B$3&gt;=100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t="inlineStr"/>
      <c r="H41" t="inlineStr"/>
      <c r="I41" t="inlineStr">
        <is>
          <t>1</t>
        </is>
      </c>
      <c r="J41" t="inlineStr"/>
      <c r="K41" t="inlineStr"/>
      <c r="L41" t="inlineStr"/>
      <c r="M41" t="inlineStr"/>
      <c r="N41" t="inlineStr"/>
      <c r="O41" t="inlineStr"/>
      <c r="P41" t="inlineStr"/>
      <c r="Q41" t="inlineStr"/>
      <c r="R41" t="inlineStr"/>
      <c r="S41" t="inlineStr"/>
      <c r="T41" t="inlineStr"/>
      <c r="V41" t="inlineStr"/>
    </row>
    <row r="42">
      <c r="A42">
        <f>Skills!A9</f>
        <v/>
      </c>
      <c r="B42">
        <f>Skills!B9</f>
        <v/>
      </c>
      <c r="C42">
        <f>Inputs!$B$3&gt;=103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nputs!$B$16/100)*(5000/(6000+Inputs!$B$42*(1-(Inputs!$B$19+0)/100)))*(1+(Inputs!$B$24+((C57=TRUE)*(F57-Calc!F24))+((C58=TRUE)*(F58-Calc!F25))+B71)/100)*(1+(IF(Skills!A9="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42)</f>
        <v/>
      </c>
      <c r="L42">
        <f>K42*(MIN(Inputs!$B$22+((C56=TRUE)*(F56-Calc!F23)),Inputs!$B$23+((C61=TRUE)*(F61-Calc!F28)))/100+(Inputs!$B$23+((C61=TRUE)*(F61-Calc!F28)))/100)/2</f>
        <v/>
      </c>
      <c r="M42">
        <f>L42*(1+(Inputs!$B$10+0+B70)/100)</f>
        <v/>
      </c>
      <c r="N42">
        <f>L42*(1-MIN((Inputs!$B$9+((C52=TRUE)*(F52-Calc!F19))+B65),100)/100)+M42*(MIN((Inputs!$B$9+((C52=TRUE)*(F52-Calc!F19))+B65),100)/100)</f>
        <v/>
      </c>
      <c r="O42">
        <f>(1-Summary!$B$55)*T42+Summary!$B$55*V42</f>
        <v/>
      </c>
      <c r="P42">
        <f>IF(B75=0,0,O42/B75)</f>
        <v/>
      </c>
      <c r="Q42">
        <f>IFERROR(1/IF(Inputs!$B$38="pvp",15,MAX(0.1,Skills!D9-IF(Skills!E9=TRUE,Inputs!$B$32,0))),0)</f>
        <v/>
      </c>
      <c r="R42">
        <f>IF(AND(Inputs!$B$38&lt;&gt;"pvp",Inputs!$B$43&gt;0),IF(MAX(0,Inputs!$B$43-B72)&lt;=0,0,(INT(MAX(0,Inputs!$B$43-B72)/IF(Inputs!$B$38="pvp",15,MAX(0.1,Skills!D9-IF(Skills!E9=TRUE,Inputs!$B$32,0))))+1)),0)</f>
        <v/>
      </c>
      <c r="S42">
        <f>IFERROR((H42*N42*IF(AND(Inputs!$B$38&lt;&gt;"pvp",Inputs!$B$43&gt;0),((Skills!G9*((R42-1)*IF(Skills!H9&gt;0,Skills!I9/Skills!H9,1)+IF(Skills!H9&gt;0,MIN(Skills!I9,MAX(0,MAX(0,Inputs!$B$43-B72)-((R42-1)*IF(Inputs!$B$38="pvp",15,MAX(0.1,Skills!D9-IF(Skills!E9=TRUE,Inputs!$B$32,0))))))/Skills!H9,1)))/Inputs!$B$43),G42*Q42))/N42*IF(Inputs!$B$38="pvp",1,(1-Summary!$B$55)*1+Summary!$B$55*(MIN(Skills!R9,Inputs!$B$37))),0)</f>
        <v/>
      </c>
      <c r="T42">
        <f>IF(C42,(H42*N42*IF(AND(Inputs!$B$38&lt;&gt;"pvp",Inputs!$B$43&gt;0),((Skills!G9*((R42-1)*IF(Skills!H9&gt;0,Skills!I9/Skills!H9,1)+IF(Skills!H9&gt;0,MIN(Skills!I9,MAX(0,MAX(0,Inputs!$B$43-B72)-((R42-1)*IF(Inputs!$B$38="pvp",15,MAX(0.1,Skills!D9-IF(Skills!E9=TRUE,Inputs!$B$32,0))))))/Skills!H9,1)))/Inputs!$B$43),G42*Q42))*IF(Inputs!$B$38="pvp",1,1+(Inputs!$B$20+0+Skills!P9)/100),0)</f>
        <v/>
      </c>
      <c r="V42">
        <f>IF(C42,(H42*N42*IF(AND(Inputs!$B$38&lt;&gt;"pvp",Inputs!$B$43&gt;0),((Skills!G9*((R42-1)*IF(Skills!H9&gt;0,Skills!I9/Skills!H9,1)+IF(Skills!H9&gt;0,MIN(Skills!I9,MAX(0,MAX(0,Inputs!$B$43-B72)-((R42-1)*IF(Inputs!$B$38="pvp",15,MAX(0.1,Skills!D9-IF(Skills!E9=TRUE,Inputs!$B$32,0))))))/Skills!H9,1)))/Inputs!$B$43),G42*Q42))*IF(Inputs!$B$38="pvp",1,(1+(Inputs!$B$21+Skills!Q9)/100)*(MIN(Skills!R9,Inputs!$B$37))),0)</f>
        <v/>
      </c>
    </row>
    <row r="43">
      <c r="A43">
        <f>Skills!A10</f>
        <v/>
      </c>
      <c r="B43">
        <f>Skills!B10</f>
        <v/>
      </c>
      <c r="C43">
        <f>Inputs!$B$3&gt;=107</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nputs!$B$16/100)*(5000/(6000+Inputs!$B$42*(1-(Inputs!$B$19+0)/100)))*(1+(Inputs!$B$24+((C57=TRUE)*(F57-Calc!F24))+((C58=TRUE)*(F58-Calc!F25))+B71)/100)*(1+(IF(Skills!A10="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43)</f>
        <v/>
      </c>
      <c r="L43">
        <f>K43*(MIN(Inputs!$B$22+((C56=TRUE)*(F56-Calc!F23)),Inputs!$B$23+((C61=TRUE)*(F61-Calc!F28)))/100+(Inputs!$B$23+((C61=TRUE)*(F61-Calc!F28)))/100)/2</f>
        <v/>
      </c>
      <c r="M43">
        <f>L43*(1+(Inputs!$B$10+0+B70)/100)</f>
        <v/>
      </c>
      <c r="N43">
        <f>L43*(1-MIN((Inputs!$B$9+((C52=TRUE)*(F52-Calc!F19))+B65),100)/100)+M43*(MIN((Inputs!$B$9+((C52=TRUE)*(F52-Calc!F19))+B65),100)/100)</f>
        <v/>
      </c>
      <c r="O43">
        <f>(1-Summary!$B$55)*T43+Summary!$B$55*V43</f>
        <v/>
      </c>
      <c r="P43">
        <f>IF(B75=0,0,O43/B75)</f>
        <v/>
      </c>
      <c r="Q43" t="n">
        <v>0</v>
      </c>
      <c r="R43" t="n">
        <v>0</v>
      </c>
      <c r="S43" t="n">
        <v>0</v>
      </c>
      <c r="T43">
        <f>IF(C43,(0.15*SUMPRODUCT((Skills!U2:U29=TRUE)*(C35:C62=TRUE)*S35:S62)*Skills!G10*N43)*IF(Inputs!$B$38="pvp",1,1+(Inputs!$B$20+0+Skills!P10)/100),0)</f>
        <v/>
      </c>
      <c r="V43">
        <f>IF(C43,(0.15*SUMPRODUCT((Skills!U2:U29=TRUE)*(C35:C62=TRUE)*S35:S62)*Skills!G10*N43)*IF(Inputs!$B$38="pvp",1,(1+(Inputs!$B$21+Skills!Q10)/100)*(MIN(Skills!R10,Inputs!$B$37))),0)</f>
        <v/>
      </c>
    </row>
    <row r="44">
      <c r="A44">
        <f>Skills!A11</f>
        <v/>
      </c>
      <c r="B44">
        <f>Skills!B11</f>
        <v/>
      </c>
      <c r="C44">
        <f>Inputs!$B$3&gt;=110</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nputs!$B$16/100)*(5000/(6000+Inputs!$B$42*(1-(Inputs!$B$19+0)/100)))*(1+(Inputs!$B$24+((C57=TRUE)*(F57-Calc!F24))+((C58=TRUE)*(F58-Calc!F25))+B71)/100)*(1+(IF(Skills!A11="EMPOWERED_PIERCING_ARROW",Inputs!$B$17+((C55=TRUE)*(F55-Calc!F22)),Inputs!$B$18+((C60=TRUE)*(F60-Calc!F27))))/100)*((1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I44)</f>
        <v/>
      </c>
      <c r="L44">
        <f>K44*(MIN(Inputs!$B$22+((C56=TRUE)*(F56-Calc!F23)),Inputs!$B$23+((C61=TRUE)*(F61-Calc!F28)))/100+(Inputs!$B$23+((C61=TRUE)*(F61-Calc!F28)))/100)/2</f>
        <v/>
      </c>
      <c r="M44">
        <f>L44*(1+(Inputs!$B$10+0+B70)/100)</f>
        <v/>
      </c>
      <c r="N44">
        <f>L44*(1-MIN((Inputs!$B$9+((C52=TRUE)*(F52-Calc!F19))+B65),100)/100)+M44*(MIN((Inputs!$B$9+((C52=TRUE)*(F52-Calc!F19))+B65),100)/100)</f>
        <v/>
      </c>
      <c r="O44">
        <f>(1-Summary!$B$55)*T44+Summary!$B$55*V44</f>
        <v/>
      </c>
      <c r="P44">
        <f>IF(B75=0,0,O44/B75)</f>
        <v/>
      </c>
      <c r="Q44">
        <f>IFERROR(1/IF(Inputs!$B$38="pvp",15,MAX(0.1,Skills!D11-IF(Skills!E11=TRUE,Inputs!$B$32,0))),0)</f>
        <v/>
      </c>
      <c r="R44">
        <f>IF(AND(Inputs!$B$38&lt;&gt;"pvp",Inputs!$B$43&gt;0),IF(MAX(0,Inputs!$B$43-B72)&lt;=0,0,(INT(MAX(0,Inputs!$B$43-B72)/IF(Inputs!$B$38="pvp",15,MAX(0.1,Skills!D11-IF(Skills!E11=TRUE,Inputs!$B$32,0))))+1)),0)</f>
        <v/>
      </c>
      <c r="S44">
        <f>IFERROR((H44*N44*IF(AND(Inputs!$B$38&lt;&gt;"pvp",Inputs!$B$43&gt;0),((Skills!G11*((R44-1)*IF(Skills!H11&gt;0,Skills!I11/Skills!H11,1)+IF(Skills!H11&gt;0,MIN(Skills!I11,MAX(0,MAX(0,Inputs!$B$43-B72)-((R44-1)*IF(Inputs!$B$38="pvp",15,MAX(0.1,Skills!D11-IF(Skills!E11=TRUE,Inputs!$B$32,0))))))/Skills!H11,1)))/Inputs!$B$43),G44*Q44))/N44*IF(Inputs!$B$38="pvp",1,(1-Summary!$B$55)*1+Summary!$B$55*(MIN(Skills!R11,Inputs!$B$37))),0)</f>
        <v/>
      </c>
      <c r="T44">
        <f>IF(C44,(H44*N44*IF(AND(Inputs!$B$38&lt;&gt;"pvp",Inputs!$B$43&gt;0),((Skills!G11*((R44-1)*IF(Skills!H11&gt;0,Skills!I11/Skills!H11,1)+IF(Skills!H11&gt;0,MIN(Skills!I11,MAX(0,MAX(0,Inputs!$B$43-B72)-((R44-1)*IF(Inputs!$B$38="pvp",15,MAX(0.1,Skills!D11-IF(Skills!E11=TRUE,Inputs!$B$32,0))))))/Skills!H11,1)))/Inputs!$B$43),G44*Q44))*IF(Inputs!$B$38="pvp",1,1+(Inputs!$B$20+0+Skills!P11)/100),0)</f>
        <v/>
      </c>
      <c r="V44">
        <f>IF(C44,(H44*N44*IF(AND(Inputs!$B$38&lt;&gt;"pvp",Inputs!$B$43&gt;0),((Skills!G11*((R44-1)*IF(Skills!H11&gt;0,Skills!I11/Skills!H11,1)+IF(Skills!H11&gt;0,MIN(Skills!I11,MAX(0,MAX(0,Inputs!$B$43-B72)-((R44-1)*IF(Inputs!$B$38="pvp",15,MAX(0.1,Skills!D11-IF(Skills!E11=TRUE,Inputs!$B$32,0))))))/Skills!H11,1)))/Inputs!$B$43),G44*Q44))*IF(Inputs!$B$38="pvp",1,(1+(Inputs!$B$21+Skills!Q11)/100)*(MIN(Skills!R11,Inputs!$B$37))),0)</f>
        <v/>
      </c>
    </row>
    <row r="45">
      <c r="A45">
        <f>Skills!A12</f>
        <v/>
      </c>
      <c r="B45">
        <f>Skills!B12</f>
        <v/>
      </c>
      <c r="C45">
        <f>Inputs!$B$3&gt;=60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t="inlineStr"/>
      <c r="K45" t="inlineStr"/>
      <c r="L45" t="inlineStr"/>
      <c r="M45" t="inlineStr"/>
      <c r="N45" t="inlineStr"/>
      <c r="O45">
        <f>(1-Summary!$B$55)*T45+Summary!$B$55*V45</f>
        <v/>
      </c>
      <c r="P45">
        <f>IF(B75=0,0,O45/B75)</f>
        <v/>
      </c>
      <c r="Q45" t="n">
        <v>0</v>
      </c>
      <c r="R45" t="n">
        <v>0</v>
      </c>
      <c r="S45" t="n">
        <v>0</v>
      </c>
      <c r="T45" t="n">
        <v>0</v>
      </c>
      <c r="V45" t="n">
        <v>0</v>
      </c>
    </row>
    <row r="46">
      <c r="A46">
        <f>Skills!A13</f>
        <v/>
      </c>
      <c r="B46">
        <f>Skills!B13</f>
        <v/>
      </c>
      <c r="C46">
        <f>Inputs!$B$3&gt;=74</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f>(1-Summary!$B$55)*T46+Summary!$B$55*V46</f>
        <v/>
      </c>
      <c r="P46">
        <f>IF(B75=0,0,O46/B75)</f>
        <v/>
      </c>
      <c r="Q46" t="n">
        <v>0</v>
      </c>
      <c r="R46" t="n">
        <v>0</v>
      </c>
      <c r="S46" t="n">
        <v>0</v>
      </c>
      <c r="T46" t="n">
        <v>0</v>
      </c>
      <c r="V46" t="n">
        <v>0</v>
      </c>
    </row>
    <row r="47">
      <c r="A47">
        <f>Skills!A14</f>
        <v/>
      </c>
      <c r="B47">
        <f>Skills!B14</f>
        <v/>
      </c>
      <c r="C47">
        <f>Inputs!$B$3&gt;=74</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f>(1-Summary!$B$55)*T47+Summary!$B$55*V47</f>
        <v/>
      </c>
      <c r="P47">
        <f>IF(B75=0,0,O47/B75)</f>
        <v/>
      </c>
      <c r="Q47" t="n">
        <v>0</v>
      </c>
      <c r="R47" t="n">
        <v>0</v>
      </c>
      <c r="S47" t="n">
        <v>0</v>
      </c>
      <c r="T47" t="n">
        <v>0</v>
      </c>
      <c r="V47" t="n">
        <v>0</v>
      </c>
    </row>
    <row r="48">
      <c r="A48">
        <f>Skills!A15</f>
        <v/>
      </c>
      <c r="B48">
        <f>Skills!B15</f>
        <v/>
      </c>
      <c r="C48">
        <f>Inputs!$B$3&gt;=117</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f>(1-Summary!$B$55)*T48+Summary!$B$55*V48</f>
        <v/>
      </c>
      <c r="P48">
        <f>IF(B75=0,0,O48/B75)</f>
        <v/>
      </c>
      <c r="Q48">
        <f>IFERROR(1/IF(Inputs!$B$38="pvp",15,MAX(0.1,Skills!D15-IF(Skills!E15=TRUE,Inputs!$B$32,0))),0)</f>
        <v/>
      </c>
      <c r="R48">
        <f>IF(AND(Inputs!$B$38&lt;&gt;"pvp",Inputs!$B$43&gt;0),IF(Inputs!$B$43&lt;=0,0,(INT(Inputs!$B$43/IF(Inputs!$B$38="pvp",15,MAX(0.1,Skills!D15-IF(Skills!E15=TRUE,Inputs!$B$32,0))))+1)),0)</f>
        <v/>
      </c>
      <c r="S48" t="n">
        <v>0</v>
      </c>
      <c r="T48" t="n">
        <v>0</v>
      </c>
      <c r="V48" t="n">
        <v>0</v>
      </c>
    </row>
    <row r="49">
      <c r="A49">
        <f>Skills!A16</f>
        <v/>
      </c>
      <c r="B49">
        <f>Skills!B16</f>
        <v/>
      </c>
      <c r="C49">
        <f>Inputs!$B$3&gt;=115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f>(1-Summary!$B$55)*T49+Summary!$B$55*V49</f>
        <v/>
      </c>
      <c r="P49">
        <f>IF(B75=0,0,O49/B75)</f>
        <v/>
      </c>
      <c r="Q49">
        <f>IFERROR(1/IF(Inputs!$B$38="pvp",15,MAX(0.1,Skills!D16-IF(Skills!E16=TRUE,Inputs!$B$32,0))),0)</f>
        <v/>
      </c>
      <c r="R49">
        <f>IF(AND(Inputs!$B$38&lt;&gt;"pvp",Inputs!$B$43&gt;0),IF(Inputs!$B$43&lt;=0,0,(INT(Inputs!$B$43/IF(Inputs!$B$38="pvp",15,MAX(0.1,Skills!D16-IF(Skills!E16=TRUE,Inputs!$B$32,0))))+1)),0)</f>
        <v/>
      </c>
      <c r="S49" t="n">
        <v>0</v>
      </c>
      <c r="T49" t="n">
        <v>0</v>
      </c>
      <c r="V49" t="n">
        <v>0</v>
      </c>
    </row>
    <row r="50">
      <c r="A50">
        <f>Skills!A17</f>
        <v/>
      </c>
      <c r="B50">
        <f>Skills!B17</f>
        <v/>
      </c>
      <c r="C50">
        <f>Inputs!$B$3&gt;=72</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f>(1-Summary!$B$55)*T50+Summary!$B$55*V50</f>
        <v/>
      </c>
      <c r="P50">
        <f>IF(B75=0,0,O50/B75)</f>
        <v/>
      </c>
      <c r="Q50" t="n">
        <v>0</v>
      </c>
      <c r="R50" t="n">
        <v>0</v>
      </c>
      <c r="S50" t="n">
        <v>0</v>
      </c>
      <c r="T50" t="n">
        <v>0</v>
      </c>
      <c r="V50" t="n">
        <v>0</v>
      </c>
    </row>
    <row r="51">
      <c r="A51">
        <f>Skills!A18</f>
        <v/>
      </c>
      <c r="B51">
        <f>Skills!B18</f>
        <v/>
      </c>
      <c r="C51">
        <f>TRUE</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f>(1-Summary!$B$55)*T51+Summary!$B$55*V51</f>
        <v/>
      </c>
      <c r="P51">
        <f>IF(B75=0,0,O51/B75)</f>
        <v/>
      </c>
      <c r="Q51">
        <f>IFERROR(1/IF(Inputs!$B$38="pvp",15,MAX(0.1,Skills!D18-IF(Skills!E18=TRUE,Inputs!$B$32,0))),0)</f>
        <v/>
      </c>
      <c r="R51">
        <f>IF(AND(Inputs!$B$38&lt;&gt;"pvp",Inputs!$B$43&gt;0),IF(Inputs!$B$43&lt;=0,0,(INT(Inputs!$B$43/IF(Inputs!$B$38="pvp",15,MAX(0.1,Skills!D18-IF(Skills!E18=TRUE,Inputs!$B$32,0))))+1)),0)</f>
        <v/>
      </c>
      <c r="S51" t="n">
        <v>0</v>
      </c>
      <c r="T51" t="n">
        <v>0</v>
      </c>
      <c r="V51" t="n">
        <v>0</v>
      </c>
    </row>
    <row r="52">
      <c r="A52">
        <f>Skills!A19</f>
        <v/>
      </c>
      <c r="B52">
        <f>Skills!B19</f>
        <v/>
      </c>
      <c r="C52">
        <f>Inputs!$B$3&gt;=15</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f>(1-Summary!$B$55)*T52+Summary!$B$55*V52</f>
        <v/>
      </c>
      <c r="P52">
        <f>IF(B75=0,0,O52/B75)</f>
        <v/>
      </c>
      <c r="Q52" t="n">
        <v>0</v>
      </c>
      <c r="R52" t="n">
        <v>0</v>
      </c>
      <c r="S52" t="n">
        <v>0</v>
      </c>
      <c r="T52" t="n">
        <v>0</v>
      </c>
      <c r="V52" t="n">
        <v>0</v>
      </c>
    </row>
    <row r="53">
      <c r="A53">
        <f>Skills!A20</f>
        <v/>
      </c>
      <c r="B53">
        <f>Skills!B20</f>
        <v/>
      </c>
      <c r="C53">
        <f>Inputs!$B$3&gt;=10</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f>(1-Summary!$B$55)*T53+Summary!$B$55*V53</f>
        <v/>
      </c>
      <c r="P53">
        <f>IF(B75=0,0,O53/B75)</f>
        <v/>
      </c>
      <c r="Q53" t="n">
        <v>0</v>
      </c>
      <c r="R53" t="n">
        <v>0</v>
      </c>
      <c r="S53" t="n">
        <v>0</v>
      </c>
      <c r="T53" t="n">
        <v>0</v>
      </c>
      <c r="V53" t="n">
        <v>0</v>
      </c>
    </row>
    <row r="54">
      <c r="A54">
        <f>Skills!A21</f>
        <v/>
      </c>
      <c r="B54">
        <f>Skills!B21</f>
        <v/>
      </c>
      <c r="C54">
        <f>Inputs!$B$3&gt;=33</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f>(1-Summary!$B$55)*T54+Summary!$B$55*V54</f>
        <v/>
      </c>
      <c r="P54">
        <f>IF(B75=0,0,O54/B75)</f>
        <v/>
      </c>
      <c r="Q54" t="n">
        <v>0</v>
      </c>
      <c r="R54" t="n">
        <v>0</v>
      </c>
      <c r="S54" t="n">
        <v>0</v>
      </c>
      <c r="T54" t="n">
        <v>0</v>
      </c>
      <c r="V54" t="n">
        <v>0</v>
      </c>
    </row>
    <row r="55">
      <c r="A55">
        <f>Skills!A22</f>
        <v/>
      </c>
      <c r="B55">
        <f>Skills!B22</f>
        <v/>
      </c>
      <c r="C55">
        <f>Inputs!$B$3&gt;=38</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f>(1-Summary!$B$55)*T55+Summary!$B$55*V55</f>
        <v/>
      </c>
      <c r="P55">
        <f>IF(B75=0,0,O55/B75)</f>
        <v/>
      </c>
      <c r="Q55" t="n">
        <v>0</v>
      </c>
      <c r="R55" t="n">
        <v>0</v>
      </c>
      <c r="S55" t="n">
        <v>0</v>
      </c>
      <c r="T55" t="n">
        <v>0</v>
      </c>
      <c r="V55" t="n">
        <v>0</v>
      </c>
    </row>
    <row r="56">
      <c r="A56">
        <f>Skills!A23</f>
        <v/>
      </c>
      <c r="B56">
        <f>Skills!B23</f>
        <v/>
      </c>
      <c r="C56">
        <f>Inputs!$B$3&gt;=43</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f>(1-Summary!$B$55)*T56+Summary!$B$55*V56</f>
        <v/>
      </c>
      <c r="P56">
        <f>IF(B75=0,0,O56/B75)</f>
        <v/>
      </c>
      <c r="Q56" t="n">
        <v>0</v>
      </c>
      <c r="R56" t="n">
        <v>0</v>
      </c>
      <c r="S56" t="n">
        <v>0</v>
      </c>
      <c r="T56" t="n">
        <v>0</v>
      </c>
      <c r="V56" t="n">
        <v>0</v>
      </c>
    </row>
    <row r="57">
      <c r="A57">
        <f>Skills!A24</f>
        <v/>
      </c>
      <c r="B57">
        <f>Skills!B24</f>
        <v/>
      </c>
      <c r="C57">
        <f>Inputs!$B$3&gt;=75</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f>(1-Summary!$B$55)*T57+Summary!$B$55*V57</f>
        <v/>
      </c>
      <c r="P57">
        <f>IF(B75=0,0,O57/B75)</f>
        <v/>
      </c>
      <c r="Q57" t="n">
        <v>0</v>
      </c>
      <c r="R57" t="n">
        <v>0</v>
      </c>
      <c r="S57" t="n">
        <v>0</v>
      </c>
      <c r="T57" t="n">
        <v>0</v>
      </c>
      <c r="V57" t="n">
        <v>0</v>
      </c>
    </row>
    <row r="58">
      <c r="A58">
        <f>Skills!A25</f>
        <v/>
      </c>
      <c r="B58">
        <f>Skills!B25</f>
        <v/>
      </c>
      <c r="C58">
        <f>Inputs!$B$3&gt;=125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f>(1-Summary!$B$55)*T58+Summary!$B$55*V58</f>
        <v/>
      </c>
      <c r="P58">
        <f>IF(B75=0,0,O58/B75)</f>
        <v/>
      </c>
      <c r="Q58" t="n">
        <v>0</v>
      </c>
      <c r="R58" t="n">
        <v>0</v>
      </c>
      <c r="S58" t="n">
        <v>0</v>
      </c>
      <c r="T58" t="n">
        <v>0</v>
      </c>
      <c r="V58" t="n">
        <v>0</v>
      </c>
    </row>
    <row r="59">
      <c r="A59">
        <f>Skills!A26</f>
        <v/>
      </c>
      <c r="B59">
        <f>Skills!B26</f>
        <v/>
      </c>
      <c r="C59">
        <f>Inputs!$B$3&gt;=125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f>(1-Summary!$B$55)*T59+Summary!$B$55*V59</f>
        <v/>
      </c>
      <c r="P59">
        <f>IF(B75=0,0,O59/B75)</f>
        <v/>
      </c>
      <c r="Q59" t="n">
        <v>0</v>
      </c>
      <c r="R59" t="n">
        <v>0</v>
      </c>
      <c r="S59" t="n">
        <v>0</v>
      </c>
      <c r="T59" t="n">
        <v>0</v>
      </c>
      <c r="V59" t="n">
        <v>0</v>
      </c>
    </row>
    <row r="60">
      <c r="A60">
        <f>Skills!A27</f>
        <v/>
      </c>
      <c r="B60">
        <f>Skills!B27</f>
        <v/>
      </c>
      <c r="C60">
        <f>Inputs!$B$3&gt;=120</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f>(1-Summary!$B$55)*T60+Summary!$B$55*V60</f>
        <v/>
      </c>
      <c r="P60">
        <f>IF(B75=0,0,O60/B75)</f>
        <v/>
      </c>
      <c r="Q60" t="n">
        <v>0</v>
      </c>
      <c r="R60" t="n">
        <v>0</v>
      </c>
      <c r="S60" t="n">
        <v>0</v>
      </c>
      <c r="T60" t="n">
        <v>0</v>
      </c>
      <c r="V60" t="n">
        <v>0</v>
      </c>
    </row>
    <row r="61">
      <c r="A61">
        <f>Skills!A28</f>
        <v/>
      </c>
      <c r="B61">
        <f>Skills!B28</f>
        <v/>
      </c>
      <c r="C61">
        <f>Inputs!$B$3&gt;=120</f>
        <v/>
      </c>
      <c r="D61">
        <f>IF(Skills!C28=1,60+Inputs!$B$25+Inputs!$B$29,IF(Skills!C28=2,90+Inputs!$B$26+Inputs!$B$29,IF(Skills!C28=3,120+Inputs!$B$27+Inputs!$B$29,MAX(0,(Inputs!$B$3-100)*3)+Inputs!$B$28+Inputs!$B$29)))</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f>(1-Summary!$B$55)*T61+Summary!$B$55*V61</f>
        <v/>
      </c>
      <c r="P61">
        <f>IF(B75=0,0,O61/B75)</f>
        <v/>
      </c>
      <c r="Q61" t="n">
        <v>0</v>
      </c>
      <c r="R61" t="n">
        <v>0</v>
      </c>
      <c r="S61" t="n">
        <v>0</v>
      </c>
      <c r="T61" t="n">
        <v>0</v>
      </c>
      <c r="V61" t="n">
        <v>0</v>
      </c>
    </row>
    <row r="62">
      <c r="A62">
        <f>Skills!A29</f>
        <v/>
      </c>
      <c r="B62">
        <f>Skills!B29</f>
        <v/>
      </c>
      <c r="C62">
        <f>Inputs!$B$3&gt;=45</f>
        <v/>
      </c>
      <c r="D62">
        <f>IF(Skills!C29=1,60+Inputs!$B$25+Inputs!$B$29,IF(Skills!C29=2,90+Inputs!$B$26+Inputs!$B$29,IF(Skills!C29=3,120+Inputs!$B$27+Inputs!$B$29,MAX(0,(Inputs!$B$3-100)*3)+Inputs!$B$28+Inputs!$B$29)))</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f>(1-Summary!$B$55)*T62+Summary!$B$55*V62</f>
        <v/>
      </c>
      <c r="P62">
        <f>IF(B75=0,0,O62/B75)</f>
        <v/>
      </c>
      <c r="Q62" t="n">
        <v>0</v>
      </c>
      <c r="R62" t="n">
        <v>0</v>
      </c>
      <c r="S62" t="n">
        <v>0</v>
      </c>
      <c r="T62" t="n">
        <v>0</v>
      </c>
      <c r="V62" t="n">
        <v>0</v>
      </c>
    </row>
    <row r="64">
      <c r="A64" t="inlineStr">
        <is>
          <t>Attack% Bucket Multiplier</t>
        </is>
      </c>
      <c r="B64">
        <f>(1+(((C46=TRUE)*F46)+((C47=TRUE)*IF(Inputs!$B$38="pvp",F47,(1-Summary!$B$55)*(F47)+Summary!$B$55*(0)))+((C48=TRUE)*F48*IF(AND(Inputs!$B$38&lt;&gt;"pvp",Inputs!$B$43&gt;0),(((R48-1)*(Skills!T15*(1+Inputs!$B$34/100))+MIN((Skills!T15*(1+Inputs!$B$34/100)),MAX(0,Inputs!$B$43-((R48-1)*Skills!D15))))/Inputs!$B$43),IF(Inputs!$B$38="pvp",MIN((Skills!T15*(1+Inputs!$B$34/100)),15)/15,(Skills!T15*(1+Inputs!$B$34/100))/Skills!D15)))+((C45=TRUE)*F45)+((C62=TRUE)*(F62-Calc!F29)))/100)</f>
        <v/>
      </c>
    </row>
    <row r="65">
      <c r="A65" t="inlineStr">
        <is>
          <t>Global Crit Rate Bonus %</t>
        </is>
      </c>
      <c r="B65">
        <f>(C49=TRUE)*20*IF(AND(Inputs!$B$38&lt;&gt;"pvp",Inputs!$B$43&gt;0),(((R49-1)*(Skills!T16*(1+Inputs!$B$34/100))+MIN((Skills!T16*(1+Inputs!$B$34/100)),MAX(0,Inputs!$B$43-((R49-1)*Skills!D16))))/Inputs!$B$43),IF(Inputs!$B$38="pvp",MIN((Skills!T16*(1+Inputs!$B$34/100)),15)/15,(Skills!T16*(1+Inputs!$B$34/100))/Skills!D16))</f>
        <v/>
      </c>
    </row>
    <row r="66">
      <c r="A66" t="inlineStr">
        <is>
          <t>Attack Speed Buff Bonus %</t>
        </is>
      </c>
      <c r="B66">
        <f>((C51=TRUE)*F51*IF(AND(Inputs!$B$38&lt;&gt;"pvp",Inputs!$B$43&gt;0),(((R51-1)*(Skills!T18*(1+Inputs!$B$34/100))+MIN((Skills!T18*(1+Inputs!$B$34/100)),MAX(0,Inputs!$B$43-((R51-1)*Skills!D18))))/Inputs!$B$43),IF(Inputs!$B$38="pvp",MIN((Skills!T18*(1+Inputs!$B$34/100)),15)/15,(Skills!T18*(1+Inputs!$B$34/100))/Skills!D18)))</f>
        <v/>
      </c>
    </row>
    <row r="67">
      <c r="A67" t="inlineStr">
        <is>
          <t>Actions Per Second</t>
        </is>
      </c>
      <c r="B67">
        <f>1+MIN(150,150*(1-(1-(Inputs!$B$11+((C53=TRUE)*(F53-Calc!F20))+((C54=TRUE)*(F54-Calc!F21)))/150)*(1-B66/150)))/100</f>
        <v/>
      </c>
    </row>
    <row r="68">
      <c r="A68" t="inlineStr">
        <is>
          <t>Skill + Buff Cast Rate</t>
        </is>
      </c>
      <c r="B68">
        <f>IF(AND(Inputs!$B$38&lt;&gt;"pvp",Inputs!$B$43&gt;0),SUMPRODUCT((Skills!E2:E29=TRUE)*(C35:C62=TRUE)*R35:R62*Skills!F2:F29)/Inputs!$B$43,SUMPRODUCT((Skills!E2:E29=TRUE)*(C35:C62=TRUE)*Q35:Q62*Skills!F2:F29))</f>
        <v/>
      </c>
    </row>
    <row r="69">
      <c r="A69" t="inlineStr">
        <is>
          <t>Empowered Piercing Arrow Casts Per Second</t>
        </is>
      </c>
      <c r="B69">
        <f>MAX(0,B67-B68)</f>
        <v/>
      </c>
    </row>
    <row r="70">
      <c r="A70" t="inlineStr">
        <is>
          <t>Global Critical Damage Bonus % (Sharp Eyes)</t>
        </is>
      </c>
      <c r="B70">
        <f>(C49=TRUE)*F49*IF(AND(Inputs!$B$38&lt;&gt;"pvp",Inputs!$B$43&gt;0),(((R49-1)*(Skills!T16*(1+Inputs!$B$34/100))+MIN((Skills!T16*(1+Inputs!$B$34/100)),MAX(0,Inputs!$B$43-((R49-1)*Skills!D16))))/Inputs!$B$43),IF(Inputs!$B$38="pvp",MIN((Skills!T16*(1+Inputs!$B$34/100)),15)/15,(Skills!T16*(1+Inputs!$B$34/100))/Skills!D16))</f>
        <v/>
      </c>
    </row>
    <row r="71">
      <c r="A71" t="inlineStr">
        <is>
          <t>Global Final Damage Bonus % (Mortal Blow + Last Man Standing conditional half)</t>
        </is>
      </c>
      <c r="B71">
        <f>(C50=TRUE)*F50+((C59=TRUE)*IF(Inputs!$B$38="pvp",F59,(1-Summary!$B$55)*(F59)+Summary!$B$55*(0)))</f>
        <v/>
      </c>
    </row>
    <row r="72">
      <c r="A72" t="inlineStr">
        <is>
          <t>Buff-Casting Startup Delay (s, fixed-duration only)</t>
        </is>
      </c>
      <c r="B72">
        <f>IF(AND(Inputs!$B$38&lt;&gt;"pvp",Inputs!$B$43&gt;0),SUMPRODUCT((Skills!T2:T29&gt;0)*(Skills!E2:E29=TRUE)*(C35:C62=TRUE))/B67,0)</f>
        <v/>
      </c>
    </row>
    <row r="73">
      <c r="A73" t="inlineStr">
        <is>
          <t>Boss-Only Total DPS (this block's swept value)</t>
        </is>
      </c>
      <c r="B73">
        <f>SUM(T35:T62)</f>
        <v/>
      </c>
    </row>
    <row r="74">
      <c r="A74" t="inlineStr">
        <is>
          <t>Normal-Only Total DPS (this block's swept value)</t>
        </is>
      </c>
      <c r="B74">
        <f>SUM(V35:V62)</f>
        <v/>
      </c>
    </row>
    <row r="75">
      <c r="A75" s="5" t="inlineStr">
        <is>
          <t>TOTAL DPS</t>
        </is>
      </c>
      <c r="B75" s="5">
        <f>SUM(O35:O62)</f>
        <v/>
      </c>
    </row>
    <row r="78">
      <c r="A78" s="5" t="inlineStr">
        <is>
          <t>Stat: DEX %</t>
        </is>
      </c>
    </row>
    <row r="79">
      <c r="A79" s="9" t="inlineStr">
        <is>
          <t>Key</t>
        </is>
      </c>
      <c r="B79" s="9" t="inlineStr">
        <is>
          <t>Name</t>
        </is>
      </c>
      <c r="C79" s="9" t="inlineStr">
        <is>
          <t>Unlocked</t>
        </is>
      </c>
      <c r="D79" s="9" t="inlineStr">
        <is>
          <t>InputLevel</t>
        </is>
      </c>
      <c r="E79" s="9" t="inlineStr">
        <is>
          <t>Factor</t>
        </is>
      </c>
      <c r="F79" s="9" t="inlineStr">
        <is>
          <t>CoefficientPercent</t>
        </is>
      </c>
      <c r="G79" s="9" t="inlineStr">
        <is>
          <t>EffectiveHits</t>
        </is>
      </c>
      <c r="H79" s="9" t="inlineStr">
        <is>
          <t>ProcProbability</t>
        </is>
      </c>
      <c r="I79" s="9" t="inlineStr">
        <is>
          <t>MapleHeroMultiplier</t>
        </is>
      </c>
      <c r="J79" s="9" t="inlineStr">
        <is>
          <t>BaseDamage</t>
        </is>
      </c>
      <c r="K79" s="9" t="inlineStr">
        <is>
          <t>BaseHitDamage</t>
        </is>
      </c>
      <c r="L79" s="9" t="inlineStr">
        <is>
          <t>NonCritAvg</t>
        </is>
      </c>
      <c r="M79" s="9" t="inlineStr">
        <is>
          <t>CritAvg</t>
        </is>
      </c>
      <c r="N79" s="9" t="inlineStr">
        <is>
          <t>ExpectedDamage(perHit)</t>
        </is>
      </c>
      <c r="O79" s="9" t="inlineStr">
        <is>
          <t>DPS</t>
        </is>
      </c>
      <c r="P79" s="9" t="inlineStr">
        <is>
          <t>% of Total</t>
        </is>
      </c>
      <c r="Q79" s="9" t="inlineStr">
        <is>
          <t>InvCooldown</t>
        </is>
      </c>
      <c r="R79" s="9" t="inlineStr">
        <is>
          <t>CastsInFight</t>
        </is>
      </c>
      <c r="S79" s="9" t="inlineStr">
        <is>
          <t>HitRate(perSec)</t>
        </is>
      </c>
      <c r="U79" t="inlineStr">
        <is>
          <t>helpers</t>
        </is>
      </c>
    </row>
    <row r="80">
      <c r="A80">
        <f>Skills!A2</f>
        <v/>
      </c>
      <c r="B80">
        <f>Skills!B2</f>
        <v/>
      </c>
      <c r="C80">
        <f>Inputs!$B$3&gt;=100</f>
        <v/>
      </c>
      <c r="D80" t="inlineStr"/>
      <c r="E80" t="inlineStr"/>
      <c r="F80">
        <f>U82+Skills!O2</f>
        <v/>
      </c>
      <c r="G80">
        <f>Skills!G2*IF(Skills!H2&gt;0,Skills!I2/Skills!H2,1)</f>
        <v/>
      </c>
      <c r="H80">
        <f>1-(1-Skills!J2/100)^Skills!K2</f>
        <v/>
      </c>
      <c r="I80" t="inlineStr">
        <is>
          <t>1</t>
        </is>
      </c>
      <c r="J80">
        <f>((Inputs!$B$6*(1+Inputs!$B$7/100))+(((Inputs!$B$12*(1+(Inputs!$B$13+1)/100))-(Inputs!$B$12*(1+Inputs!$B$13/100)))+0.25*(Inputs!$B$14-Inputs!$B$14))*(1+Inputs!$B$7/100))*(F80/100)</f>
        <v/>
      </c>
      <c r="K80">
        <f>J80*(1+((Inputs!$B$12*(1+(Inputs!$B$13+1)/100))*0.01+Inputs!$B$14*0.0025)/100)*(1+Inputs!$B$15/100)*(1+Inputs!$B$16/100)*(5000/(6000+Inputs!$B$42*(1-(Inputs!$B$19+0)/100)))*(1+(Inputs!$B$24+((C102=TRUE)*(F102-Calc!F24))+((C103=TRUE)*(F103-Calc!F25))+B116)/100)*(1+(IF(Skills!A2="EMPOWERED_PIERCING_ARROW",Inputs!$B$17+((C100=TRUE)*(F100-Calc!F22)),Inputs!$B$18+((C105=TRUE)*(F105-Calc!F27))))/100)*((1+(((C91=TRUE)*F91)+((C92=TRUE)*IF(Inputs!$B$38="pvp",F92,(1-Summary!$B$55)*(F92)+Summary!$B$55*(0)))+((C93=TRUE)*F93*IF(AND(Inputs!$B$38&lt;&gt;"pvp",Inputs!$B$43&gt;0),(((R93-1)*(Skills!T15*(1+Inputs!$B$34/100))+MIN((Skills!T15*(1+Inputs!$B$34/100)),MAX(0,Inputs!$B$43-((R93-1)*Skills!D15))))/Inputs!$B$43),IF(Inputs!$B$38="pvp",MIN((Skills!T15*(1+Inputs!$B$34/100)),15)/15,(Skills!T15*(1+Inputs!$B$34/100))/Skills!D15)))+((C90=TRUE)*F90)+((C107=TRUE)*(F107-Calc!F29)))/100)*I80)</f>
        <v/>
      </c>
      <c r="L80">
        <f>K80*(MIN(Inputs!$B$22+((C101=TRUE)*(F101-Calc!F23)),Inputs!$B$23+((C106=TRUE)*(F106-Calc!F28)))/100+(Inputs!$B$23+((C106=TRUE)*(F106-Calc!F28)))/100)/2</f>
        <v/>
      </c>
      <c r="M80">
        <f>L80*(1+(Inputs!$B$10+0+B115)/100)</f>
        <v/>
      </c>
      <c r="N80">
        <f>L80*(1-MIN((Inputs!$B$9+((C97=TRUE)*(F97-Calc!F19))+B110),100)/100)+M80*(MIN((Inputs!$B$9+((C97=TRUE)*(F97-Calc!F19))+B110),100)/100)</f>
        <v/>
      </c>
      <c r="O80">
        <f>(1-Summary!$B$55)*T80+Summary!$B$55*V80</f>
        <v/>
      </c>
      <c r="P80">
        <f>IF(B120=0,0,O80/B120)</f>
        <v/>
      </c>
      <c r="Q80" t="n">
        <v>0</v>
      </c>
      <c r="R80" t="n">
        <v>0</v>
      </c>
      <c r="S80">
        <f>IFERROR((Skills!G2*N80*B114)/N80*IF(Inputs!$B$38="pvp",1,(1-Summary!$B$55)*1+Summary!$B$55*(MIN((6+Inputs!$B$33),Inputs!$B$37))),0)</f>
        <v/>
      </c>
      <c r="T80">
        <f>IF(C80,(Skills!G2*N80*B114)*IF(Inputs!$B$38="pvp",1,1+(Inputs!$B$20+0+Skills!P2)/100),0)</f>
        <v/>
      </c>
      <c r="U80">
        <f>MAX(0,(Inputs!$B$3-100)*3)+Inputs!$B$28+Inputs!$B$29</f>
        <v/>
      </c>
      <c r="V80">
        <f>IF(C80,(Skills!G2*N80*B114)*IF(Inputs!$B$38="pvp",1,(1+(Inputs!$B$21+Skills!Q2)/100)*(MIN((6+Inputs!$B$33),Inputs!$B$37))),0)</f>
        <v/>
      </c>
    </row>
    <row r="81">
      <c r="A81">
        <f>Skills!A3</f>
        <v/>
      </c>
      <c r="B81">
        <f>Skills!B3</f>
        <v/>
      </c>
      <c r="C81">
        <f>Inputs!$B$3&gt;=50</f>
        <v/>
      </c>
      <c r="D81">
        <f>IF(Skills!C3=1,60+Inputs!$B$25+Inputs!$B$29,IF(Skills!C3=2,90+Inputs!$B$26+Inputs!$B$29,IF(Skills!C3=3,120+Inputs!$B$27+Inputs!$B$29,MAX(0,(Inputs!$B$3-100)*3)+Inputs!$B$28+Inputs!$B$29)))</f>
        <v/>
      </c>
      <c r="E81">
        <f>INDEX(FactorTable!$B$2:$Y$301, MATCH(ROUND(MIN(300,MAX(1,D81)),0), FactorTable!$A$2:$A$301,0), Skills!M3+1)</f>
        <v/>
      </c>
      <c r="F81">
        <f>IF(Skills!N3=TRUE,(Skills!L3/10)*(E81/1000),Skills!L3/10)+Skills!O3</f>
        <v/>
      </c>
      <c r="G81" t="inlineStr"/>
      <c r="H81" t="inlineStr"/>
      <c r="I81" t="inlineStr">
        <is>
          <t>1</t>
        </is>
      </c>
      <c r="J81" t="inlineStr"/>
      <c r="K81" t="inlineStr"/>
      <c r="L81" t="inlineStr"/>
      <c r="M81" t="inlineStr"/>
      <c r="N81" t="inlineStr"/>
      <c r="O81" t="inlineStr"/>
      <c r="P81" t="inlineStr"/>
      <c r="Q81" t="inlineStr"/>
      <c r="R81" t="inlineStr"/>
      <c r="S81" t="inlineStr"/>
      <c r="T81" t="inlineStr"/>
      <c r="U81">
        <f>INDEX(FactorTable!$B$2:$Y$301, MATCH(ROUND(MIN(300,MAX(1,U80)),0), FactorTable!$A$2:$A$301,0), 22)</f>
        <v/>
      </c>
      <c r="V81" t="inlineStr"/>
    </row>
    <row r="82">
      <c r="A82">
        <f>Skills!A4</f>
        <v/>
      </c>
      <c r="B82">
        <f>Skills!B4</f>
        <v/>
      </c>
      <c r="C82">
        <f>Inputs!$B$3&gt;=105</f>
        <v/>
      </c>
      <c r="D82">
        <f>IF(Skills!C4=1,60+Inputs!$B$25+Inputs!$B$29,IF(Skills!C4=2,90+Inputs!$B$26+Inputs!$B$29,IF(Skills!C4=3,120+Inputs!$B$27+Inputs!$B$29,MAX(0,(Inputs!$B$3-100)*3)+Inputs!$B$28+Inputs!$B$29)))</f>
        <v/>
      </c>
      <c r="E82">
        <f>INDEX(FactorTable!$B$2:$Y$301, MATCH(ROUND(MIN(300,MAX(1,D82)),0), FactorTable!$A$2:$A$301,0), Skills!M4+1)</f>
        <v/>
      </c>
      <c r="F82">
        <f>IF(Skills!N4=TRUE,(Skills!L4/10)*(E82/1000),Skills!L4/10)+Skills!O4</f>
        <v/>
      </c>
      <c r="G82" t="inlineStr"/>
      <c r="H82" t="inlineStr"/>
      <c r="I82" t="inlineStr">
        <is>
          <t>1</t>
        </is>
      </c>
      <c r="J82" t="inlineStr"/>
      <c r="K82" t="inlineStr"/>
      <c r="L82" t="inlineStr"/>
      <c r="M82" t="inlineStr"/>
      <c r="N82" t="inlineStr"/>
      <c r="O82" t="inlineStr"/>
      <c r="P82" t="inlineStr"/>
      <c r="Q82" t="inlineStr"/>
      <c r="R82" t="inlineStr"/>
      <c r="S82" t="inlineStr"/>
      <c r="T82" t="inlineStr"/>
      <c r="U82">
        <f>290*U81/1000</f>
        <v/>
      </c>
      <c r="V82" t="inlineStr"/>
    </row>
    <row r="83">
      <c r="A83">
        <f>Skills!A5</f>
        <v/>
      </c>
      <c r="B83">
        <f>Skills!B5</f>
        <v/>
      </c>
      <c r="C83">
        <f>Inputs!$B$3&gt;=35</f>
        <v/>
      </c>
      <c r="D83">
        <f>IF(Skills!C5=1,60+Inputs!$B$25+Inputs!$B$29,IF(Skills!C5=2,90+Inputs!$B$26+Inputs!$B$29,IF(Skills!C5=3,120+Inputs!$B$27+Inputs!$B$29,MAX(0,(Inputs!$B$3-100)*3)+Inputs!$B$28+Inputs!$B$29)))</f>
        <v/>
      </c>
      <c r="E83">
        <f>INDEX(FactorTable!$B$2:$Y$301, MATCH(ROUND(MIN(300,MAX(1,D83)),0), FactorTable!$A$2:$A$301,0), Skills!M5+1)</f>
        <v/>
      </c>
      <c r="F83">
        <f>IF(Skills!N5=TRUE,(Skills!L5/10)*(E83/1000),Skills!L5/10)+Skills!O5</f>
        <v/>
      </c>
      <c r="G83">
        <f>Skills!G5*IF(Skills!H5&gt;0,Skills!I5/Skills!H5,1)</f>
        <v/>
      </c>
      <c r="H83">
        <f>1-(1-Skills!J5/100)^Skills!K5</f>
        <v/>
      </c>
      <c r="I83" t="inlineStr">
        <is>
          <t>1</t>
        </is>
      </c>
      <c r="J83">
        <f>((Inputs!$B$6*(1+Inputs!$B$7/100))+(((Inputs!$B$12*(1+(Inputs!$B$13+1)/100))-(Inputs!$B$12*(1+Inputs!$B$13/100)))+0.25*(Inputs!$B$14-Inputs!$B$14))*(1+Inputs!$B$7/100))*(F83/100)</f>
        <v/>
      </c>
      <c r="K83">
        <f>J83*(1+((Inputs!$B$12*(1+(Inputs!$B$13+1)/100))*0.01+Inputs!$B$14*0.0025)/100)*(1+Inputs!$B$15/100)*(1+Inputs!$B$16/100)*(5000/(6000+Inputs!$B$42*(1-(Inputs!$B$19+0)/100)))*(1+(Inputs!$B$24+((C102=TRUE)*(F102-Calc!F24))+((C103=TRUE)*(F103-Calc!F25))+B116)/100)*(1+4.0*IF(C86=TRUE,F86,0)/100)*(1+(IF(Skills!A5="EMPOWERED_PIERCING_ARROW",Inputs!$B$17+((C100=TRUE)*(F100-Calc!F22)),Inputs!$B$18+((C105=TRUE)*(F105-Calc!F27))))/100)*((1+(((C91=TRUE)*F91)+((C92=TRUE)*IF(Inputs!$B$38="pvp",F92,(1-Summary!$B$55)*(F92)+Summary!$B$55*(0)))+((C93=TRUE)*F93*IF(AND(Inputs!$B$38&lt;&gt;"pvp",Inputs!$B$43&gt;0),(((R93-1)*(Skills!T15*(1+Inputs!$B$34/100))+MIN((Skills!T15*(1+Inputs!$B$34/100)),MAX(0,Inputs!$B$43-((R93-1)*Skills!D15))))/Inputs!$B$43),IF(Inputs!$B$38="pvp",MIN((Skills!T15*(1+Inputs!$B$34/100)),15)/15,(Skills!T15*(1+Inputs!$B$34/100))/Skills!D15)))+((C90=TRUE)*F90)+((C107=TRUE)*(F107-Calc!F29)))/100)*I83)</f>
        <v/>
      </c>
      <c r="L83">
        <f>K83*(MIN(Inputs!$B$22+((C101=TRUE)*(F101-Calc!F23)),Inputs!$B$23+((C106=TRUE)*(F106-Calc!F28)))/100+(Inputs!$B$23+((C106=TRUE)*(F106-Calc!F28)))/100)/2</f>
        <v/>
      </c>
      <c r="M83">
        <f>L83*(1+(Inputs!$B$10+0+B115)/100)</f>
        <v/>
      </c>
      <c r="N83">
        <f>L83*(1-MIN((Inputs!$B$9+((C97=TRUE)*(F97-Calc!F19))+B110),100)/100)+M83*(MIN((Inputs!$B$9+((C97=TRUE)*(F97-Calc!F19))+B110),100)/100)</f>
        <v/>
      </c>
      <c r="O83">
        <f>(1-Summary!$B$55)*T83+Summary!$B$55*V83</f>
        <v/>
      </c>
      <c r="P83">
        <f>IF(B120=0,0,O83/B120)</f>
        <v/>
      </c>
      <c r="Q83">
        <f>IFERROR(1/IF(Inputs!$B$38="pvp",15,MAX(0.1,Skills!D5-IF(Skills!E5=TRUE,Inputs!$B$32,0))),0)</f>
        <v/>
      </c>
      <c r="R83">
        <f>IF(AND(Inputs!$B$38&lt;&gt;"pvp",Inputs!$B$43&gt;0),IF(MAX(0,Inputs!$B$43-B117)&lt;=0,0,(INT(MAX(0,Inputs!$B$43-B117)/IF(Inputs!$B$38="pvp",15,MAX(0.1,Skills!D5-IF(Skills!E5=TRUE,Inputs!$B$32,0))))+1)),0)</f>
        <v/>
      </c>
      <c r="S83">
        <f>IFERROR((H83*N83*IF(AND(Inputs!$B$38&lt;&gt;"pvp",Inputs!$B$43&gt;0),((Skills!G5*((R83-1)*IF(Skills!H5&gt;0,Skills!I5/Skills!H5,1)+IF(Skills!H5&gt;0,MIN(Skills!I5,MAX(0,MAX(0,Inputs!$B$43-B117)-((R83-1)*IF(Inputs!$B$38="pvp",15,MAX(0.1,Skills!D5-IF(Skills!E5=TRUE,Inputs!$B$32,0))))))/Skills!H5,1)))/Inputs!$B$43),G83*Q83))/N83*IF(Inputs!$B$38="pvp",1,(1-Summary!$B$55)*1+Summary!$B$55*(MIN(Skills!R5,Inputs!$B$37))),0)</f>
        <v/>
      </c>
      <c r="T83">
        <f>IF(C83,(H83*N83*IF(AND(Inputs!$B$38&lt;&gt;"pvp",Inputs!$B$43&gt;0),((Skills!G5*((R83-1)*IF(Skills!H5&gt;0,Skills!I5/Skills!H5,1)+IF(Skills!H5&gt;0,MIN(Skills!I5,MAX(0,MAX(0,Inputs!$B$43-B117)-((R83-1)*IF(Inputs!$B$38="pvp",15,MAX(0.1,Skills!D5-IF(Skills!E5=TRUE,Inputs!$B$32,0))))))/Skills!H5,1)))/Inputs!$B$43),G83*Q83))*IF(Inputs!$B$38="pvp",1,1+(Inputs!$B$20+0+Skills!P5)/100),0)</f>
        <v/>
      </c>
      <c r="V83">
        <f>IF(C83,(H83*N83*IF(AND(Inputs!$B$38&lt;&gt;"pvp",Inputs!$B$43&gt;0),((Skills!G5*((R83-1)*IF(Skills!H5&gt;0,Skills!I5/Skills!H5,1)+IF(Skills!H5&gt;0,MIN(Skills!I5,MAX(0,MAX(0,Inputs!$B$43-B117)-((R83-1)*IF(Inputs!$B$38="pvp",15,MAX(0.1,Skills!D5-IF(Skills!E5=TRUE,Inputs!$B$32,0))))))/Skills!H5,1)))/Inputs!$B$43),G83*Q83))*IF(Inputs!$B$38="pvp",1,(1+(Inputs!$B$21+Skills!Q5)/100)*(MIN(Skills!R5,Inputs!$B$37))),0)</f>
        <v/>
      </c>
    </row>
    <row r="84">
      <c r="A84">
        <f>Skills!A6</f>
        <v/>
      </c>
      <c r="B84">
        <f>Skills!B6</f>
        <v/>
      </c>
      <c r="C84">
        <f>Inputs!$B$3&gt;=63</f>
        <v/>
      </c>
      <c r="D84">
        <f>IF(Skills!C6=1,60+Inputs!$B$25+Inputs!$B$29,IF(Skills!C6=2,90+Inputs!$B$26+Inputs!$B$29,IF(Skills!C6=3,120+Inputs!$B$27+Inputs!$B$29,MAX(0,(Inputs!$B$3-100)*3)+Inputs!$B$28+Inputs!$B$29)))</f>
        <v/>
      </c>
      <c r="E84">
        <f>INDEX(FactorTable!$B$2:$Y$301, MATCH(ROUND(MIN(300,MAX(1,D84)),0), FactorTable!$A$2:$A$301,0), Skills!M6+1)</f>
        <v/>
      </c>
      <c r="F84">
        <f>IF(Skills!N6=TRUE,(Skills!L6/10)*(E84/1000),Skills!L6/10)+Skills!O6</f>
        <v/>
      </c>
      <c r="G84">
        <f>Skills!G6*IF(Skills!H6&gt;0,Skills!I6/Skills!H6,1)</f>
        <v/>
      </c>
      <c r="H84">
        <f>1-(1-Skills!J6/100)^Skills!K6</f>
        <v/>
      </c>
      <c r="I84" t="inlineStr">
        <is>
          <t>1</t>
        </is>
      </c>
      <c r="J84">
        <f>((Inputs!$B$6*(1+Inputs!$B$7/100))+(((Inputs!$B$12*(1+(Inputs!$B$13+1)/100))-(Inputs!$B$12*(1+Inputs!$B$13/100)))+0.25*(Inputs!$B$14-Inputs!$B$14))*(1+Inputs!$B$7/100))*(F84/100)</f>
        <v/>
      </c>
      <c r="K84">
        <f>J84*(1+((Inputs!$B$12*(1+(Inputs!$B$13+1)/100))*0.01+Inputs!$B$14*0.0025)/100)*(1+Inputs!$B$15/100)*(1+Inputs!$B$16/100)*(5000/(6000+Inputs!$B$42*(1-(Inputs!$B$19+0)/100)))*(1+(Inputs!$B$24+((C102=TRUE)*(F102-Calc!F24))+((C103=TRUE)*(F103-Calc!F25))+B116)/100)*(1+1.0*IF(C86=TRUE,F86,0)/100)*(1+(IF(Skills!A6="EMPOWERED_PIERCING_ARROW",Inputs!$B$17+((C100=TRUE)*(F100-Calc!F22)),Inputs!$B$18+((C105=TRUE)*(F105-Calc!F27))))/100)*((1+(((C91=TRUE)*F91)+((C92=TRUE)*IF(Inputs!$B$38="pvp",F92,(1-Summary!$B$55)*(F92)+Summary!$B$55*(0)))+((C93=TRUE)*F93*IF(AND(Inputs!$B$38&lt;&gt;"pvp",Inputs!$B$43&gt;0),(((R93-1)*(Skills!T15*(1+Inputs!$B$34/100))+MIN((Skills!T15*(1+Inputs!$B$34/100)),MAX(0,Inputs!$B$43-((R93-1)*Skills!D15))))/Inputs!$B$43),IF(Inputs!$B$38="pvp",MIN((Skills!T15*(1+Inputs!$B$34/100)),15)/15,(Skills!T15*(1+Inputs!$B$34/100))/Skills!D15)))+((C90=TRUE)*F90)+((C107=TRUE)*(F107-Calc!F29)))/100)*I84)</f>
        <v/>
      </c>
      <c r="L84">
        <f>K84*(MIN(Inputs!$B$22+((C101=TRUE)*(F101-Calc!F23)),Inputs!$B$23+((C106=TRUE)*(F106-Calc!F28)))/100+(Inputs!$B$23+((C106=TRUE)*(F106-Calc!F28)))/100)/2</f>
        <v/>
      </c>
      <c r="M84">
        <f>L84*(1+(Inputs!$B$10+0+B115)/100)</f>
        <v/>
      </c>
      <c r="N84">
        <f>L84*(1-MIN((Inputs!$B$9+((C97=TRUE)*(F97-Calc!F19))+B110),100)/100)+M84*(MIN((Inputs!$B$9+((C97=TRUE)*(F97-Calc!F19))+B110),100)/100)</f>
        <v/>
      </c>
      <c r="O84">
        <f>(1-Summary!$B$55)*T84+Summary!$B$55*V84</f>
        <v/>
      </c>
      <c r="P84">
        <f>IF(B120=0,0,O84/B120)</f>
        <v/>
      </c>
      <c r="Q84">
        <f>IFERROR(1/IF(Inputs!$B$38="pvp",15,MAX(0.1,Skills!D6-IF(Skills!E6=TRUE,Inputs!$B$32,0))),0)</f>
        <v/>
      </c>
      <c r="R84">
        <f>IF(AND(Inputs!$B$38&lt;&gt;"pvp",Inputs!$B$43&gt;0),IF(MAX(0,Inputs!$B$43-B117)&lt;=0,0,(INT(MAX(0,Inputs!$B$43-B117)/IF(Inputs!$B$38="pvp",15,MAX(0.1,Skills!D6-IF(Skills!E6=TRUE,Inputs!$B$32,0))))+1)),0)</f>
        <v/>
      </c>
      <c r="S84">
        <f>IFERROR((H84*N84*IF(AND(Inputs!$B$38&lt;&gt;"pvp",Inputs!$B$43&gt;0),((Skills!G6*((R84-1)*IF(Skills!H6&gt;0,Skills!I6/Skills!H6,1)+IF(Skills!H6&gt;0,MIN(Skills!I6,MAX(0,MAX(0,Inputs!$B$43-B117)-((R84-1)*IF(Inputs!$B$38="pvp",15,MAX(0.1,Skills!D6-IF(Skills!E6=TRUE,Inputs!$B$32,0))))))/Skills!H6,1)))/Inputs!$B$43),G84*Q84))/N84*IF(Inputs!$B$38="pvp",1,(1-Summary!$B$55)*1+Summary!$B$55*(MIN(Skills!R6,Inputs!$B$37))),0)</f>
        <v/>
      </c>
      <c r="T84">
        <f>IF(C84,(H84*N84*IF(AND(Inputs!$B$38&lt;&gt;"pvp",Inputs!$B$43&gt;0),((Skills!G6*((R84-1)*IF(Skills!H6&gt;0,Skills!I6/Skills!H6,1)+IF(Skills!H6&gt;0,MIN(Skills!I6,MAX(0,MAX(0,Inputs!$B$43-B117)-((R84-1)*IF(Inputs!$B$38="pvp",15,MAX(0.1,Skills!D6-IF(Skills!E6=TRUE,Inputs!$B$32,0))))))/Skills!H6,1)))/Inputs!$B$43),G84*Q84))*IF(Inputs!$B$38="pvp",1,1+(Inputs!$B$20+0+Skills!P6)/100),0)</f>
        <v/>
      </c>
      <c r="V84">
        <f>IF(C84,(H84*N84*IF(AND(Inputs!$B$38&lt;&gt;"pvp",Inputs!$B$43&gt;0),((Skills!G6*((R84-1)*IF(Skills!H6&gt;0,Skills!I6/Skills!H6,1)+IF(Skills!H6&gt;0,MIN(Skills!I6,MAX(0,MAX(0,Inputs!$B$43-B117)-((R84-1)*IF(Inputs!$B$38="pvp",15,MAX(0.1,Skills!D6-IF(Skills!E6=TRUE,Inputs!$B$32,0))))))/Skills!H6,1)))/Inputs!$B$43),G84*Q84))*IF(Inputs!$B$38="pvp",1,(1+(Inputs!$B$21+Skills!Q6)/100)*(MIN(Skills!R6,Inputs!$B$37))),0)</f>
        <v/>
      </c>
    </row>
    <row r="85">
      <c r="A85">
        <f>Skills!A7</f>
        <v/>
      </c>
      <c r="B85">
        <f>Skills!B7</f>
        <v/>
      </c>
      <c r="C85">
        <f>Inputs!$B$3&gt;=69</f>
        <v/>
      </c>
      <c r="D85">
        <f>IF(Skills!C7=1,60+Inputs!$B$25+Inputs!$B$29,IF(Skills!C7=2,90+Inputs!$B$26+Inputs!$B$29,IF(Skills!C7=3,120+Inputs!$B$27+Inputs!$B$29,MAX(0,(Inputs!$B$3-100)*3)+Inputs!$B$28+Inputs!$B$29)))</f>
        <v/>
      </c>
      <c r="E85">
        <f>INDEX(FactorTable!$B$2:$Y$301, MATCH(ROUND(MIN(300,MAX(1,D85)),0), FactorTable!$A$2:$A$301,0), Skills!M7+1)</f>
        <v/>
      </c>
      <c r="F85">
        <f>IF(Skills!N7=TRUE,(Skills!L7/10)*(E85/1000),Skills!L7/10)+Skills!O7</f>
        <v/>
      </c>
      <c r="G85">
        <f>Skills!G7*IF(Skills!H7&gt;0,Skills!I7/Skills!H7,1)</f>
        <v/>
      </c>
      <c r="H85">
        <f>1-(1-Skills!J7/100)^Skills!K7</f>
        <v/>
      </c>
      <c r="I85" t="inlineStr">
        <is>
          <t>1</t>
        </is>
      </c>
      <c r="J85">
        <f>((Inputs!$B$6*(1+Inputs!$B$7/100))+(((Inputs!$B$12*(1+(Inputs!$B$13+1)/100))-(Inputs!$B$12*(1+Inputs!$B$13/100)))+0.25*(Inputs!$B$14-Inputs!$B$14))*(1+Inputs!$B$7/100))*(F85/100)</f>
        <v/>
      </c>
      <c r="K85">
        <f>J85*(1+((Inputs!$B$12*(1+(Inputs!$B$13+1)/100))*0.01+Inputs!$B$14*0.0025)/100)*(1+Inputs!$B$15/100)*(1+Inputs!$B$16/100)*(5000/(6000+Inputs!$B$42*(1-(Inputs!$B$19+0)/100)))*(1+(Inputs!$B$24+((C102=TRUE)*(F102-Calc!F24))+((C103=TRUE)*(F103-Calc!F25))+B116)/100)*(1+1.2*IF(C86=TRUE,F86,0)/100)*(1+(IF(Skills!A7="EMPOWERED_PIERCING_ARROW",Inputs!$B$17+((C100=TRUE)*(F100-Calc!F22)),Inputs!$B$18+((C105=TRUE)*(F105-Calc!F27))))/100)*((1+(((C91=TRUE)*F91)+((C92=TRUE)*IF(Inputs!$B$38="pvp",F92,(1-Summary!$B$55)*(F92)+Summary!$B$55*(0)))+((C93=TRUE)*F93*IF(AND(Inputs!$B$38&lt;&gt;"pvp",Inputs!$B$43&gt;0),(((R93-1)*(Skills!T15*(1+Inputs!$B$34/100))+MIN((Skills!T15*(1+Inputs!$B$34/100)),MAX(0,Inputs!$B$43-((R93-1)*Skills!D15))))/Inputs!$B$43),IF(Inputs!$B$38="pvp",MIN((Skills!T15*(1+Inputs!$B$34/100)),15)/15,(Skills!T15*(1+Inputs!$B$34/100))/Skills!D15)))+((C90=TRUE)*F90)+((C107=TRUE)*(F107-Calc!F29)))/100)*I85)</f>
        <v/>
      </c>
      <c r="L85">
        <f>K85*(MIN(Inputs!$B$22+((C101=TRUE)*(F101-Calc!F23)),Inputs!$B$23+((C106=TRUE)*(F106-Calc!F28)))/100+(Inputs!$B$23+((C106=TRUE)*(F106-Calc!F28)))/100)/2</f>
        <v/>
      </c>
      <c r="M85">
        <f>L85*(1+(Inputs!$B$10+0+B115)/100)</f>
        <v/>
      </c>
      <c r="N85">
        <f>L85*(1-MIN((Inputs!$B$9+((C97=TRUE)*(F97-Calc!F19))+B110),100)/100)+M85*(MIN((Inputs!$B$9+((C97=TRUE)*(F97-Calc!F19))+B110),100)/100)</f>
        <v/>
      </c>
      <c r="O85">
        <f>(1-Summary!$B$55)*T85+Summary!$B$55*V85</f>
        <v/>
      </c>
      <c r="P85">
        <f>IF(B120=0,0,O85/B120)</f>
        <v/>
      </c>
      <c r="Q85">
        <f>IFERROR(1/IF(Inputs!$B$38="pvp",15,MAX(0.1,Skills!D7-IF(Skills!E7=TRUE,Inputs!$B$32,0))),0)</f>
        <v/>
      </c>
      <c r="R85">
        <f>IF(AND(Inputs!$B$38&lt;&gt;"pvp",Inputs!$B$43&gt;0),IF(MAX(0,Inputs!$B$43-B117)&lt;=0,0,(INT(MAX(0,Inputs!$B$43-B117)/IF(Inputs!$B$38="pvp",15,MAX(0.1,Skills!D7-IF(Skills!E7=TRUE,Inputs!$B$32,0))))+1)),0)</f>
        <v/>
      </c>
      <c r="S85">
        <f>IFERROR((H85*N85*IF(AND(Inputs!$B$38&lt;&gt;"pvp",Inputs!$B$43&gt;0),((Skills!G7*((R85-1)*IF(Skills!H7&gt;0,Skills!I7/Skills!H7,1)+IF(Skills!H7&gt;0,MIN(Skills!I7,MAX(0,MAX(0,Inputs!$B$43-B117)-((R85-1)*IF(Inputs!$B$38="pvp",15,MAX(0.1,Skills!D7-IF(Skills!E7=TRUE,Inputs!$B$32,0))))))/Skills!H7,1)))/Inputs!$B$43),G85*Q85))/N85*IF(Inputs!$B$38="pvp",1,(1-Summary!$B$55)*1+Summary!$B$55*(MIN(Skills!R7,Inputs!$B$37))),0)</f>
        <v/>
      </c>
      <c r="T85">
        <f>IF(C85,(H85*N85*IF(AND(Inputs!$B$38&lt;&gt;"pvp",Inputs!$B$43&gt;0),((Skills!G7*((R85-1)*IF(Skills!H7&gt;0,Skills!I7/Skills!H7,1)+IF(Skills!H7&gt;0,MIN(Skills!I7,MAX(0,MAX(0,Inputs!$B$43-B117)-((R85-1)*IF(Inputs!$B$38="pvp",15,MAX(0.1,Skills!D7-IF(Skills!E7=TRUE,Inputs!$B$32,0))))))/Skills!H7,1)))/Inputs!$B$43),G85*Q85))*IF(Inputs!$B$38="pvp",1,1+(Inputs!$B$20+0+Skills!P7)/100),0)</f>
        <v/>
      </c>
      <c r="V85">
        <f>IF(C85,(H85*N85*IF(AND(Inputs!$B$38&lt;&gt;"pvp",Inputs!$B$43&gt;0),((Skills!G7*((R85-1)*IF(Skills!H7&gt;0,Skills!I7/Skills!H7,1)+IF(Skills!H7&gt;0,MIN(Skills!I7,MAX(0,MAX(0,Inputs!$B$43-B117)-((R85-1)*IF(Inputs!$B$38="pvp",15,MAX(0.1,Skills!D7-IF(Skills!E7=TRUE,Inputs!$B$32,0))))))/Skills!H7,1)))/Inputs!$B$43),G85*Q85))*IF(Inputs!$B$38="pvp",1,(1+(Inputs!$B$21+Skills!Q7)/100)*(MIN(Skills!R7,Inputs!$B$37))),0)</f>
        <v/>
      </c>
    </row>
    <row r="86">
      <c r="A86">
        <f>Skills!A8</f>
        <v/>
      </c>
      <c r="B86">
        <f>Skills!B8</f>
        <v/>
      </c>
      <c r="C86">
        <f>Inputs!$B$3&gt;=100</f>
        <v/>
      </c>
      <c r="D86">
        <f>IF(Skills!C8=1,60+Inputs!$B$25+Inputs!$B$29,IF(Skills!C8=2,90+Inputs!$B$26+Inputs!$B$29,IF(Skills!C8=3,120+Inputs!$B$27+Inputs!$B$29,MAX(0,(Inputs!$B$3-100)*3)+Inputs!$B$28+Inputs!$B$29)))</f>
        <v/>
      </c>
      <c r="E86">
        <f>INDEX(FactorTable!$B$2:$Y$301, MATCH(ROUND(MIN(300,MAX(1,D86)),0), FactorTable!$A$2:$A$301,0), Skills!M8+1)</f>
        <v/>
      </c>
      <c r="F86">
        <f>IF(Skills!N8=TRUE,(Skills!L8/10)*(E86/1000),Skills!L8/10)+Skills!O8</f>
        <v/>
      </c>
      <c r="G86" t="inlineStr"/>
      <c r="H86" t="inlineStr"/>
      <c r="I86" t="inlineStr">
        <is>
          <t>1</t>
        </is>
      </c>
      <c r="J86" t="inlineStr"/>
      <c r="K86" t="inlineStr"/>
      <c r="L86" t="inlineStr"/>
      <c r="M86" t="inlineStr"/>
      <c r="N86" t="inlineStr"/>
      <c r="O86" t="inlineStr"/>
      <c r="P86" t="inlineStr"/>
      <c r="Q86" t="inlineStr"/>
      <c r="R86" t="inlineStr"/>
      <c r="S86" t="inlineStr"/>
      <c r="T86" t="inlineStr"/>
      <c r="V86" t="inlineStr"/>
    </row>
    <row r="87">
      <c r="A87">
        <f>Skills!A9</f>
        <v/>
      </c>
      <c r="B87">
        <f>Skills!B9</f>
        <v/>
      </c>
      <c r="C87">
        <f>Inputs!$B$3&gt;=103</f>
        <v/>
      </c>
      <c r="D87">
        <f>IF(Skills!C9=1,60+Inputs!$B$25+Inputs!$B$29,IF(Skills!C9=2,90+Inputs!$B$26+Inputs!$B$29,IF(Skills!C9=3,120+Inputs!$B$27+Inputs!$B$29,MAX(0,(Inputs!$B$3-100)*3)+Inputs!$B$28+Inputs!$B$29)))</f>
        <v/>
      </c>
      <c r="E87">
        <f>INDEX(FactorTable!$B$2:$Y$301, MATCH(ROUND(MIN(300,MAX(1,D87)),0), FactorTable!$A$2:$A$301,0), Skills!M9+1)</f>
        <v/>
      </c>
      <c r="F87">
        <f>IF(Skills!N9=TRUE,(Skills!L9/10)*(E87/1000),Skills!L9/10)+Skills!O9</f>
        <v/>
      </c>
      <c r="G87">
        <f>Skills!G9*IF(Skills!H9&gt;0,Skills!I9/Skills!H9,1)</f>
        <v/>
      </c>
      <c r="H87">
        <f>1-(1-Skills!J9/100)^Skills!K9</f>
        <v/>
      </c>
      <c r="I87" t="inlineStr">
        <is>
          <t>1</t>
        </is>
      </c>
      <c r="J87">
        <f>((Inputs!$B$6*(1+Inputs!$B$7/100))+(((Inputs!$B$12*(1+(Inputs!$B$13+1)/100))-(Inputs!$B$12*(1+Inputs!$B$13/100)))+0.25*(Inputs!$B$14-Inputs!$B$14))*(1+Inputs!$B$7/100))*(F87/100)</f>
        <v/>
      </c>
      <c r="K87">
        <f>J87*(1+((Inputs!$B$12*(1+(Inputs!$B$13+1)/100))*0.01+Inputs!$B$14*0.0025)/100)*(1+Inputs!$B$15/100)*(1+Inputs!$B$16/100)*(5000/(6000+Inputs!$B$42*(1-(Inputs!$B$19+0)/100)))*(1+(Inputs!$B$24+((C102=TRUE)*(F102-Calc!F24))+((C103=TRUE)*(F103-Calc!F25))+B116)/100)*(1+(IF(Skills!A9="EMPOWERED_PIERCING_ARROW",Inputs!$B$17+((C100=TRUE)*(F100-Calc!F22)),Inputs!$B$18+((C105=TRUE)*(F105-Calc!F27))))/100)*((1+(((C91=TRUE)*F91)+((C92=TRUE)*IF(Inputs!$B$38="pvp",F92,(1-Summary!$B$55)*(F92)+Summary!$B$55*(0)))+((C93=TRUE)*F93*IF(AND(Inputs!$B$38&lt;&gt;"pvp",Inputs!$B$43&gt;0),(((R93-1)*(Skills!T15*(1+Inputs!$B$34/100))+MIN((Skills!T15*(1+Inputs!$B$34/100)),MAX(0,Inputs!$B$43-((R93-1)*Skills!D15))))/Inputs!$B$43),IF(Inputs!$B$38="pvp",MIN((Skills!T15*(1+Inputs!$B$34/100)),15)/15,(Skills!T15*(1+Inputs!$B$34/100))/Skills!D15)))+((C90=TRUE)*F90)+((C107=TRUE)*(F107-Calc!F29)))/100)*I87)</f>
        <v/>
      </c>
      <c r="L87">
        <f>K87*(MIN(Inputs!$B$22+((C101=TRUE)*(F101-Calc!F23)),Inputs!$B$23+((C106=TRUE)*(F106-Calc!F28)))/100+(Inputs!$B$23+((C106=TRUE)*(F106-Calc!F28)))/100)/2</f>
        <v/>
      </c>
      <c r="M87">
        <f>L87*(1+(Inputs!$B$10+0+B115)/100)</f>
        <v/>
      </c>
      <c r="N87">
        <f>L87*(1-MIN((Inputs!$B$9+((C97=TRUE)*(F97-Calc!F19))+B110),100)/100)+M87*(MIN((Inputs!$B$9+((C97=TRUE)*(F97-Calc!F19))+B110),100)/100)</f>
        <v/>
      </c>
      <c r="O87">
        <f>(1-Summary!$B$55)*T87+Summary!$B$55*V87</f>
        <v/>
      </c>
      <c r="P87">
        <f>IF(B120=0,0,O87/B120)</f>
        <v/>
      </c>
      <c r="Q87">
        <f>IFERROR(1/IF(Inputs!$B$38="pvp",15,MAX(0.1,Skills!D9-IF(Skills!E9=TRUE,Inputs!$B$32,0))),0)</f>
        <v/>
      </c>
      <c r="R87">
        <f>IF(AND(Inputs!$B$38&lt;&gt;"pvp",Inputs!$B$43&gt;0),IF(MAX(0,Inputs!$B$43-B117)&lt;=0,0,(INT(MAX(0,Inputs!$B$43-B117)/IF(Inputs!$B$38="pvp",15,MAX(0.1,Skills!D9-IF(Skills!E9=TRUE,Inputs!$B$32,0))))+1)),0)</f>
        <v/>
      </c>
      <c r="S87">
        <f>IFERROR((H87*N87*IF(AND(Inputs!$B$38&lt;&gt;"pvp",Inputs!$B$43&gt;0),((Skills!G9*((R87-1)*IF(Skills!H9&gt;0,Skills!I9/Skills!H9,1)+IF(Skills!H9&gt;0,MIN(Skills!I9,MAX(0,MAX(0,Inputs!$B$43-B117)-((R87-1)*IF(Inputs!$B$38="pvp",15,MAX(0.1,Skills!D9-IF(Skills!E9=TRUE,Inputs!$B$32,0))))))/Skills!H9,1)))/Inputs!$B$43),G87*Q87))/N87*IF(Inputs!$B$38="pvp",1,(1-Summary!$B$55)*1+Summary!$B$55*(MIN(Skills!R9,Inputs!$B$37))),0)</f>
        <v/>
      </c>
      <c r="T87">
        <f>IF(C87,(H87*N87*IF(AND(Inputs!$B$38&lt;&gt;"pvp",Inputs!$B$43&gt;0),((Skills!G9*((R87-1)*IF(Skills!H9&gt;0,Skills!I9/Skills!H9,1)+IF(Skills!H9&gt;0,MIN(Skills!I9,MAX(0,MAX(0,Inputs!$B$43-B117)-((R87-1)*IF(Inputs!$B$38="pvp",15,MAX(0.1,Skills!D9-IF(Skills!E9=TRUE,Inputs!$B$32,0))))))/Skills!H9,1)))/Inputs!$B$43),G87*Q87))*IF(Inputs!$B$38="pvp",1,1+(Inputs!$B$20+0+Skills!P9)/100),0)</f>
        <v/>
      </c>
      <c r="V87">
        <f>IF(C87,(H87*N87*IF(AND(Inputs!$B$38&lt;&gt;"pvp",Inputs!$B$43&gt;0),((Skills!G9*((R87-1)*IF(Skills!H9&gt;0,Skills!I9/Skills!H9,1)+IF(Skills!H9&gt;0,MIN(Skills!I9,MAX(0,MAX(0,Inputs!$B$43-B117)-((R87-1)*IF(Inputs!$B$38="pvp",15,MAX(0.1,Skills!D9-IF(Skills!E9=TRUE,Inputs!$B$32,0))))))/Skills!H9,1)))/Inputs!$B$43),G87*Q87))*IF(Inputs!$B$38="pvp",1,(1+(Inputs!$B$21+Skills!Q9)/100)*(MIN(Skills!R9,Inputs!$B$37))),0)</f>
        <v/>
      </c>
    </row>
    <row r="88">
      <c r="A88">
        <f>Skills!A10</f>
        <v/>
      </c>
      <c r="B88">
        <f>Skills!B10</f>
        <v/>
      </c>
      <c r="C88">
        <f>Inputs!$B$3&gt;=107</f>
        <v/>
      </c>
      <c r="D88">
        <f>IF(Skills!C10=1,60+Inputs!$B$25+Inputs!$B$29,IF(Skills!C10=2,90+Inputs!$B$26+Inputs!$B$29,IF(Skills!C10=3,120+Inputs!$B$27+Inputs!$B$29,MAX(0,(Inputs!$B$3-100)*3)+Inputs!$B$28+Inputs!$B$29)))</f>
        <v/>
      </c>
      <c r="E88">
        <f>INDEX(FactorTable!$B$2:$Y$301, MATCH(ROUND(MIN(300,MAX(1,D88)),0), FactorTable!$A$2:$A$301,0), Skills!M10+1)</f>
        <v/>
      </c>
      <c r="F88">
        <f>IF(Skills!N10=TRUE,(Skills!L10/10)*(E88/1000),Skills!L10/10)+Skills!O10</f>
        <v/>
      </c>
      <c r="G88">
        <f>Skills!G10*IF(Skills!H10&gt;0,Skills!I10/Skills!H10,1)</f>
        <v/>
      </c>
      <c r="H88">
        <f>1-(1-Skills!J10/100)^Skills!K10</f>
        <v/>
      </c>
      <c r="I88" t="inlineStr">
        <is>
          <t>1</t>
        </is>
      </c>
      <c r="J88">
        <f>((Inputs!$B$6*(1+Inputs!$B$7/100))+(((Inputs!$B$12*(1+(Inputs!$B$13+1)/100))-(Inputs!$B$12*(1+Inputs!$B$13/100)))+0.25*(Inputs!$B$14-Inputs!$B$14))*(1+Inputs!$B$7/100))*(F88/100)</f>
        <v/>
      </c>
      <c r="K88">
        <f>J88*(1+((Inputs!$B$12*(1+(Inputs!$B$13+1)/100))*0.01+Inputs!$B$14*0.0025)/100)*(1+Inputs!$B$15/100)*(1+Inputs!$B$16/100)*(5000/(6000+Inputs!$B$42*(1-(Inputs!$B$19+0)/100)))*(1+(Inputs!$B$24+((C102=TRUE)*(F102-Calc!F24))+((C103=TRUE)*(F103-Calc!F25))+B116)/100)*(1+(IF(Skills!A10="EMPOWERED_PIERCING_ARROW",Inputs!$B$17+((C100=TRUE)*(F100-Calc!F22)),Inputs!$B$18+((C105=TRUE)*(F105-Calc!F27))))/100)*((1+(((C91=TRUE)*F91)+((C92=TRUE)*IF(Inputs!$B$38="pvp",F92,(1-Summary!$B$55)*(F92)+Summary!$B$55*(0)))+((C93=TRUE)*F93*IF(AND(Inputs!$B$38&lt;&gt;"pvp",Inputs!$B$43&gt;0),(((R93-1)*(Skills!T15*(1+Inputs!$B$34/100))+MIN((Skills!T15*(1+Inputs!$B$34/100)),MAX(0,Inputs!$B$43-((R93-1)*Skills!D15))))/Inputs!$B$43),IF(Inputs!$B$38="pvp",MIN((Skills!T15*(1+Inputs!$B$34/100)),15)/15,(Skills!T15*(1+Inputs!$B$34/100))/Skills!D15)))+((C90=TRUE)*F90)+((C107=TRUE)*(F107-Calc!F29)))/100)*I88)</f>
        <v/>
      </c>
      <c r="L88">
        <f>K88*(MIN(Inputs!$B$22+((C101=TRUE)*(F101-Calc!F23)),Inputs!$B$23+((C106=TRUE)*(F106-Calc!F28)))/100+(Inputs!$B$23+((C106=TRUE)*(F106-Calc!F28)))/100)/2</f>
        <v/>
      </c>
      <c r="M88">
        <f>L88*(1+(Inputs!$B$10+0+B115)/100)</f>
        <v/>
      </c>
      <c r="N88">
        <f>L88*(1-MIN((Inputs!$B$9+((C97=TRUE)*(F97-Calc!F19))+B110),100)/100)+M88*(MIN((Inputs!$B$9+((C97=TRUE)*(F97-Calc!F19))+B110),100)/100)</f>
        <v/>
      </c>
      <c r="O88">
        <f>(1-Summary!$B$55)*T88+Summary!$B$55*V88</f>
        <v/>
      </c>
      <c r="P88">
        <f>IF(B120=0,0,O88/B120)</f>
        <v/>
      </c>
      <c r="Q88" t="n">
        <v>0</v>
      </c>
      <c r="R88" t="n">
        <v>0</v>
      </c>
      <c r="S88" t="n">
        <v>0</v>
      </c>
      <c r="T88">
        <f>IF(C88,(0.15*SUMPRODUCT((Skills!U2:U29=TRUE)*(C80:C107=TRUE)*S80:S107)*Skills!G10*N88)*IF(Inputs!$B$38="pvp",1,1+(Inputs!$B$20+0+Skills!P10)/100),0)</f>
        <v/>
      </c>
      <c r="V88">
        <f>IF(C88,(0.15*SUMPRODUCT((Skills!U2:U29=TRUE)*(C80:C107=TRUE)*S80:S107)*Skills!G10*N88)*IF(Inputs!$B$38="pvp",1,(1+(Inputs!$B$21+Skills!Q10)/100)*(MIN(Skills!R10,Inputs!$B$37))),0)</f>
        <v/>
      </c>
    </row>
    <row r="89">
      <c r="A89">
        <f>Skills!A11</f>
        <v/>
      </c>
      <c r="B89">
        <f>Skills!B11</f>
        <v/>
      </c>
      <c r="C89">
        <f>Inputs!$B$3&gt;=110</f>
        <v/>
      </c>
      <c r="D89">
        <f>IF(Skills!C11=1,60+Inputs!$B$25+Inputs!$B$29,IF(Skills!C11=2,90+Inputs!$B$26+Inputs!$B$29,IF(Skills!C11=3,120+Inputs!$B$27+Inputs!$B$29,MAX(0,(Inputs!$B$3-100)*3)+Inputs!$B$28+Inputs!$B$29)))</f>
        <v/>
      </c>
      <c r="E89">
        <f>INDEX(FactorTable!$B$2:$Y$301, MATCH(ROUND(MIN(300,MAX(1,D89)),0), FactorTable!$A$2:$A$301,0), Skills!M11+1)</f>
        <v/>
      </c>
      <c r="F89">
        <f>IF(Skills!N11=TRUE,(Skills!L11/10)*(E89/1000),Skills!L11/10)+Skills!O11</f>
        <v/>
      </c>
      <c r="G89">
        <f>Skills!G11*IF(Skills!H11&gt;0,Skills!I11/Skills!H11,1)</f>
        <v/>
      </c>
      <c r="H89">
        <f>1-(1-Skills!J11/100)^Skills!K11</f>
        <v/>
      </c>
      <c r="I89" t="inlineStr">
        <is>
          <t>1</t>
        </is>
      </c>
      <c r="J89">
        <f>((Inputs!$B$6*(1+Inputs!$B$7/100))+(((Inputs!$B$12*(1+(Inputs!$B$13+1)/100))-(Inputs!$B$12*(1+Inputs!$B$13/100)))+0.25*(Inputs!$B$14-Inputs!$B$14))*(1+Inputs!$B$7/100))*(F89/100)</f>
        <v/>
      </c>
      <c r="K89">
        <f>J89*(1+((Inputs!$B$12*(1+(Inputs!$B$13+1)/100))*0.01+Inputs!$B$14*0.0025)/100)*(1+Inputs!$B$15/100)*(1+Inputs!$B$16/100)*(5000/(6000+Inputs!$B$42*(1-(Inputs!$B$19+0)/100)))*(1+(Inputs!$B$24+((C102=TRUE)*(F102-Calc!F24))+((C103=TRUE)*(F103-Calc!F25))+B116)/100)*(1+(IF(Skills!A11="EMPOWERED_PIERCING_ARROW",Inputs!$B$17+((C100=TRUE)*(F100-Calc!F22)),Inputs!$B$18+((C105=TRUE)*(F105-Calc!F27))))/100)*((1+(((C91=TRUE)*F91)+((C92=TRUE)*IF(Inputs!$B$38="pvp",F92,(1-Summary!$B$55)*(F92)+Summary!$B$55*(0)))+((C93=TRUE)*F93*IF(AND(Inputs!$B$38&lt;&gt;"pvp",Inputs!$B$43&gt;0),(((R93-1)*(Skills!T15*(1+Inputs!$B$34/100))+MIN((Skills!T15*(1+Inputs!$B$34/100)),MAX(0,Inputs!$B$43-((R93-1)*Skills!D15))))/Inputs!$B$43),IF(Inputs!$B$38="pvp",MIN((Skills!T15*(1+Inputs!$B$34/100)),15)/15,(Skills!T15*(1+Inputs!$B$34/100))/Skills!D15)))+((C90=TRUE)*F90)+((C107=TRUE)*(F107-Calc!F29)))/100)*I89)</f>
        <v/>
      </c>
      <c r="L89">
        <f>K89*(MIN(Inputs!$B$22+((C101=TRUE)*(F101-Calc!F23)),Inputs!$B$23+((C106=TRUE)*(F106-Calc!F28)))/100+(Inputs!$B$23+((C106=TRUE)*(F106-Calc!F28)))/100)/2</f>
        <v/>
      </c>
      <c r="M89">
        <f>L89*(1+(Inputs!$B$10+0+B115)/100)</f>
        <v/>
      </c>
      <c r="N89">
        <f>L89*(1-MIN((Inputs!$B$9+((C97=TRUE)*(F97-Calc!F19))+B110),100)/100)+M89*(MIN((Inputs!$B$9+((C97=TRUE)*(F97-Calc!F19))+B110),100)/100)</f>
        <v/>
      </c>
      <c r="O89">
        <f>(1-Summary!$B$55)*T89+Summary!$B$55*V89</f>
        <v/>
      </c>
      <c r="P89">
        <f>IF(B120=0,0,O89/B120)</f>
        <v/>
      </c>
      <c r="Q89">
        <f>IFERROR(1/IF(Inputs!$B$38="pvp",15,MAX(0.1,Skills!D11-IF(Skills!E11=TRUE,Inputs!$B$32,0))),0)</f>
        <v/>
      </c>
      <c r="R89">
        <f>IF(AND(Inputs!$B$38&lt;&gt;"pvp",Inputs!$B$43&gt;0),IF(MAX(0,Inputs!$B$43-B117)&lt;=0,0,(INT(MAX(0,Inputs!$B$43-B117)/IF(Inputs!$B$38="pvp",15,MAX(0.1,Skills!D11-IF(Skills!E11=TRUE,Inputs!$B$32,0))))+1)),0)</f>
        <v/>
      </c>
      <c r="S89">
        <f>IFERROR((H89*N89*IF(AND(Inputs!$B$38&lt;&gt;"pvp",Inputs!$B$43&gt;0),((Skills!G11*((R89-1)*IF(Skills!H11&gt;0,Skills!I11/Skills!H11,1)+IF(Skills!H11&gt;0,MIN(Skills!I11,MAX(0,MAX(0,Inputs!$B$43-B117)-((R89-1)*IF(Inputs!$B$38="pvp",15,MAX(0.1,Skills!D11-IF(Skills!E11=TRUE,Inputs!$B$32,0))))))/Skills!H11,1)))/Inputs!$B$43),G89*Q89))/N89*IF(Inputs!$B$38="pvp",1,(1-Summary!$B$55)*1+Summary!$B$55*(MIN(Skills!R11,Inputs!$B$37))),0)</f>
        <v/>
      </c>
      <c r="T89">
        <f>IF(C89,(H89*N89*IF(AND(Inputs!$B$38&lt;&gt;"pvp",Inputs!$B$43&gt;0),((Skills!G11*((R89-1)*IF(Skills!H11&gt;0,Skills!I11/Skills!H11,1)+IF(Skills!H11&gt;0,MIN(Skills!I11,MAX(0,MAX(0,Inputs!$B$43-B117)-((R89-1)*IF(Inputs!$B$38="pvp",15,MAX(0.1,Skills!D11-IF(Skills!E11=TRUE,Inputs!$B$32,0))))))/Skills!H11,1)))/Inputs!$B$43),G89*Q89))*IF(Inputs!$B$38="pvp",1,1+(Inputs!$B$20+0+Skills!P11)/100),0)</f>
        <v/>
      </c>
      <c r="V89">
        <f>IF(C89,(H89*N89*IF(AND(Inputs!$B$38&lt;&gt;"pvp",Inputs!$B$43&gt;0),((Skills!G11*((R89-1)*IF(Skills!H11&gt;0,Skills!I11/Skills!H11,1)+IF(Skills!H11&gt;0,MIN(Skills!I11,MAX(0,MAX(0,Inputs!$B$43-B117)-((R89-1)*IF(Inputs!$B$38="pvp",15,MAX(0.1,Skills!D11-IF(Skills!E11=TRUE,Inputs!$B$32,0))))))/Skills!H11,1)))/Inputs!$B$43),G89*Q89))*IF(Inputs!$B$38="pvp",1,(1+(Inputs!$B$21+Skills!Q11)/100)*(MIN(Skills!R11,Inputs!$B$37))),0)</f>
        <v/>
      </c>
    </row>
    <row r="90">
      <c r="A90">
        <f>Skills!A12</f>
        <v/>
      </c>
      <c r="B90">
        <f>Skills!B12</f>
        <v/>
      </c>
      <c r="C90">
        <f>Inputs!$B$3&gt;=60</f>
        <v/>
      </c>
      <c r="D90">
        <f>IF(Skills!C12=1,60+Inputs!$B$25+Inputs!$B$29,IF(Skills!C12=2,90+Inputs!$B$26+Inputs!$B$29,IF(Skills!C12=3,120+Inputs!$B$27+Inputs!$B$29,MAX(0,(Inputs!$B$3-100)*3)+Inputs!$B$28+Inputs!$B$29)))</f>
        <v/>
      </c>
      <c r="E90">
        <f>INDEX(FactorTable!$B$2:$Y$301, MATCH(ROUND(MIN(300,MAX(1,D90)),0), FactorTable!$A$2:$A$301,0), Skills!M12+1)</f>
        <v/>
      </c>
      <c r="F90">
        <f>IF(Skills!N12=TRUE,(Skills!L12/10)*(E90/1000),Skills!L12/10)+Skills!O12</f>
        <v/>
      </c>
      <c r="G90">
        <f>Skills!G12*IF(Skills!H12&gt;0,Skills!I12/Skills!H12,1)</f>
        <v/>
      </c>
      <c r="H90">
        <f>1-(1-Skills!J12/100)^Skills!K12</f>
        <v/>
      </c>
      <c r="I90" t="inlineStr">
        <is>
          <t>1</t>
        </is>
      </c>
      <c r="J90" t="inlineStr"/>
      <c r="K90" t="inlineStr"/>
      <c r="L90" t="inlineStr"/>
      <c r="M90" t="inlineStr"/>
      <c r="N90" t="inlineStr"/>
      <c r="O90">
        <f>(1-Summary!$B$55)*T90+Summary!$B$55*V90</f>
        <v/>
      </c>
      <c r="P90">
        <f>IF(B120=0,0,O90/B120)</f>
        <v/>
      </c>
      <c r="Q90" t="n">
        <v>0</v>
      </c>
      <c r="R90" t="n">
        <v>0</v>
      </c>
      <c r="S90" t="n">
        <v>0</v>
      </c>
      <c r="T90" t="n">
        <v>0</v>
      </c>
      <c r="V90" t="n">
        <v>0</v>
      </c>
    </row>
    <row r="91">
      <c r="A91">
        <f>Skills!A13</f>
        <v/>
      </c>
      <c r="B91">
        <f>Skills!B13</f>
        <v/>
      </c>
      <c r="C91">
        <f>Inputs!$B$3&gt;=74</f>
        <v/>
      </c>
      <c r="D91">
        <f>IF(Skills!C13=1,60+Inputs!$B$25+Inputs!$B$29,IF(Skills!C13=2,90+Inputs!$B$26+Inputs!$B$29,IF(Skills!C13=3,120+Inputs!$B$27+Inputs!$B$29,MAX(0,(Inputs!$B$3-100)*3)+Inputs!$B$28+Inputs!$B$29)))</f>
        <v/>
      </c>
      <c r="E91">
        <f>INDEX(FactorTable!$B$2:$Y$301, MATCH(ROUND(MIN(300,MAX(1,D91)),0), FactorTable!$A$2:$A$301,0), Skills!M13+1)</f>
        <v/>
      </c>
      <c r="F91">
        <f>IF(Skills!N13=TRUE,(Skills!L13/10)*(E91/1000),Skills!L13/10)+Skills!O13</f>
        <v/>
      </c>
      <c r="G91">
        <f>Skills!G13*IF(Skills!H13&gt;0,Skills!I13/Skills!H13,1)</f>
        <v/>
      </c>
      <c r="H91">
        <f>1-(1-Skills!J13/100)^Skills!K13</f>
        <v/>
      </c>
      <c r="I91" t="inlineStr">
        <is>
          <t>1</t>
        </is>
      </c>
      <c r="J91" t="inlineStr"/>
      <c r="K91" t="inlineStr"/>
      <c r="L91" t="inlineStr"/>
      <c r="M91" t="inlineStr"/>
      <c r="N91" t="inlineStr"/>
      <c r="O91">
        <f>(1-Summary!$B$55)*T91+Summary!$B$55*V91</f>
        <v/>
      </c>
      <c r="P91">
        <f>IF(B120=0,0,O91/B120)</f>
        <v/>
      </c>
      <c r="Q91" t="n">
        <v>0</v>
      </c>
      <c r="R91" t="n">
        <v>0</v>
      </c>
      <c r="S91" t="n">
        <v>0</v>
      </c>
      <c r="T91" t="n">
        <v>0</v>
      </c>
      <c r="V91" t="n">
        <v>0</v>
      </c>
    </row>
    <row r="92">
      <c r="A92">
        <f>Skills!A14</f>
        <v/>
      </c>
      <c r="B92">
        <f>Skills!B14</f>
        <v/>
      </c>
      <c r="C92">
        <f>Inputs!$B$3&gt;=74</f>
        <v/>
      </c>
      <c r="D92">
        <f>IF(Skills!C14=1,60+Inputs!$B$25+Inputs!$B$29,IF(Skills!C14=2,90+Inputs!$B$26+Inputs!$B$29,IF(Skills!C14=3,120+Inputs!$B$27+Inputs!$B$29,MAX(0,(Inputs!$B$3-100)*3)+Inputs!$B$28+Inputs!$B$29)))</f>
        <v/>
      </c>
      <c r="E92">
        <f>INDEX(FactorTable!$B$2:$Y$301, MATCH(ROUND(MIN(300,MAX(1,D92)),0), FactorTable!$A$2:$A$301,0), Skills!M14+1)</f>
        <v/>
      </c>
      <c r="F92">
        <f>IF(Skills!N14=TRUE,(Skills!L14/10)*(E92/1000),Skills!L14/10)+Skills!O14</f>
        <v/>
      </c>
      <c r="G92">
        <f>Skills!G14*IF(Skills!H14&gt;0,Skills!I14/Skills!H14,1)</f>
        <v/>
      </c>
      <c r="H92">
        <f>1-(1-Skills!J14/100)^Skills!K14</f>
        <v/>
      </c>
      <c r="I92" t="inlineStr">
        <is>
          <t>1</t>
        </is>
      </c>
      <c r="J92" t="inlineStr"/>
      <c r="K92" t="inlineStr"/>
      <c r="L92" t="inlineStr"/>
      <c r="M92" t="inlineStr"/>
      <c r="N92" t="inlineStr"/>
      <c r="O92">
        <f>(1-Summary!$B$55)*T92+Summary!$B$55*V92</f>
        <v/>
      </c>
      <c r="P92">
        <f>IF(B120=0,0,O92/B120)</f>
        <v/>
      </c>
      <c r="Q92" t="n">
        <v>0</v>
      </c>
      <c r="R92" t="n">
        <v>0</v>
      </c>
      <c r="S92" t="n">
        <v>0</v>
      </c>
      <c r="T92" t="n">
        <v>0</v>
      </c>
      <c r="V92" t="n">
        <v>0</v>
      </c>
    </row>
    <row r="93">
      <c r="A93">
        <f>Skills!A15</f>
        <v/>
      </c>
      <c r="B93">
        <f>Skills!B15</f>
        <v/>
      </c>
      <c r="C93">
        <f>Inputs!$B$3&gt;=117</f>
        <v/>
      </c>
      <c r="D93">
        <f>IF(Skills!C15=1,60+Inputs!$B$25+Inputs!$B$29,IF(Skills!C15=2,90+Inputs!$B$26+Inputs!$B$29,IF(Skills!C15=3,120+Inputs!$B$27+Inputs!$B$29,MAX(0,(Inputs!$B$3-100)*3)+Inputs!$B$28+Inputs!$B$29)))</f>
        <v/>
      </c>
      <c r="E93">
        <f>INDEX(FactorTable!$B$2:$Y$301, MATCH(ROUND(MIN(300,MAX(1,D93)),0), FactorTable!$A$2:$A$301,0), Skills!M15+1)</f>
        <v/>
      </c>
      <c r="F93">
        <f>IF(Skills!N15=TRUE,(Skills!L15/10)*(E93/1000),Skills!L15/10)+Skills!O15</f>
        <v/>
      </c>
      <c r="G93">
        <f>Skills!G15*IF(Skills!H15&gt;0,Skills!I15/Skills!H15,1)</f>
        <v/>
      </c>
      <c r="H93">
        <f>1-(1-Skills!J15/100)^Skills!K15</f>
        <v/>
      </c>
      <c r="I93" t="inlineStr">
        <is>
          <t>1</t>
        </is>
      </c>
      <c r="J93" t="inlineStr"/>
      <c r="K93" t="inlineStr"/>
      <c r="L93" t="inlineStr"/>
      <c r="M93" t="inlineStr"/>
      <c r="N93" t="inlineStr"/>
      <c r="O93">
        <f>(1-Summary!$B$55)*T93+Summary!$B$55*V93</f>
        <v/>
      </c>
      <c r="P93">
        <f>IF(B120=0,0,O93/B120)</f>
        <v/>
      </c>
      <c r="Q93">
        <f>IFERROR(1/IF(Inputs!$B$38="pvp",15,MAX(0.1,Skills!D15-IF(Skills!E15=TRUE,Inputs!$B$32,0))),0)</f>
        <v/>
      </c>
      <c r="R93">
        <f>IF(AND(Inputs!$B$38&lt;&gt;"pvp",Inputs!$B$43&gt;0),IF(Inputs!$B$43&lt;=0,0,(INT(Inputs!$B$43/IF(Inputs!$B$38="pvp",15,MAX(0.1,Skills!D15-IF(Skills!E15=TRUE,Inputs!$B$32,0))))+1)),0)</f>
        <v/>
      </c>
      <c r="S93" t="n">
        <v>0</v>
      </c>
      <c r="T93" t="n">
        <v>0</v>
      </c>
      <c r="V93" t="n">
        <v>0</v>
      </c>
    </row>
    <row r="94">
      <c r="A94">
        <f>Skills!A16</f>
        <v/>
      </c>
      <c r="B94">
        <f>Skills!B16</f>
        <v/>
      </c>
      <c r="C94">
        <f>Inputs!$B$3&gt;=115</f>
        <v/>
      </c>
      <c r="D94">
        <f>IF(Skills!C16=1,60+Inputs!$B$25+Inputs!$B$29,IF(Skills!C16=2,90+Inputs!$B$26+Inputs!$B$29,IF(Skills!C16=3,120+Inputs!$B$27+Inputs!$B$29,MAX(0,(Inputs!$B$3-100)*3)+Inputs!$B$28+Inputs!$B$29)))</f>
        <v/>
      </c>
      <c r="E94">
        <f>INDEX(FactorTable!$B$2:$Y$301, MATCH(ROUND(MIN(300,MAX(1,D94)),0), FactorTable!$A$2:$A$301,0), Skills!M16+1)</f>
        <v/>
      </c>
      <c r="F94">
        <f>IF(Skills!N16=TRUE,(Skills!L16/10)*(E94/1000),Skills!L16/10)+Skills!O16</f>
        <v/>
      </c>
      <c r="G94">
        <f>Skills!G16*IF(Skills!H16&gt;0,Skills!I16/Skills!H16,1)</f>
        <v/>
      </c>
      <c r="H94">
        <f>1-(1-Skills!J16/100)^Skills!K16</f>
        <v/>
      </c>
      <c r="I94" t="inlineStr">
        <is>
          <t>1</t>
        </is>
      </c>
      <c r="J94" t="inlineStr"/>
      <c r="K94" t="inlineStr"/>
      <c r="L94" t="inlineStr"/>
      <c r="M94" t="inlineStr"/>
      <c r="N94" t="inlineStr"/>
      <c r="O94">
        <f>(1-Summary!$B$55)*T94+Summary!$B$55*V94</f>
        <v/>
      </c>
      <c r="P94">
        <f>IF(B120=0,0,O94/B120)</f>
        <v/>
      </c>
      <c r="Q94">
        <f>IFERROR(1/IF(Inputs!$B$38="pvp",15,MAX(0.1,Skills!D16-IF(Skills!E16=TRUE,Inputs!$B$32,0))),0)</f>
        <v/>
      </c>
      <c r="R94">
        <f>IF(AND(Inputs!$B$38&lt;&gt;"pvp",Inputs!$B$43&gt;0),IF(Inputs!$B$43&lt;=0,0,(INT(Inputs!$B$43/IF(Inputs!$B$38="pvp",15,MAX(0.1,Skills!D16-IF(Skills!E16=TRUE,Inputs!$B$32,0))))+1)),0)</f>
        <v/>
      </c>
      <c r="S94" t="n">
        <v>0</v>
      </c>
      <c r="T94" t="n">
        <v>0</v>
      </c>
      <c r="V94" t="n">
        <v>0</v>
      </c>
    </row>
    <row r="95">
      <c r="A95">
        <f>Skills!A17</f>
        <v/>
      </c>
      <c r="B95">
        <f>Skills!B17</f>
        <v/>
      </c>
      <c r="C95">
        <f>Inputs!$B$3&gt;=72</f>
        <v/>
      </c>
      <c r="D95">
        <f>IF(Skills!C17=1,60+Inputs!$B$25+Inputs!$B$29,IF(Skills!C17=2,90+Inputs!$B$26+Inputs!$B$29,IF(Skills!C17=3,120+Inputs!$B$27+Inputs!$B$29,MAX(0,(Inputs!$B$3-100)*3)+Inputs!$B$28+Inputs!$B$29)))</f>
        <v/>
      </c>
      <c r="E95">
        <f>INDEX(FactorTable!$B$2:$Y$301, MATCH(ROUND(MIN(300,MAX(1,D95)),0), FactorTable!$A$2:$A$301,0), Skills!M17+1)</f>
        <v/>
      </c>
      <c r="F95">
        <f>IF(Skills!N17=TRUE,(Skills!L17/10)*(E95/1000),Skills!L17/10)+Skills!O17</f>
        <v/>
      </c>
      <c r="G95">
        <f>Skills!G17*IF(Skills!H17&gt;0,Skills!I17/Skills!H17,1)</f>
        <v/>
      </c>
      <c r="H95">
        <f>1-(1-Skills!J17/100)^Skills!K17</f>
        <v/>
      </c>
      <c r="I95" t="inlineStr">
        <is>
          <t>1</t>
        </is>
      </c>
      <c r="J95" t="inlineStr"/>
      <c r="K95" t="inlineStr"/>
      <c r="L95" t="inlineStr"/>
      <c r="M95" t="inlineStr"/>
      <c r="N95" t="inlineStr"/>
      <c r="O95">
        <f>(1-Summary!$B$55)*T95+Summary!$B$55*V95</f>
        <v/>
      </c>
      <c r="P95">
        <f>IF(B120=0,0,O95/B120)</f>
        <v/>
      </c>
      <c r="Q95" t="n">
        <v>0</v>
      </c>
      <c r="R95" t="n">
        <v>0</v>
      </c>
      <c r="S95" t="n">
        <v>0</v>
      </c>
      <c r="T95" t="n">
        <v>0</v>
      </c>
      <c r="V95" t="n">
        <v>0</v>
      </c>
    </row>
    <row r="96">
      <c r="A96">
        <f>Skills!A18</f>
        <v/>
      </c>
      <c r="B96">
        <f>Skills!B18</f>
        <v/>
      </c>
      <c r="C96">
        <f>TRUE</f>
        <v/>
      </c>
      <c r="D96">
        <f>IF(Skills!C18=1,60+Inputs!$B$25+Inputs!$B$29,IF(Skills!C18=2,90+Inputs!$B$26+Inputs!$B$29,IF(Skills!C18=3,120+Inputs!$B$27+Inputs!$B$29,MAX(0,(Inputs!$B$3-100)*3)+Inputs!$B$28+Inputs!$B$29)))</f>
        <v/>
      </c>
      <c r="E96">
        <f>INDEX(FactorTable!$B$2:$Y$301, MATCH(ROUND(MIN(300,MAX(1,D96)),0), FactorTable!$A$2:$A$301,0), Skills!M18+1)</f>
        <v/>
      </c>
      <c r="F96">
        <f>IF(Skills!N18=TRUE,(Skills!L18/10)*(E96/1000),Skills!L18/10)+Skills!O18</f>
        <v/>
      </c>
      <c r="G96">
        <f>Skills!G18*IF(Skills!H18&gt;0,Skills!I18/Skills!H18,1)</f>
        <v/>
      </c>
      <c r="H96">
        <f>1-(1-Skills!J18/100)^Skills!K18</f>
        <v/>
      </c>
      <c r="I96" t="inlineStr">
        <is>
          <t>1</t>
        </is>
      </c>
      <c r="J96" t="inlineStr"/>
      <c r="K96" t="inlineStr"/>
      <c r="L96" t="inlineStr"/>
      <c r="M96" t="inlineStr"/>
      <c r="N96" t="inlineStr"/>
      <c r="O96">
        <f>(1-Summary!$B$55)*T96+Summary!$B$55*V96</f>
        <v/>
      </c>
      <c r="P96">
        <f>IF(B120=0,0,O96/B120)</f>
        <v/>
      </c>
      <c r="Q96">
        <f>IFERROR(1/IF(Inputs!$B$38="pvp",15,MAX(0.1,Skills!D18-IF(Skills!E18=TRUE,Inputs!$B$32,0))),0)</f>
        <v/>
      </c>
      <c r="R96">
        <f>IF(AND(Inputs!$B$38&lt;&gt;"pvp",Inputs!$B$43&gt;0),IF(Inputs!$B$43&lt;=0,0,(INT(Inputs!$B$43/IF(Inputs!$B$38="pvp",15,MAX(0.1,Skills!D18-IF(Skills!E18=TRUE,Inputs!$B$32,0))))+1)),0)</f>
        <v/>
      </c>
      <c r="S96" t="n">
        <v>0</v>
      </c>
      <c r="T96" t="n">
        <v>0</v>
      </c>
      <c r="V96" t="n">
        <v>0</v>
      </c>
    </row>
    <row r="97">
      <c r="A97">
        <f>Skills!A19</f>
        <v/>
      </c>
      <c r="B97">
        <f>Skills!B19</f>
        <v/>
      </c>
      <c r="C97">
        <f>Inputs!$B$3&gt;=15</f>
        <v/>
      </c>
      <c r="D97">
        <f>IF(Skills!C19=1,60+Inputs!$B$25+Inputs!$B$29,IF(Skills!C19=2,90+Inputs!$B$26+Inputs!$B$29,IF(Skills!C19=3,120+Inputs!$B$27+Inputs!$B$29,MAX(0,(Inputs!$B$3-100)*3)+Inputs!$B$28+Inputs!$B$29)))</f>
        <v/>
      </c>
      <c r="E97">
        <f>INDEX(FactorTable!$B$2:$Y$301, MATCH(ROUND(MIN(300,MAX(1,D97)),0), FactorTable!$A$2:$A$301,0), Skills!M19+1)</f>
        <v/>
      </c>
      <c r="F97">
        <f>IF(Skills!N19=TRUE,(Skills!L19/10)*(E97/1000),Skills!L19/10)+Skills!O19</f>
        <v/>
      </c>
      <c r="G97">
        <f>Skills!G19*IF(Skills!H19&gt;0,Skills!I19/Skills!H19,1)</f>
        <v/>
      </c>
      <c r="H97">
        <f>1-(1-Skills!J19/100)^Skills!K19</f>
        <v/>
      </c>
      <c r="I97" t="inlineStr">
        <is>
          <t>1</t>
        </is>
      </c>
      <c r="J97" t="inlineStr"/>
      <c r="K97" t="inlineStr"/>
      <c r="L97" t="inlineStr"/>
      <c r="M97" t="inlineStr"/>
      <c r="N97" t="inlineStr"/>
      <c r="O97">
        <f>(1-Summary!$B$55)*T97+Summary!$B$55*V97</f>
        <v/>
      </c>
      <c r="P97">
        <f>IF(B120=0,0,O97/B120)</f>
        <v/>
      </c>
      <c r="Q97" t="n">
        <v>0</v>
      </c>
      <c r="R97" t="n">
        <v>0</v>
      </c>
      <c r="S97" t="n">
        <v>0</v>
      </c>
      <c r="T97" t="n">
        <v>0</v>
      </c>
      <c r="V97" t="n">
        <v>0</v>
      </c>
    </row>
    <row r="98">
      <c r="A98">
        <f>Skills!A20</f>
        <v/>
      </c>
      <c r="B98">
        <f>Skills!B20</f>
        <v/>
      </c>
      <c r="C98">
        <f>Inputs!$B$3&gt;=10</f>
        <v/>
      </c>
      <c r="D98">
        <f>IF(Skills!C20=1,60+Inputs!$B$25+Inputs!$B$29,IF(Skills!C20=2,90+Inputs!$B$26+Inputs!$B$29,IF(Skills!C20=3,120+Inputs!$B$27+Inputs!$B$29,MAX(0,(Inputs!$B$3-100)*3)+Inputs!$B$28+Inputs!$B$29)))</f>
        <v/>
      </c>
      <c r="E98">
        <f>INDEX(FactorTable!$B$2:$Y$301, MATCH(ROUND(MIN(300,MAX(1,D98)),0), FactorTable!$A$2:$A$301,0), Skills!M20+1)</f>
        <v/>
      </c>
      <c r="F98">
        <f>IF(Skills!N20=TRUE,(Skills!L20/10)*(E98/1000),Skills!L20/10)+Skills!O20</f>
        <v/>
      </c>
      <c r="G98">
        <f>Skills!G20*IF(Skills!H20&gt;0,Skills!I20/Skills!H20,1)</f>
        <v/>
      </c>
      <c r="H98">
        <f>1-(1-Skills!J20/100)^Skills!K20</f>
        <v/>
      </c>
      <c r="I98" t="inlineStr">
        <is>
          <t>1</t>
        </is>
      </c>
      <c r="J98" t="inlineStr"/>
      <c r="K98" t="inlineStr"/>
      <c r="L98" t="inlineStr"/>
      <c r="M98" t="inlineStr"/>
      <c r="N98" t="inlineStr"/>
      <c r="O98">
        <f>(1-Summary!$B$55)*T98+Summary!$B$55*V98</f>
        <v/>
      </c>
      <c r="P98">
        <f>IF(B120=0,0,O98/B120)</f>
        <v/>
      </c>
      <c r="Q98" t="n">
        <v>0</v>
      </c>
      <c r="R98" t="n">
        <v>0</v>
      </c>
      <c r="S98" t="n">
        <v>0</v>
      </c>
      <c r="T98" t="n">
        <v>0</v>
      </c>
      <c r="V98" t="n">
        <v>0</v>
      </c>
    </row>
    <row r="99">
      <c r="A99">
        <f>Skills!A21</f>
        <v/>
      </c>
      <c r="B99">
        <f>Skills!B21</f>
        <v/>
      </c>
      <c r="C99">
        <f>Inputs!$B$3&gt;=33</f>
        <v/>
      </c>
      <c r="D99">
        <f>IF(Skills!C21=1,60+Inputs!$B$25+Inputs!$B$29,IF(Skills!C21=2,90+Inputs!$B$26+Inputs!$B$29,IF(Skills!C21=3,120+Inputs!$B$27+Inputs!$B$29,MAX(0,(Inputs!$B$3-100)*3)+Inputs!$B$28+Inputs!$B$29)))</f>
        <v/>
      </c>
      <c r="E99">
        <f>INDEX(FactorTable!$B$2:$Y$301, MATCH(ROUND(MIN(300,MAX(1,D99)),0), FactorTable!$A$2:$A$301,0), Skills!M21+1)</f>
        <v/>
      </c>
      <c r="F99">
        <f>IF(Skills!N21=TRUE,(Skills!L21/10)*(E99/1000),Skills!L21/10)+Skills!O21</f>
        <v/>
      </c>
      <c r="G99">
        <f>Skills!G21*IF(Skills!H21&gt;0,Skills!I21/Skills!H21,1)</f>
        <v/>
      </c>
      <c r="H99">
        <f>1-(1-Skills!J21/100)^Skills!K21</f>
        <v/>
      </c>
      <c r="I99" t="inlineStr">
        <is>
          <t>1</t>
        </is>
      </c>
      <c r="J99" t="inlineStr"/>
      <c r="K99" t="inlineStr"/>
      <c r="L99" t="inlineStr"/>
      <c r="M99" t="inlineStr"/>
      <c r="N99" t="inlineStr"/>
      <c r="O99">
        <f>(1-Summary!$B$55)*T99+Summary!$B$55*V99</f>
        <v/>
      </c>
      <c r="P99">
        <f>IF(B120=0,0,O99/B120)</f>
        <v/>
      </c>
      <c r="Q99" t="n">
        <v>0</v>
      </c>
      <c r="R99" t="n">
        <v>0</v>
      </c>
      <c r="S99" t="n">
        <v>0</v>
      </c>
      <c r="T99" t="n">
        <v>0</v>
      </c>
      <c r="V99" t="n">
        <v>0</v>
      </c>
    </row>
    <row r="100">
      <c r="A100">
        <f>Skills!A22</f>
        <v/>
      </c>
      <c r="B100">
        <f>Skills!B22</f>
        <v/>
      </c>
      <c r="C100">
        <f>Inputs!$B$3&gt;=38</f>
        <v/>
      </c>
      <c r="D100">
        <f>IF(Skills!C22=1,60+Inputs!$B$25+Inputs!$B$29,IF(Skills!C22=2,90+Inputs!$B$26+Inputs!$B$29,IF(Skills!C22=3,120+Inputs!$B$27+Inputs!$B$29,MAX(0,(Inputs!$B$3-100)*3)+Inputs!$B$28+Inputs!$B$29)))</f>
        <v/>
      </c>
      <c r="E100">
        <f>INDEX(FactorTable!$B$2:$Y$301, MATCH(ROUND(MIN(300,MAX(1,D100)),0), FactorTable!$A$2:$A$301,0), Skills!M22+1)</f>
        <v/>
      </c>
      <c r="F100">
        <f>IF(Skills!N22=TRUE,(Skills!L22/10)*(E100/1000),Skills!L22/10)+Skills!O22</f>
        <v/>
      </c>
      <c r="G100">
        <f>Skills!G22*IF(Skills!H22&gt;0,Skills!I22/Skills!H22,1)</f>
        <v/>
      </c>
      <c r="H100">
        <f>1-(1-Skills!J22/100)^Skills!K22</f>
        <v/>
      </c>
      <c r="I100" t="inlineStr">
        <is>
          <t>1</t>
        </is>
      </c>
      <c r="J100" t="inlineStr"/>
      <c r="K100" t="inlineStr"/>
      <c r="L100" t="inlineStr"/>
      <c r="M100" t="inlineStr"/>
      <c r="N100" t="inlineStr"/>
      <c r="O100">
        <f>(1-Summary!$B$55)*T100+Summary!$B$55*V100</f>
        <v/>
      </c>
      <c r="P100">
        <f>IF(B120=0,0,O100/B120)</f>
        <v/>
      </c>
      <c r="Q100" t="n">
        <v>0</v>
      </c>
      <c r="R100" t="n">
        <v>0</v>
      </c>
      <c r="S100" t="n">
        <v>0</v>
      </c>
      <c r="T100" t="n">
        <v>0</v>
      </c>
      <c r="V100" t="n">
        <v>0</v>
      </c>
    </row>
    <row r="101">
      <c r="A101">
        <f>Skills!A23</f>
        <v/>
      </c>
      <c r="B101">
        <f>Skills!B23</f>
        <v/>
      </c>
      <c r="C101">
        <f>Inputs!$B$3&gt;=43</f>
        <v/>
      </c>
      <c r="D101">
        <f>IF(Skills!C23=1,60+Inputs!$B$25+Inputs!$B$29,IF(Skills!C23=2,90+Inputs!$B$26+Inputs!$B$29,IF(Skills!C23=3,120+Inputs!$B$27+Inputs!$B$29,MAX(0,(Inputs!$B$3-100)*3)+Inputs!$B$28+Inputs!$B$29)))</f>
        <v/>
      </c>
      <c r="E101">
        <f>INDEX(FactorTable!$B$2:$Y$301, MATCH(ROUND(MIN(300,MAX(1,D101)),0), FactorTable!$A$2:$A$301,0), Skills!M23+1)</f>
        <v/>
      </c>
      <c r="F101">
        <f>IF(Skills!N23=TRUE,(Skills!L23/10)*(E101/1000),Skills!L23/10)+Skills!O23</f>
        <v/>
      </c>
      <c r="G101">
        <f>Skills!G23*IF(Skills!H23&gt;0,Skills!I23/Skills!H23,1)</f>
        <v/>
      </c>
      <c r="H101">
        <f>1-(1-Skills!J23/100)^Skills!K23</f>
        <v/>
      </c>
      <c r="I101" t="inlineStr">
        <is>
          <t>1</t>
        </is>
      </c>
      <c r="J101" t="inlineStr"/>
      <c r="K101" t="inlineStr"/>
      <c r="L101" t="inlineStr"/>
      <c r="M101" t="inlineStr"/>
      <c r="N101" t="inlineStr"/>
      <c r="O101">
        <f>(1-Summary!$B$55)*T101+Summary!$B$55*V101</f>
        <v/>
      </c>
      <c r="P101">
        <f>IF(B120=0,0,O101/B120)</f>
        <v/>
      </c>
      <c r="Q101" t="n">
        <v>0</v>
      </c>
      <c r="R101" t="n">
        <v>0</v>
      </c>
      <c r="S101" t="n">
        <v>0</v>
      </c>
      <c r="T101" t="n">
        <v>0</v>
      </c>
      <c r="V101" t="n">
        <v>0</v>
      </c>
    </row>
    <row r="102">
      <c r="A102">
        <f>Skills!A24</f>
        <v/>
      </c>
      <c r="B102">
        <f>Skills!B24</f>
        <v/>
      </c>
      <c r="C102">
        <f>Inputs!$B$3&gt;=75</f>
        <v/>
      </c>
      <c r="D102">
        <f>IF(Skills!C24=1,60+Inputs!$B$25+Inputs!$B$29,IF(Skills!C24=2,90+Inputs!$B$26+Inputs!$B$29,IF(Skills!C24=3,120+Inputs!$B$27+Inputs!$B$29,MAX(0,(Inputs!$B$3-100)*3)+Inputs!$B$28+Inputs!$B$29)))</f>
        <v/>
      </c>
      <c r="E102">
        <f>INDEX(FactorTable!$B$2:$Y$301, MATCH(ROUND(MIN(300,MAX(1,D102)),0), FactorTable!$A$2:$A$301,0), Skills!M24+1)</f>
        <v/>
      </c>
      <c r="F102">
        <f>IF(Skills!N24=TRUE,(Skills!L24/10)*(E102/1000),Skills!L24/10)+Skills!O24</f>
        <v/>
      </c>
      <c r="G102">
        <f>Skills!G24*IF(Skills!H24&gt;0,Skills!I24/Skills!H24,1)</f>
        <v/>
      </c>
      <c r="H102">
        <f>1-(1-Skills!J24/100)^Skills!K24</f>
        <v/>
      </c>
      <c r="I102" t="inlineStr">
        <is>
          <t>1</t>
        </is>
      </c>
      <c r="J102" t="inlineStr"/>
      <c r="K102" t="inlineStr"/>
      <c r="L102" t="inlineStr"/>
      <c r="M102" t="inlineStr"/>
      <c r="N102" t="inlineStr"/>
      <c r="O102">
        <f>(1-Summary!$B$55)*T102+Summary!$B$55*V102</f>
        <v/>
      </c>
      <c r="P102">
        <f>IF(B120=0,0,O102/B120)</f>
        <v/>
      </c>
      <c r="Q102" t="n">
        <v>0</v>
      </c>
      <c r="R102" t="n">
        <v>0</v>
      </c>
      <c r="S102" t="n">
        <v>0</v>
      </c>
      <c r="T102" t="n">
        <v>0</v>
      </c>
      <c r="V102" t="n">
        <v>0</v>
      </c>
    </row>
    <row r="103">
      <c r="A103">
        <f>Skills!A25</f>
        <v/>
      </c>
      <c r="B103">
        <f>Skills!B25</f>
        <v/>
      </c>
      <c r="C103">
        <f>Inputs!$B$3&gt;=125</f>
        <v/>
      </c>
      <c r="D103">
        <f>IF(Skills!C25=1,60+Inputs!$B$25+Inputs!$B$29,IF(Skills!C25=2,90+Inputs!$B$26+Inputs!$B$29,IF(Skills!C25=3,120+Inputs!$B$27+Inputs!$B$29,MAX(0,(Inputs!$B$3-100)*3)+Inputs!$B$28+Inputs!$B$29)))</f>
        <v/>
      </c>
      <c r="E103">
        <f>INDEX(FactorTable!$B$2:$Y$301, MATCH(ROUND(MIN(300,MAX(1,D103)),0), FactorTable!$A$2:$A$301,0), Skills!M25+1)</f>
        <v/>
      </c>
      <c r="F103">
        <f>IF(Skills!N25=TRUE,(Skills!L25/10)*(E103/1000),Skills!L25/10)+Skills!O25</f>
        <v/>
      </c>
      <c r="G103">
        <f>Skills!G25*IF(Skills!H25&gt;0,Skills!I25/Skills!H25,1)</f>
        <v/>
      </c>
      <c r="H103">
        <f>1-(1-Skills!J25/100)^Skills!K25</f>
        <v/>
      </c>
      <c r="I103" t="inlineStr">
        <is>
          <t>1</t>
        </is>
      </c>
      <c r="J103" t="inlineStr"/>
      <c r="K103" t="inlineStr"/>
      <c r="L103" t="inlineStr"/>
      <c r="M103" t="inlineStr"/>
      <c r="N103" t="inlineStr"/>
      <c r="O103">
        <f>(1-Summary!$B$55)*T103+Summary!$B$55*V103</f>
        <v/>
      </c>
      <c r="P103">
        <f>IF(B120=0,0,O103/B120)</f>
        <v/>
      </c>
      <c r="Q103" t="n">
        <v>0</v>
      </c>
      <c r="R103" t="n">
        <v>0</v>
      </c>
      <c r="S103" t="n">
        <v>0</v>
      </c>
      <c r="T103" t="n">
        <v>0</v>
      </c>
      <c r="V103" t="n">
        <v>0</v>
      </c>
    </row>
    <row r="104">
      <c r="A104">
        <f>Skills!A26</f>
        <v/>
      </c>
      <c r="B104">
        <f>Skills!B26</f>
        <v/>
      </c>
      <c r="C104">
        <f>Inputs!$B$3&gt;=125</f>
        <v/>
      </c>
      <c r="D104">
        <f>IF(Skills!C26=1,60+Inputs!$B$25+Inputs!$B$29,IF(Skills!C26=2,90+Inputs!$B$26+Inputs!$B$29,IF(Skills!C26=3,120+Inputs!$B$27+Inputs!$B$29,MAX(0,(Inputs!$B$3-100)*3)+Inputs!$B$28+Inputs!$B$29)))</f>
        <v/>
      </c>
      <c r="E104">
        <f>INDEX(FactorTable!$B$2:$Y$301, MATCH(ROUND(MIN(300,MAX(1,D104)),0), FactorTable!$A$2:$A$301,0), Skills!M26+1)</f>
        <v/>
      </c>
      <c r="F104">
        <f>IF(Skills!N26=TRUE,(Skills!L26/10)*(E104/1000),Skills!L26/10)+Skills!O26</f>
        <v/>
      </c>
      <c r="G104">
        <f>Skills!G26*IF(Skills!H26&gt;0,Skills!I26/Skills!H26,1)</f>
        <v/>
      </c>
      <c r="H104">
        <f>1-(1-Skills!J26/100)^Skills!K26</f>
        <v/>
      </c>
      <c r="I104" t="inlineStr">
        <is>
          <t>1</t>
        </is>
      </c>
      <c r="J104" t="inlineStr"/>
      <c r="K104" t="inlineStr"/>
      <c r="L104" t="inlineStr"/>
      <c r="M104" t="inlineStr"/>
      <c r="N104" t="inlineStr"/>
      <c r="O104">
        <f>(1-Summary!$B$55)*T104+Summary!$B$55*V104</f>
        <v/>
      </c>
      <c r="P104">
        <f>IF(B120=0,0,O104/B120)</f>
        <v/>
      </c>
      <c r="Q104" t="n">
        <v>0</v>
      </c>
      <c r="R104" t="n">
        <v>0</v>
      </c>
      <c r="S104" t="n">
        <v>0</v>
      </c>
      <c r="T104" t="n">
        <v>0</v>
      </c>
      <c r="V104" t="n">
        <v>0</v>
      </c>
    </row>
    <row r="105">
      <c r="A105">
        <f>Skills!A27</f>
        <v/>
      </c>
      <c r="B105">
        <f>Skills!B27</f>
        <v/>
      </c>
      <c r="C105">
        <f>Inputs!$B$3&gt;=120</f>
        <v/>
      </c>
      <c r="D105">
        <f>IF(Skills!C27=1,60+Inputs!$B$25+Inputs!$B$29,IF(Skills!C27=2,90+Inputs!$B$26+Inputs!$B$29,IF(Skills!C27=3,120+Inputs!$B$27+Inputs!$B$29,MAX(0,(Inputs!$B$3-100)*3)+Inputs!$B$28+Inputs!$B$29)))</f>
        <v/>
      </c>
      <c r="E105">
        <f>INDEX(FactorTable!$B$2:$Y$301, MATCH(ROUND(MIN(300,MAX(1,D105)),0), FactorTable!$A$2:$A$301,0), Skills!M27+1)</f>
        <v/>
      </c>
      <c r="F105">
        <f>IF(Skills!N27=TRUE,(Skills!L27/10)*(E105/1000),Skills!L27/10)+Skills!O27</f>
        <v/>
      </c>
      <c r="G105">
        <f>Skills!G27*IF(Skills!H27&gt;0,Skills!I27/Skills!H27,1)</f>
        <v/>
      </c>
      <c r="H105">
        <f>1-(1-Skills!J27/100)^Skills!K27</f>
        <v/>
      </c>
      <c r="I105" t="inlineStr">
        <is>
          <t>1</t>
        </is>
      </c>
      <c r="J105" t="inlineStr"/>
      <c r="K105" t="inlineStr"/>
      <c r="L105" t="inlineStr"/>
      <c r="M105" t="inlineStr"/>
      <c r="N105" t="inlineStr"/>
      <c r="O105">
        <f>(1-Summary!$B$55)*T105+Summary!$B$55*V105</f>
        <v/>
      </c>
      <c r="P105">
        <f>IF(B120=0,0,O105/B120)</f>
        <v/>
      </c>
      <c r="Q105" t="n">
        <v>0</v>
      </c>
      <c r="R105" t="n">
        <v>0</v>
      </c>
      <c r="S105" t="n">
        <v>0</v>
      </c>
      <c r="T105" t="n">
        <v>0</v>
      </c>
      <c r="V105" t="n">
        <v>0</v>
      </c>
    </row>
    <row r="106">
      <c r="A106">
        <f>Skills!A28</f>
        <v/>
      </c>
      <c r="B106">
        <f>Skills!B28</f>
        <v/>
      </c>
      <c r="C106">
        <f>Inputs!$B$3&gt;=120</f>
        <v/>
      </c>
      <c r="D106">
        <f>IF(Skills!C28=1,60+Inputs!$B$25+Inputs!$B$29,IF(Skills!C28=2,90+Inputs!$B$26+Inputs!$B$29,IF(Skills!C28=3,120+Inputs!$B$27+Inputs!$B$29,MAX(0,(Inputs!$B$3-100)*3)+Inputs!$B$28+Inputs!$B$29)))</f>
        <v/>
      </c>
      <c r="E106">
        <f>INDEX(FactorTable!$B$2:$Y$301, MATCH(ROUND(MIN(300,MAX(1,D106)),0), FactorTable!$A$2:$A$301,0), Skills!M28+1)</f>
        <v/>
      </c>
      <c r="F106">
        <f>IF(Skills!N28=TRUE,(Skills!L28/10)*(E106/1000),Skills!L28/10)+Skills!O28</f>
        <v/>
      </c>
      <c r="G106">
        <f>Skills!G28*IF(Skills!H28&gt;0,Skills!I28/Skills!H28,1)</f>
        <v/>
      </c>
      <c r="H106">
        <f>1-(1-Skills!J28/100)^Skills!K28</f>
        <v/>
      </c>
      <c r="I106" t="inlineStr">
        <is>
          <t>1</t>
        </is>
      </c>
      <c r="J106" t="inlineStr"/>
      <c r="K106" t="inlineStr"/>
      <c r="L106" t="inlineStr"/>
      <c r="M106" t="inlineStr"/>
      <c r="N106" t="inlineStr"/>
      <c r="O106">
        <f>(1-Summary!$B$55)*T106+Summary!$B$55*V106</f>
        <v/>
      </c>
      <c r="P106">
        <f>IF(B120=0,0,O106/B120)</f>
        <v/>
      </c>
      <c r="Q106" t="n">
        <v>0</v>
      </c>
      <c r="R106" t="n">
        <v>0</v>
      </c>
      <c r="S106" t="n">
        <v>0</v>
      </c>
      <c r="T106" t="n">
        <v>0</v>
      </c>
      <c r="V106" t="n">
        <v>0</v>
      </c>
    </row>
    <row r="107">
      <c r="A107">
        <f>Skills!A29</f>
        <v/>
      </c>
      <c r="B107">
        <f>Skills!B29</f>
        <v/>
      </c>
      <c r="C107">
        <f>Inputs!$B$3&gt;=45</f>
        <v/>
      </c>
      <c r="D107">
        <f>IF(Skills!C29=1,60+Inputs!$B$25+Inputs!$B$29,IF(Skills!C29=2,90+Inputs!$B$26+Inputs!$B$29,IF(Skills!C29=3,120+Inputs!$B$27+Inputs!$B$29,MAX(0,(Inputs!$B$3-100)*3)+Inputs!$B$28+Inputs!$B$29)))</f>
        <v/>
      </c>
      <c r="E107">
        <f>INDEX(FactorTable!$B$2:$Y$301, MATCH(ROUND(MIN(300,MAX(1,D107)),0), FactorTable!$A$2:$A$301,0), Skills!M29+1)</f>
        <v/>
      </c>
      <c r="F107">
        <f>IF(Skills!N29=TRUE,(Skills!L29/10)*(E107/1000),Skills!L29/10)+Skills!O29</f>
        <v/>
      </c>
      <c r="G107">
        <f>Skills!G29*IF(Skills!H29&gt;0,Skills!I29/Skills!H29,1)</f>
        <v/>
      </c>
      <c r="H107">
        <f>1-(1-Skills!J29/100)^Skills!K29</f>
        <v/>
      </c>
      <c r="I107" t="inlineStr">
        <is>
          <t>1</t>
        </is>
      </c>
      <c r="J107" t="inlineStr"/>
      <c r="K107" t="inlineStr"/>
      <c r="L107" t="inlineStr"/>
      <c r="M107" t="inlineStr"/>
      <c r="N107" t="inlineStr"/>
      <c r="O107">
        <f>(1-Summary!$B$55)*T107+Summary!$B$55*V107</f>
        <v/>
      </c>
      <c r="P107">
        <f>IF(B120=0,0,O107/B120)</f>
        <v/>
      </c>
      <c r="Q107" t="n">
        <v>0</v>
      </c>
      <c r="R107" t="n">
        <v>0</v>
      </c>
      <c r="S107" t="n">
        <v>0</v>
      </c>
      <c r="T107" t="n">
        <v>0</v>
      </c>
      <c r="V107" t="n">
        <v>0</v>
      </c>
    </row>
    <row r="109">
      <c r="A109" t="inlineStr">
        <is>
          <t>Attack% Bucket Multiplier</t>
        </is>
      </c>
      <c r="B109">
        <f>(1+(((C91=TRUE)*F91)+((C92=TRUE)*IF(Inputs!$B$38="pvp",F92,(1-Summary!$B$55)*(F92)+Summary!$B$55*(0)))+((C93=TRUE)*F93*IF(AND(Inputs!$B$38&lt;&gt;"pvp",Inputs!$B$43&gt;0),(((R93-1)*(Skills!T15*(1+Inputs!$B$34/100))+MIN((Skills!T15*(1+Inputs!$B$34/100)),MAX(0,Inputs!$B$43-((R93-1)*Skills!D15))))/Inputs!$B$43),IF(Inputs!$B$38="pvp",MIN((Skills!T15*(1+Inputs!$B$34/100)),15)/15,(Skills!T15*(1+Inputs!$B$34/100))/Skills!D15)))+((C90=TRUE)*F90)+((C107=TRUE)*(F107-Calc!F29)))/100)</f>
        <v/>
      </c>
    </row>
    <row r="110">
      <c r="A110" t="inlineStr">
        <is>
          <t>Global Crit Rate Bonus %</t>
        </is>
      </c>
      <c r="B110">
        <f>(C94=TRUE)*20*IF(AND(Inputs!$B$38&lt;&gt;"pvp",Inputs!$B$43&gt;0),(((R94-1)*(Skills!T16*(1+Inputs!$B$34/100))+MIN((Skills!T16*(1+Inputs!$B$34/100)),MAX(0,Inputs!$B$43-((R94-1)*Skills!D16))))/Inputs!$B$43),IF(Inputs!$B$38="pvp",MIN((Skills!T16*(1+Inputs!$B$34/100)),15)/15,(Skills!T16*(1+Inputs!$B$34/100))/Skills!D16))</f>
        <v/>
      </c>
    </row>
    <row r="111">
      <c r="A111" t="inlineStr">
        <is>
          <t>Attack Speed Buff Bonus %</t>
        </is>
      </c>
      <c r="B111">
        <f>((C96=TRUE)*F96*IF(AND(Inputs!$B$38&lt;&gt;"pvp",Inputs!$B$43&gt;0),(((R96-1)*(Skills!T18*(1+Inputs!$B$34/100))+MIN((Skills!T18*(1+Inputs!$B$34/100)),MAX(0,Inputs!$B$43-((R96-1)*Skills!D18))))/Inputs!$B$43),IF(Inputs!$B$38="pvp",MIN((Skills!T18*(1+Inputs!$B$34/100)),15)/15,(Skills!T18*(1+Inputs!$B$34/100))/Skills!D18)))</f>
        <v/>
      </c>
    </row>
    <row r="112">
      <c r="A112" t="inlineStr">
        <is>
          <t>Actions Per Second</t>
        </is>
      </c>
      <c r="B112">
        <f>1+MIN(150,150*(1-(1-(Inputs!$B$11+((C98=TRUE)*(F98-Calc!F20))+((C99=TRUE)*(F99-Calc!F21)))/150)*(1-B111/150)))/100</f>
        <v/>
      </c>
    </row>
    <row r="113">
      <c r="A113" t="inlineStr">
        <is>
          <t>Skill + Buff Cast Rate</t>
        </is>
      </c>
      <c r="B113">
        <f>IF(AND(Inputs!$B$38&lt;&gt;"pvp",Inputs!$B$43&gt;0),SUMPRODUCT((Skills!E2:E29=TRUE)*(C80:C107=TRUE)*R80:R107*Skills!F2:F29)/Inputs!$B$43,SUMPRODUCT((Skills!E2:E29=TRUE)*(C80:C107=TRUE)*Q80:Q107*Skills!F2:F29))</f>
        <v/>
      </c>
    </row>
    <row r="114">
      <c r="A114" t="inlineStr">
        <is>
          <t>Empowered Piercing Arrow Casts Per Second</t>
        </is>
      </c>
      <c r="B114">
        <f>MAX(0,B112-B113)</f>
        <v/>
      </c>
    </row>
    <row r="115">
      <c r="A115" t="inlineStr">
        <is>
          <t>Global Critical Damage Bonus % (Sharp Eyes)</t>
        </is>
      </c>
      <c r="B115">
        <f>(C94=TRUE)*F94*IF(AND(Inputs!$B$38&lt;&gt;"pvp",Inputs!$B$43&gt;0),(((R94-1)*(Skills!T16*(1+Inputs!$B$34/100))+MIN((Skills!T16*(1+Inputs!$B$34/100)),MAX(0,Inputs!$B$43-((R94-1)*Skills!D16))))/Inputs!$B$43),IF(Inputs!$B$38="pvp",MIN((Skills!T16*(1+Inputs!$B$34/100)),15)/15,(Skills!T16*(1+Inputs!$B$34/100))/Skills!D16))</f>
        <v/>
      </c>
    </row>
    <row r="116">
      <c r="A116" t="inlineStr">
        <is>
          <t>Global Final Damage Bonus % (Mortal Blow + Last Man Standing conditional half)</t>
        </is>
      </c>
      <c r="B116">
        <f>(C95=TRUE)*F95+((C104=TRUE)*IF(Inputs!$B$38="pvp",F104,(1-Summary!$B$55)*(F104)+Summary!$B$55*(0)))</f>
        <v/>
      </c>
    </row>
    <row r="117">
      <c r="A117" t="inlineStr">
        <is>
          <t>Buff-Casting Startup Delay (s, fixed-duration only)</t>
        </is>
      </c>
      <c r="B117">
        <f>IF(AND(Inputs!$B$38&lt;&gt;"pvp",Inputs!$B$43&gt;0),SUMPRODUCT((Skills!T2:T29&gt;0)*(Skills!E2:E29=TRUE)*(C80:C107=TRUE))/B112,0)</f>
        <v/>
      </c>
    </row>
    <row r="118">
      <c r="A118" t="inlineStr">
        <is>
          <t>Boss-Only Total DPS (this block's swept value)</t>
        </is>
      </c>
      <c r="B118">
        <f>SUM(T80:T107)</f>
        <v/>
      </c>
    </row>
    <row r="119">
      <c r="A119" t="inlineStr">
        <is>
          <t>Normal-Only Total DPS (this block's swept value)</t>
        </is>
      </c>
      <c r="B119">
        <f>SUM(V80:V107)</f>
        <v/>
      </c>
    </row>
    <row r="120">
      <c r="A120" s="5" t="inlineStr">
        <is>
          <t>TOTAL DPS</t>
        </is>
      </c>
      <c r="B120" s="5">
        <f>SUM(O80:O107)</f>
        <v/>
      </c>
    </row>
    <row r="123">
      <c r="A123" s="5" t="inlineStr">
        <is>
          <t>Stat: STR</t>
        </is>
      </c>
    </row>
    <row r="124">
      <c r="A124" s="9" t="inlineStr">
        <is>
          <t>Key</t>
        </is>
      </c>
      <c r="B124" s="9" t="inlineStr">
        <is>
          <t>Name</t>
        </is>
      </c>
      <c r="C124" s="9" t="inlineStr">
        <is>
          <t>Unlocked</t>
        </is>
      </c>
      <c r="D124" s="9" t="inlineStr">
        <is>
          <t>InputLevel</t>
        </is>
      </c>
      <c r="E124" s="9" t="inlineStr">
        <is>
          <t>Factor</t>
        </is>
      </c>
      <c r="F124" s="9" t="inlineStr">
        <is>
          <t>CoefficientPercent</t>
        </is>
      </c>
      <c r="G124" s="9" t="inlineStr">
        <is>
          <t>EffectiveHits</t>
        </is>
      </c>
      <c r="H124" s="9" t="inlineStr">
        <is>
          <t>ProcProbability</t>
        </is>
      </c>
      <c r="I124" s="9" t="inlineStr">
        <is>
          <t>MapleHeroMultiplier</t>
        </is>
      </c>
      <c r="J124" s="9" t="inlineStr">
        <is>
          <t>BaseDamage</t>
        </is>
      </c>
      <c r="K124" s="9" t="inlineStr">
        <is>
          <t>BaseHitDamage</t>
        </is>
      </c>
      <c r="L124" s="9" t="inlineStr">
        <is>
          <t>NonCritAvg</t>
        </is>
      </c>
      <c r="M124" s="9" t="inlineStr">
        <is>
          <t>CritAvg</t>
        </is>
      </c>
      <c r="N124" s="9" t="inlineStr">
        <is>
          <t>ExpectedDamage(perHit)</t>
        </is>
      </c>
      <c r="O124" s="9" t="inlineStr">
        <is>
          <t>DPS</t>
        </is>
      </c>
      <c r="P124" s="9" t="inlineStr">
        <is>
          <t>% of Total</t>
        </is>
      </c>
      <c r="Q124" s="9" t="inlineStr">
        <is>
          <t>InvCooldown</t>
        </is>
      </c>
      <c r="R124" s="9" t="inlineStr">
        <is>
          <t>CastsInFight</t>
        </is>
      </c>
      <c r="S124" s="9" t="inlineStr">
        <is>
          <t>HitRate(perSec)</t>
        </is>
      </c>
      <c r="U124" t="inlineStr">
        <is>
          <t>helpers</t>
        </is>
      </c>
    </row>
    <row r="125">
      <c r="A125">
        <f>Skills!A2</f>
        <v/>
      </c>
      <c r="B125">
        <f>Skills!B2</f>
        <v/>
      </c>
      <c r="C125">
        <f>Inputs!$B$3&gt;=100</f>
        <v/>
      </c>
      <c r="D125" t="inlineStr"/>
      <c r="E125" t="inlineStr"/>
      <c r="F125">
        <f>U127+Skills!O2</f>
        <v/>
      </c>
      <c r="G125">
        <f>Skills!G2*IF(Skills!H2&gt;0,Skills!I2/Skills!H2,1)</f>
        <v/>
      </c>
      <c r="H125">
        <f>1-(1-Skills!J2/100)^Skills!K2</f>
        <v/>
      </c>
      <c r="I125" t="inlineStr">
        <is>
          <t>1</t>
        </is>
      </c>
      <c r="J125">
        <f>((Inputs!$B$6*(1+Inputs!$B$7/100))+(((Inputs!$B$12*(1+Inputs!$B$13/100))-(Inputs!$B$12*(1+Inputs!$B$13/100)))+0.25*((Inputs!$B$14+1)-Inputs!$B$14))*(1+Inputs!$B$7/100))*(F125/100)</f>
        <v/>
      </c>
      <c r="K125">
        <f>J125*(1+((Inputs!$B$12*(1+Inputs!$B$13/100))*0.01+(Inputs!$B$14+1)*0.0025)/100)*(1+Inputs!$B$15/100)*(1+Inputs!$B$16/100)*(5000/(6000+Inputs!$B$42*(1-(Inputs!$B$19+0)/100)))*(1+(Inputs!$B$24+((C147=TRUE)*(F147-Calc!F24))+((C148=TRUE)*(F148-Calc!F25))+B161)/100)*(1+(IF(Skills!A2="EMPOWERED_PIERCING_ARROW",Inputs!$B$17+((C145=TRUE)*(F145-Calc!F22)),Inputs!$B$18+((C150=TRUE)*(F150-Calc!F27))))/100)*((1+(((C136=TRUE)*F136)+((C137=TRUE)*IF(Inputs!$B$38="pvp",F137,(1-Summary!$B$55)*(F137)+Summary!$B$55*(0)))+((C138=TRUE)*F138*IF(AND(Inputs!$B$38&lt;&gt;"pvp",Inputs!$B$43&gt;0),(((R138-1)*(Skills!T15*(1+Inputs!$B$34/100))+MIN((Skills!T15*(1+Inputs!$B$34/100)),MAX(0,Inputs!$B$43-((R138-1)*Skills!D15))))/Inputs!$B$43),IF(Inputs!$B$38="pvp",MIN((Skills!T15*(1+Inputs!$B$34/100)),15)/15,(Skills!T15*(1+Inputs!$B$34/100))/Skills!D15)))+((C135=TRUE)*F135)+((C152=TRUE)*(F152-Calc!F29)))/100)*I125)</f>
        <v/>
      </c>
      <c r="L125">
        <f>K125*(MIN(Inputs!$B$22+((C146=TRUE)*(F146-Calc!F23)),Inputs!$B$23+((C151=TRUE)*(F151-Calc!F28)))/100+(Inputs!$B$23+((C151=TRUE)*(F151-Calc!F28)))/100)/2</f>
        <v/>
      </c>
      <c r="M125">
        <f>L125*(1+(Inputs!$B$10+0+B160)/100)</f>
        <v/>
      </c>
      <c r="N125">
        <f>L125*(1-MIN((Inputs!$B$9+((C142=TRUE)*(F142-Calc!F19))+B155),100)/100)+M125*(MIN((Inputs!$B$9+((C142=TRUE)*(F142-Calc!F19))+B155),100)/100)</f>
        <v/>
      </c>
      <c r="O125">
        <f>(1-Summary!$B$55)*T125+Summary!$B$55*V125</f>
        <v/>
      </c>
      <c r="P125">
        <f>IF(B165=0,0,O125/B165)</f>
        <v/>
      </c>
      <c r="Q125" t="n">
        <v>0</v>
      </c>
      <c r="R125" t="n">
        <v>0</v>
      </c>
      <c r="S125">
        <f>IFERROR((Skills!G2*N125*B159)/N125*IF(Inputs!$B$38="pvp",1,(1-Summary!$B$55)*1+Summary!$B$55*(MIN((6+Inputs!$B$33),Inputs!$B$37))),0)</f>
        <v/>
      </c>
      <c r="T125">
        <f>IF(C125,(Skills!G2*N125*B159)*IF(Inputs!$B$38="pvp",1,1+(Inputs!$B$20+0+Skills!P2)/100),0)</f>
        <v/>
      </c>
      <c r="U125">
        <f>MAX(0,(Inputs!$B$3-100)*3)+Inputs!$B$28+Inputs!$B$29</f>
        <v/>
      </c>
      <c r="V125">
        <f>IF(C125,(Skills!G2*N125*B159)*IF(Inputs!$B$38="pvp",1,(1+(Inputs!$B$21+Skills!Q2)/100)*(MIN((6+Inputs!$B$33),Inputs!$B$37))),0)</f>
        <v/>
      </c>
    </row>
    <row r="126">
      <c r="A126">
        <f>Skills!A3</f>
        <v/>
      </c>
      <c r="B126">
        <f>Skills!B3</f>
        <v/>
      </c>
      <c r="C126">
        <f>Inputs!$B$3&gt;=50</f>
        <v/>
      </c>
      <c r="D126">
        <f>IF(Skills!C3=1,60+Inputs!$B$25+Inputs!$B$29,IF(Skills!C3=2,90+Inputs!$B$26+Inputs!$B$29,IF(Skills!C3=3,120+Inputs!$B$27+Inputs!$B$29,MAX(0,(Inputs!$B$3-100)*3)+Inputs!$B$28+Inputs!$B$29)))</f>
        <v/>
      </c>
      <c r="E126">
        <f>INDEX(FactorTable!$B$2:$Y$301, MATCH(ROUND(MIN(300,MAX(1,D126)),0), FactorTable!$A$2:$A$301,0), Skills!M3+1)</f>
        <v/>
      </c>
      <c r="F126">
        <f>IF(Skills!N3=TRUE,(Skills!L3/10)*(E126/1000),Skills!L3/10)+Skills!O3</f>
        <v/>
      </c>
      <c r="G126" t="inlineStr"/>
      <c r="H126" t="inlineStr"/>
      <c r="I126" t="inlineStr">
        <is>
          <t>1</t>
        </is>
      </c>
      <c r="J126" t="inlineStr"/>
      <c r="K126" t="inlineStr"/>
      <c r="L126" t="inlineStr"/>
      <c r="M126" t="inlineStr"/>
      <c r="N126" t="inlineStr"/>
      <c r="O126" t="inlineStr"/>
      <c r="P126" t="inlineStr"/>
      <c r="Q126" t="inlineStr"/>
      <c r="R126" t="inlineStr"/>
      <c r="S126" t="inlineStr"/>
      <c r="T126" t="inlineStr"/>
      <c r="U126">
        <f>INDEX(FactorTable!$B$2:$Y$301, MATCH(ROUND(MIN(300,MAX(1,U125)),0), FactorTable!$A$2:$A$301,0), 22)</f>
        <v/>
      </c>
      <c r="V126" t="inlineStr"/>
    </row>
    <row r="127">
      <c r="A127">
        <f>Skills!A4</f>
        <v/>
      </c>
      <c r="B127">
        <f>Skills!B4</f>
        <v/>
      </c>
      <c r="C127">
        <f>Inputs!$B$3&gt;=105</f>
        <v/>
      </c>
      <c r="D127">
        <f>IF(Skills!C4=1,60+Inputs!$B$25+Inputs!$B$29,IF(Skills!C4=2,90+Inputs!$B$26+Inputs!$B$29,IF(Skills!C4=3,120+Inputs!$B$27+Inputs!$B$29,MAX(0,(Inputs!$B$3-100)*3)+Inputs!$B$28+Inputs!$B$29)))</f>
        <v/>
      </c>
      <c r="E127">
        <f>INDEX(FactorTable!$B$2:$Y$301, MATCH(ROUND(MIN(300,MAX(1,D127)),0), FactorTable!$A$2:$A$301,0), Skills!M4+1)</f>
        <v/>
      </c>
      <c r="F127">
        <f>IF(Skills!N4=TRUE,(Skills!L4/10)*(E127/1000),Skills!L4/10)+Skills!O4</f>
        <v/>
      </c>
      <c r="G127" t="inlineStr"/>
      <c r="H127" t="inlineStr"/>
      <c r="I127" t="inlineStr">
        <is>
          <t>1</t>
        </is>
      </c>
      <c r="J127" t="inlineStr"/>
      <c r="K127" t="inlineStr"/>
      <c r="L127" t="inlineStr"/>
      <c r="M127" t="inlineStr"/>
      <c r="N127" t="inlineStr"/>
      <c r="O127" t="inlineStr"/>
      <c r="P127" t="inlineStr"/>
      <c r="Q127" t="inlineStr"/>
      <c r="R127" t="inlineStr"/>
      <c r="S127" t="inlineStr"/>
      <c r="T127" t="inlineStr"/>
      <c r="U127">
        <f>290*U126/1000</f>
        <v/>
      </c>
      <c r="V127" t="inlineStr"/>
    </row>
    <row r="128">
      <c r="A128">
        <f>Skills!A5</f>
        <v/>
      </c>
      <c r="B128">
        <f>Skills!B5</f>
        <v/>
      </c>
      <c r="C128">
        <f>Inputs!$B$3&gt;=35</f>
        <v/>
      </c>
      <c r="D128">
        <f>IF(Skills!C5=1,60+Inputs!$B$25+Inputs!$B$29,IF(Skills!C5=2,90+Inputs!$B$26+Inputs!$B$29,IF(Skills!C5=3,120+Inputs!$B$27+Inputs!$B$29,MAX(0,(Inputs!$B$3-100)*3)+Inputs!$B$28+Inputs!$B$29)))</f>
        <v/>
      </c>
      <c r="E128">
        <f>INDEX(FactorTable!$B$2:$Y$301, MATCH(ROUND(MIN(300,MAX(1,D128)),0), FactorTable!$A$2:$A$301,0), Skills!M5+1)</f>
        <v/>
      </c>
      <c r="F128">
        <f>IF(Skills!N5=TRUE,(Skills!L5/10)*(E128/1000),Skills!L5/10)+Skills!O5</f>
        <v/>
      </c>
      <c r="G128">
        <f>Skills!G5*IF(Skills!H5&gt;0,Skills!I5/Skills!H5,1)</f>
        <v/>
      </c>
      <c r="H128">
        <f>1-(1-Skills!J5/100)^Skills!K5</f>
        <v/>
      </c>
      <c r="I128" t="inlineStr">
        <is>
          <t>1</t>
        </is>
      </c>
      <c r="J128">
        <f>((Inputs!$B$6*(1+Inputs!$B$7/100))+(((Inputs!$B$12*(1+Inputs!$B$13/100))-(Inputs!$B$12*(1+Inputs!$B$13/100)))+0.25*((Inputs!$B$14+1)-Inputs!$B$14))*(1+Inputs!$B$7/100))*(F128/100)</f>
        <v/>
      </c>
      <c r="K128">
        <f>J128*(1+((Inputs!$B$12*(1+Inputs!$B$13/100))*0.01+(Inputs!$B$14+1)*0.0025)/100)*(1+Inputs!$B$15/100)*(1+Inputs!$B$16/100)*(5000/(6000+Inputs!$B$42*(1-(Inputs!$B$19+0)/100)))*(1+(Inputs!$B$24+((C147=TRUE)*(F147-Calc!F24))+((C148=TRUE)*(F148-Calc!F25))+B161)/100)*(1+4.0*IF(C131=TRUE,F131,0)/100)*(1+(IF(Skills!A5="EMPOWERED_PIERCING_ARROW",Inputs!$B$17+((C145=TRUE)*(F145-Calc!F22)),Inputs!$B$18+((C150=TRUE)*(F150-Calc!F27))))/100)*((1+(((C136=TRUE)*F136)+((C137=TRUE)*IF(Inputs!$B$38="pvp",F137,(1-Summary!$B$55)*(F137)+Summary!$B$55*(0)))+((C138=TRUE)*F138*IF(AND(Inputs!$B$38&lt;&gt;"pvp",Inputs!$B$43&gt;0),(((R138-1)*(Skills!T15*(1+Inputs!$B$34/100))+MIN((Skills!T15*(1+Inputs!$B$34/100)),MAX(0,Inputs!$B$43-((R138-1)*Skills!D15))))/Inputs!$B$43),IF(Inputs!$B$38="pvp",MIN((Skills!T15*(1+Inputs!$B$34/100)),15)/15,(Skills!T15*(1+Inputs!$B$34/100))/Skills!D15)))+((C135=TRUE)*F135)+((C152=TRUE)*(F152-Calc!F29)))/100)*I128)</f>
        <v/>
      </c>
      <c r="L128">
        <f>K128*(MIN(Inputs!$B$22+((C146=TRUE)*(F146-Calc!F23)),Inputs!$B$23+((C151=TRUE)*(F151-Calc!F28)))/100+(Inputs!$B$23+((C151=TRUE)*(F151-Calc!F28)))/100)/2</f>
        <v/>
      </c>
      <c r="M128">
        <f>L128*(1+(Inputs!$B$10+0+B160)/100)</f>
        <v/>
      </c>
      <c r="N128">
        <f>L128*(1-MIN((Inputs!$B$9+((C142=TRUE)*(F142-Calc!F19))+B155),100)/100)+M128*(MIN((Inputs!$B$9+((C142=TRUE)*(F142-Calc!F19))+B155),100)/100)</f>
        <v/>
      </c>
      <c r="O128">
        <f>(1-Summary!$B$55)*T128+Summary!$B$55*V128</f>
        <v/>
      </c>
      <c r="P128">
        <f>IF(B165=0,0,O128/B165)</f>
        <v/>
      </c>
      <c r="Q128">
        <f>IFERROR(1/IF(Inputs!$B$38="pvp",15,MAX(0.1,Skills!D5-IF(Skills!E5=TRUE,Inputs!$B$32,0))),0)</f>
        <v/>
      </c>
      <c r="R128">
        <f>IF(AND(Inputs!$B$38&lt;&gt;"pvp",Inputs!$B$43&gt;0),IF(MAX(0,Inputs!$B$43-B162)&lt;=0,0,(INT(MAX(0,Inputs!$B$43-B162)/IF(Inputs!$B$38="pvp",15,MAX(0.1,Skills!D5-IF(Skills!E5=TRUE,Inputs!$B$32,0))))+1)),0)</f>
        <v/>
      </c>
      <c r="S128">
        <f>IFERROR((H128*N128*IF(AND(Inputs!$B$38&lt;&gt;"pvp",Inputs!$B$43&gt;0),((Skills!G5*((R128-1)*IF(Skills!H5&gt;0,Skills!I5/Skills!H5,1)+IF(Skills!H5&gt;0,MIN(Skills!I5,MAX(0,MAX(0,Inputs!$B$43-B162)-((R128-1)*IF(Inputs!$B$38="pvp",15,MAX(0.1,Skills!D5-IF(Skills!E5=TRUE,Inputs!$B$32,0))))))/Skills!H5,1)))/Inputs!$B$43),G128*Q128))/N128*IF(Inputs!$B$38="pvp",1,(1-Summary!$B$55)*1+Summary!$B$55*(MIN(Skills!R5,Inputs!$B$37))),0)</f>
        <v/>
      </c>
      <c r="T128">
        <f>IF(C128,(H128*N128*IF(AND(Inputs!$B$38&lt;&gt;"pvp",Inputs!$B$43&gt;0),((Skills!G5*((R128-1)*IF(Skills!H5&gt;0,Skills!I5/Skills!H5,1)+IF(Skills!H5&gt;0,MIN(Skills!I5,MAX(0,MAX(0,Inputs!$B$43-B162)-((R128-1)*IF(Inputs!$B$38="pvp",15,MAX(0.1,Skills!D5-IF(Skills!E5=TRUE,Inputs!$B$32,0))))))/Skills!H5,1)))/Inputs!$B$43),G128*Q128))*IF(Inputs!$B$38="pvp",1,1+(Inputs!$B$20+0+Skills!P5)/100),0)</f>
        <v/>
      </c>
      <c r="V128">
        <f>IF(C128,(H128*N128*IF(AND(Inputs!$B$38&lt;&gt;"pvp",Inputs!$B$43&gt;0),((Skills!G5*((R128-1)*IF(Skills!H5&gt;0,Skills!I5/Skills!H5,1)+IF(Skills!H5&gt;0,MIN(Skills!I5,MAX(0,MAX(0,Inputs!$B$43-B162)-((R128-1)*IF(Inputs!$B$38="pvp",15,MAX(0.1,Skills!D5-IF(Skills!E5=TRUE,Inputs!$B$32,0))))))/Skills!H5,1)))/Inputs!$B$43),G128*Q128))*IF(Inputs!$B$38="pvp",1,(1+(Inputs!$B$21+Skills!Q5)/100)*(MIN(Skills!R5,Inputs!$B$37))),0)</f>
        <v/>
      </c>
    </row>
    <row r="129">
      <c r="A129">
        <f>Skills!A6</f>
        <v/>
      </c>
      <c r="B129">
        <f>Skills!B6</f>
        <v/>
      </c>
      <c r="C129">
        <f>Inputs!$B$3&gt;=63</f>
        <v/>
      </c>
      <c r="D129">
        <f>IF(Skills!C6=1,60+Inputs!$B$25+Inputs!$B$29,IF(Skills!C6=2,90+Inputs!$B$26+Inputs!$B$29,IF(Skills!C6=3,120+Inputs!$B$27+Inputs!$B$29,MAX(0,(Inputs!$B$3-100)*3)+Inputs!$B$28+Inputs!$B$29)))</f>
        <v/>
      </c>
      <c r="E129">
        <f>INDEX(FactorTable!$B$2:$Y$301, MATCH(ROUND(MIN(300,MAX(1,D129)),0), FactorTable!$A$2:$A$301,0), Skills!M6+1)</f>
        <v/>
      </c>
      <c r="F129">
        <f>IF(Skills!N6=TRUE,(Skills!L6/10)*(E129/1000),Skills!L6/10)+Skills!O6</f>
        <v/>
      </c>
      <c r="G129">
        <f>Skills!G6*IF(Skills!H6&gt;0,Skills!I6/Skills!H6,1)</f>
        <v/>
      </c>
      <c r="H129">
        <f>1-(1-Skills!J6/100)^Skills!K6</f>
        <v/>
      </c>
      <c r="I129" t="inlineStr">
        <is>
          <t>1</t>
        </is>
      </c>
      <c r="J129">
        <f>((Inputs!$B$6*(1+Inputs!$B$7/100))+(((Inputs!$B$12*(1+Inputs!$B$13/100))-(Inputs!$B$12*(1+Inputs!$B$13/100)))+0.25*((Inputs!$B$14+1)-Inputs!$B$14))*(1+Inputs!$B$7/100))*(F129/100)</f>
        <v/>
      </c>
      <c r="K129">
        <f>J129*(1+((Inputs!$B$12*(1+Inputs!$B$13/100))*0.01+(Inputs!$B$14+1)*0.0025)/100)*(1+Inputs!$B$15/100)*(1+Inputs!$B$16/100)*(5000/(6000+Inputs!$B$42*(1-(Inputs!$B$19+0)/100)))*(1+(Inputs!$B$24+((C147=TRUE)*(F147-Calc!F24))+((C148=TRUE)*(F148-Calc!F25))+B161)/100)*(1+1.0*IF(C131=TRUE,F131,0)/100)*(1+(IF(Skills!A6="EMPOWERED_PIERCING_ARROW",Inputs!$B$17+((C145=TRUE)*(F145-Calc!F22)),Inputs!$B$18+((C150=TRUE)*(F150-Calc!F27))))/100)*((1+(((C136=TRUE)*F136)+((C137=TRUE)*IF(Inputs!$B$38="pvp",F137,(1-Summary!$B$55)*(F137)+Summary!$B$55*(0)))+((C138=TRUE)*F138*IF(AND(Inputs!$B$38&lt;&gt;"pvp",Inputs!$B$43&gt;0),(((R138-1)*(Skills!T15*(1+Inputs!$B$34/100))+MIN((Skills!T15*(1+Inputs!$B$34/100)),MAX(0,Inputs!$B$43-((R138-1)*Skills!D15))))/Inputs!$B$43),IF(Inputs!$B$38="pvp",MIN((Skills!T15*(1+Inputs!$B$34/100)),15)/15,(Skills!T15*(1+Inputs!$B$34/100))/Skills!D15)))+((C135=TRUE)*F135)+((C152=TRUE)*(F152-Calc!F29)))/100)*I129)</f>
        <v/>
      </c>
      <c r="L129">
        <f>K129*(MIN(Inputs!$B$22+((C146=TRUE)*(F146-Calc!F23)),Inputs!$B$23+((C151=TRUE)*(F151-Calc!F28)))/100+(Inputs!$B$23+((C151=TRUE)*(F151-Calc!F28)))/100)/2</f>
        <v/>
      </c>
      <c r="M129">
        <f>L129*(1+(Inputs!$B$10+0+B160)/100)</f>
        <v/>
      </c>
      <c r="N129">
        <f>L129*(1-MIN((Inputs!$B$9+((C142=TRUE)*(F142-Calc!F19))+B155),100)/100)+M129*(MIN((Inputs!$B$9+((C142=TRUE)*(F142-Calc!F19))+B155),100)/100)</f>
        <v/>
      </c>
      <c r="O129">
        <f>(1-Summary!$B$55)*T129+Summary!$B$55*V129</f>
        <v/>
      </c>
      <c r="P129">
        <f>IF(B165=0,0,O129/B165)</f>
        <v/>
      </c>
      <c r="Q129">
        <f>IFERROR(1/IF(Inputs!$B$38="pvp",15,MAX(0.1,Skills!D6-IF(Skills!E6=TRUE,Inputs!$B$32,0))),0)</f>
        <v/>
      </c>
      <c r="R129">
        <f>IF(AND(Inputs!$B$38&lt;&gt;"pvp",Inputs!$B$43&gt;0),IF(MAX(0,Inputs!$B$43-B162)&lt;=0,0,(INT(MAX(0,Inputs!$B$43-B162)/IF(Inputs!$B$38="pvp",15,MAX(0.1,Skills!D6-IF(Skills!E6=TRUE,Inputs!$B$32,0))))+1)),0)</f>
        <v/>
      </c>
      <c r="S129">
        <f>IFERROR((H129*N129*IF(AND(Inputs!$B$38&lt;&gt;"pvp",Inputs!$B$43&gt;0),((Skills!G6*((R129-1)*IF(Skills!H6&gt;0,Skills!I6/Skills!H6,1)+IF(Skills!H6&gt;0,MIN(Skills!I6,MAX(0,MAX(0,Inputs!$B$43-B162)-((R129-1)*IF(Inputs!$B$38="pvp",15,MAX(0.1,Skills!D6-IF(Skills!E6=TRUE,Inputs!$B$32,0))))))/Skills!H6,1)))/Inputs!$B$43),G129*Q129))/N129*IF(Inputs!$B$38="pvp",1,(1-Summary!$B$55)*1+Summary!$B$55*(MIN(Skills!R6,Inputs!$B$37))),0)</f>
        <v/>
      </c>
      <c r="T129">
        <f>IF(C129,(H129*N129*IF(AND(Inputs!$B$38&lt;&gt;"pvp",Inputs!$B$43&gt;0),((Skills!G6*((R129-1)*IF(Skills!H6&gt;0,Skills!I6/Skills!H6,1)+IF(Skills!H6&gt;0,MIN(Skills!I6,MAX(0,MAX(0,Inputs!$B$43-B162)-((R129-1)*IF(Inputs!$B$38="pvp",15,MAX(0.1,Skills!D6-IF(Skills!E6=TRUE,Inputs!$B$32,0))))))/Skills!H6,1)))/Inputs!$B$43),G129*Q129))*IF(Inputs!$B$38="pvp",1,1+(Inputs!$B$20+0+Skills!P6)/100),0)</f>
        <v/>
      </c>
      <c r="V129">
        <f>IF(C129,(H129*N129*IF(AND(Inputs!$B$38&lt;&gt;"pvp",Inputs!$B$43&gt;0),((Skills!G6*((R129-1)*IF(Skills!H6&gt;0,Skills!I6/Skills!H6,1)+IF(Skills!H6&gt;0,MIN(Skills!I6,MAX(0,MAX(0,Inputs!$B$43-B162)-((R129-1)*IF(Inputs!$B$38="pvp",15,MAX(0.1,Skills!D6-IF(Skills!E6=TRUE,Inputs!$B$32,0))))))/Skills!H6,1)))/Inputs!$B$43),G129*Q129))*IF(Inputs!$B$38="pvp",1,(1+(Inputs!$B$21+Skills!Q6)/100)*(MIN(Skills!R6,Inputs!$B$37))),0)</f>
        <v/>
      </c>
    </row>
    <row r="130">
      <c r="A130">
        <f>Skills!A7</f>
        <v/>
      </c>
      <c r="B130">
        <f>Skills!B7</f>
        <v/>
      </c>
      <c r="C130">
        <f>Inputs!$B$3&gt;=69</f>
        <v/>
      </c>
      <c r="D130">
        <f>IF(Skills!C7=1,60+Inputs!$B$25+Inputs!$B$29,IF(Skills!C7=2,90+Inputs!$B$26+Inputs!$B$29,IF(Skills!C7=3,120+Inputs!$B$27+Inputs!$B$29,MAX(0,(Inputs!$B$3-100)*3)+Inputs!$B$28+Inputs!$B$29)))</f>
        <v/>
      </c>
      <c r="E130">
        <f>INDEX(FactorTable!$B$2:$Y$301, MATCH(ROUND(MIN(300,MAX(1,D130)),0), FactorTable!$A$2:$A$301,0), Skills!M7+1)</f>
        <v/>
      </c>
      <c r="F130">
        <f>IF(Skills!N7=TRUE,(Skills!L7/10)*(E130/1000),Skills!L7/10)+Skills!O7</f>
        <v/>
      </c>
      <c r="G130">
        <f>Skills!G7*IF(Skills!H7&gt;0,Skills!I7/Skills!H7,1)</f>
        <v/>
      </c>
      <c r="H130">
        <f>1-(1-Skills!J7/100)^Skills!K7</f>
        <v/>
      </c>
      <c r="I130" t="inlineStr">
        <is>
          <t>1</t>
        </is>
      </c>
      <c r="J130">
        <f>((Inputs!$B$6*(1+Inputs!$B$7/100))+(((Inputs!$B$12*(1+Inputs!$B$13/100))-(Inputs!$B$12*(1+Inputs!$B$13/100)))+0.25*((Inputs!$B$14+1)-Inputs!$B$14))*(1+Inputs!$B$7/100))*(F130/100)</f>
        <v/>
      </c>
      <c r="K130">
        <f>J130*(1+((Inputs!$B$12*(1+Inputs!$B$13/100))*0.01+(Inputs!$B$14+1)*0.0025)/100)*(1+Inputs!$B$15/100)*(1+Inputs!$B$16/100)*(5000/(6000+Inputs!$B$42*(1-(Inputs!$B$19+0)/100)))*(1+(Inputs!$B$24+((C147=TRUE)*(F147-Calc!F24))+((C148=TRUE)*(F148-Calc!F25))+B161)/100)*(1+1.2*IF(C131=TRUE,F131,0)/100)*(1+(IF(Skills!A7="EMPOWERED_PIERCING_ARROW",Inputs!$B$17+((C145=TRUE)*(F145-Calc!F22)),Inputs!$B$18+((C150=TRUE)*(F150-Calc!F27))))/100)*((1+(((C136=TRUE)*F136)+((C137=TRUE)*IF(Inputs!$B$38="pvp",F137,(1-Summary!$B$55)*(F137)+Summary!$B$55*(0)))+((C138=TRUE)*F138*IF(AND(Inputs!$B$38&lt;&gt;"pvp",Inputs!$B$43&gt;0),(((R138-1)*(Skills!T15*(1+Inputs!$B$34/100))+MIN((Skills!T15*(1+Inputs!$B$34/100)),MAX(0,Inputs!$B$43-((R138-1)*Skills!D15))))/Inputs!$B$43),IF(Inputs!$B$38="pvp",MIN((Skills!T15*(1+Inputs!$B$34/100)),15)/15,(Skills!T15*(1+Inputs!$B$34/100))/Skills!D15)))+((C135=TRUE)*F135)+((C152=TRUE)*(F152-Calc!F29)))/100)*I130)</f>
        <v/>
      </c>
      <c r="L130">
        <f>K130*(MIN(Inputs!$B$22+((C146=TRUE)*(F146-Calc!F23)),Inputs!$B$23+((C151=TRUE)*(F151-Calc!F28)))/100+(Inputs!$B$23+((C151=TRUE)*(F151-Calc!F28)))/100)/2</f>
        <v/>
      </c>
      <c r="M130">
        <f>L130*(1+(Inputs!$B$10+0+B160)/100)</f>
        <v/>
      </c>
      <c r="N130">
        <f>L130*(1-MIN((Inputs!$B$9+((C142=TRUE)*(F142-Calc!F19))+B155),100)/100)+M130*(MIN((Inputs!$B$9+((C142=TRUE)*(F142-Calc!F19))+B155),100)/100)</f>
        <v/>
      </c>
      <c r="O130">
        <f>(1-Summary!$B$55)*T130+Summary!$B$55*V130</f>
        <v/>
      </c>
      <c r="P130">
        <f>IF(B165=0,0,O130/B165)</f>
        <v/>
      </c>
      <c r="Q130">
        <f>IFERROR(1/IF(Inputs!$B$38="pvp",15,MAX(0.1,Skills!D7-IF(Skills!E7=TRUE,Inputs!$B$32,0))),0)</f>
        <v/>
      </c>
      <c r="R130">
        <f>IF(AND(Inputs!$B$38&lt;&gt;"pvp",Inputs!$B$43&gt;0),IF(MAX(0,Inputs!$B$43-B162)&lt;=0,0,(INT(MAX(0,Inputs!$B$43-B162)/IF(Inputs!$B$38="pvp",15,MAX(0.1,Skills!D7-IF(Skills!E7=TRUE,Inputs!$B$32,0))))+1)),0)</f>
        <v/>
      </c>
      <c r="S130">
        <f>IFERROR((H130*N130*IF(AND(Inputs!$B$38&lt;&gt;"pvp",Inputs!$B$43&gt;0),((Skills!G7*((R130-1)*IF(Skills!H7&gt;0,Skills!I7/Skills!H7,1)+IF(Skills!H7&gt;0,MIN(Skills!I7,MAX(0,MAX(0,Inputs!$B$43-B162)-((R130-1)*IF(Inputs!$B$38="pvp",15,MAX(0.1,Skills!D7-IF(Skills!E7=TRUE,Inputs!$B$32,0))))))/Skills!H7,1)))/Inputs!$B$43),G130*Q130))/N130*IF(Inputs!$B$38="pvp",1,(1-Summary!$B$55)*1+Summary!$B$55*(MIN(Skills!R7,Inputs!$B$37))),0)</f>
        <v/>
      </c>
      <c r="T130">
        <f>IF(C130,(H130*N130*IF(AND(Inputs!$B$38&lt;&gt;"pvp",Inputs!$B$43&gt;0),((Skills!G7*((R130-1)*IF(Skills!H7&gt;0,Skills!I7/Skills!H7,1)+IF(Skills!H7&gt;0,MIN(Skills!I7,MAX(0,MAX(0,Inputs!$B$43-B162)-((R130-1)*IF(Inputs!$B$38="pvp",15,MAX(0.1,Skills!D7-IF(Skills!E7=TRUE,Inputs!$B$32,0))))))/Skills!H7,1)))/Inputs!$B$43),G130*Q130))*IF(Inputs!$B$38="pvp",1,1+(Inputs!$B$20+0+Skills!P7)/100),0)</f>
        <v/>
      </c>
      <c r="V130">
        <f>IF(C130,(H130*N130*IF(AND(Inputs!$B$38&lt;&gt;"pvp",Inputs!$B$43&gt;0),((Skills!G7*((R130-1)*IF(Skills!H7&gt;0,Skills!I7/Skills!H7,1)+IF(Skills!H7&gt;0,MIN(Skills!I7,MAX(0,MAX(0,Inputs!$B$43-B162)-((R130-1)*IF(Inputs!$B$38="pvp",15,MAX(0.1,Skills!D7-IF(Skills!E7=TRUE,Inputs!$B$32,0))))))/Skills!H7,1)))/Inputs!$B$43),G130*Q130))*IF(Inputs!$B$38="pvp",1,(1+(Inputs!$B$21+Skills!Q7)/100)*(MIN(Skills!R7,Inputs!$B$37))),0)</f>
        <v/>
      </c>
    </row>
    <row r="131">
      <c r="A131">
        <f>Skills!A8</f>
        <v/>
      </c>
      <c r="B131">
        <f>Skills!B8</f>
        <v/>
      </c>
      <c r="C131">
        <f>Inputs!$B$3&gt;=100</f>
        <v/>
      </c>
      <c r="D131">
        <f>IF(Skills!C8=1,60+Inputs!$B$25+Inputs!$B$29,IF(Skills!C8=2,90+Inputs!$B$26+Inputs!$B$29,IF(Skills!C8=3,120+Inputs!$B$27+Inputs!$B$29,MAX(0,(Inputs!$B$3-100)*3)+Inputs!$B$28+Inputs!$B$29)))</f>
        <v/>
      </c>
      <c r="E131">
        <f>INDEX(FactorTable!$B$2:$Y$301, MATCH(ROUND(MIN(300,MAX(1,D131)),0), FactorTable!$A$2:$A$301,0), Skills!M8+1)</f>
        <v/>
      </c>
      <c r="F131">
        <f>IF(Skills!N8=TRUE,(Skills!L8/10)*(E131/1000),Skills!L8/10)+Skills!O8</f>
        <v/>
      </c>
      <c r="G131" t="inlineStr"/>
      <c r="H131" t="inlineStr"/>
      <c r="I131" t="inlineStr">
        <is>
          <t>1</t>
        </is>
      </c>
      <c r="J131" t="inlineStr"/>
      <c r="K131" t="inlineStr"/>
      <c r="L131" t="inlineStr"/>
      <c r="M131" t="inlineStr"/>
      <c r="N131" t="inlineStr"/>
      <c r="O131" t="inlineStr"/>
      <c r="P131" t="inlineStr"/>
      <c r="Q131" t="inlineStr"/>
      <c r="R131" t="inlineStr"/>
      <c r="S131" t="inlineStr"/>
      <c r="T131" t="inlineStr"/>
      <c r="V131" t="inlineStr"/>
    </row>
    <row r="132">
      <c r="A132">
        <f>Skills!A9</f>
        <v/>
      </c>
      <c r="B132">
        <f>Skills!B9</f>
        <v/>
      </c>
      <c r="C132">
        <f>Inputs!$B$3&gt;=103</f>
        <v/>
      </c>
      <c r="D132">
        <f>IF(Skills!C9=1,60+Inputs!$B$25+Inputs!$B$29,IF(Skills!C9=2,90+Inputs!$B$26+Inputs!$B$29,IF(Skills!C9=3,120+Inputs!$B$27+Inputs!$B$29,MAX(0,(Inputs!$B$3-100)*3)+Inputs!$B$28+Inputs!$B$29)))</f>
        <v/>
      </c>
      <c r="E132">
        <f>INDEX(FactorTable!$B$2:$Y$301, MATCH(ROUND(MIN(300,MAX(1,D132)),0), FactorTable!$A$2:$A$301,0), Skills!M9+1)</f>
        <v/>
      </c>
      <c r="F132">
        <f>IF(Skills!N9=TRUE,(Skills!L9/10)*(E132/1000),Skills!L9/10)+Skills!O9</f>
        <v/>
      </c>
      <c r="G132">
        <f>Skills!G9*IF(Skills!H9&gt;0,Skills!I9/Skills!H9,1)</f>
        <v/>
      </c>
      <c r="H132">
        <f>1-(1-Skills!J9/100)^Skills!K9</f>
        <v/>
      </c>
      <c r="I132" t="inlineStr">
        <is>
          <t>1</t>
        </is>
      </c>
      <c r="J132">
        <f>((Inputs!$B$6*(1+Inputs!$B$7/100))+(((Inputs!$B$12*(1+Inputs!$B$13/100))-(Inputs!$B$12*(1+Inputs!$B$13/100)))+0.25*((Inputs!$B$14+1)-Inputs!$B$14))*(1+Inputs!$B$7/100))*(F132/100)</f>
        <v/>
      </c>
      <c r="K132">
        <f>J132*(1+((Inputs!$B$12*(1+Inputs!$B$13/100))*0.01+(Inputs!$B$14+1)*0.0025)/100)*(1+Inputs!$B$15/100)*(1+Inputs!$B$16/100)*(5000/(6000+Inputs!$B$42*(1-(Inputs!$B$19+0)/100)))*(1+(Inputs!$B$24+((C147=TRUE)*(F147-Calc!F24))+((C148=TRUE)*(F148-Calc!F25))+B161)/100)*(1+(IF(Skills!A9="EMPOWERED_PIERCING_ARROW",Inputs!$B$17+((C145=TRUE)*(F145-Calc!F22)),Inputs!$B$18+((C150=TRUE)*(F150-Calc!F27))))/100)*((1+(((C136=TRUE)*F136)+((C137=TRUE)*IF(Inputs!$B$38="pvp",F137,(1-Summary!$B$55)*(F137)+Summary!$B$55*(0)))+((C138=TRUE)*F138*IF(AND(Inputs!$B$38&lt;&gt;"pvp",Inputs!$B$43&gt;0),(((R138-1)*(Skills!T15*(1+Inputs!$B$34/100))+MIN((Skills!T15*(1+Inputs!$B$34/100)),MAX(0,Inputs!$B$43-((R138-1)*Skills!D15))))/Inputs!$B$43),IF(Inputs!$B$38="pvp",MIN((Skills!T15*(1+Inputs!$B$34/100)),15)/15,(Skills!T15*(1+Inputs!$B$34/100))/Skills!D15)))+((C135=TRUE)*F135)+((C152=TRUE)*(F152-Calc!F29)))/100)*I132)</f>
        <v/>
      </c>
      <c r="L132">
        <f>K132*(MIN(Inputs!$B$22+((C146=TRUE)*(F146-Calc!F23)),Inputs!$B$23+((C151=TRUE)*(F151-Calc!F28)))/100+(Inputs!$B$23+((C151=TRUE)*(F151-Calc!F28)))/100)/2</f>
        <v/>
      </c>
      <c r="M132">
        <f>L132*(1+(Inputs!$B$10+0+B160)/100)</f>
        <v/>
      </c>
      <c r="N132">
        <f>L132*(1-MIN((Inputs!$B$9+((C142=TRUE)*(F142-Calc!F19))+B155),100)/100)+M132*(MIN((Inputs!$B$9+((C142=TRUE)*(F142-Calc!F19))+B155),100)/100)</f>
        <v/>
      </c>
      <c r="O132">
        <f>(1-Summary!$B$55)*T132+Summary!$B$55*V132</f>
        <v/>
      </c>
      <c r="P132">
        <f>IF(B165=0,0,O132/B165)</f>
        <v/>
      </c>
      <c r="Q132">
        <f>IFERROR(1/IF(Inputs!$B$38="pvp",15,MAX(0.1,Skills!D9-IF(Skills!E9=TRUE,Inputs!$B$32,0))),0)</f>
        <v/>
      </c>
      <c r="R132">
        <f>IF(AND(Inputs!$B$38&lt;&gt;"pvp",Inputs!$B$43&gt;0),IF(MAX(0,Inputs!$B$43-B162)&lt;=0,0,(INT(MAX(0,Inputs!$B$43-B162)/IF(Inputs!$B$38="pvp",15,MAX(0.1,Skills!D9-IF(Skills!E9=TRUE,Inputs!$B$32,0))))+1)),0)</f>
        <v/>
      </c>
      <c r="S132">
        <f>IFERROR((H132*N132*IF(AND(Inputs!$B$38&lt;&gt;"pvp",Inputs!$B$43&gt;0),((Skills!G9*((R132-1)*IF(Skills!H9&gt;0,Skills!I9/Skills!H9,1)+IF(Skills!H9&gt;0,MIN(Skills!I9,MAX(0,MAX(0,Inputs!$B$43-B162)-((R132-1)*IF(Inputs!$B$38="pvp",15,MAX(0.1,Skills!D9-IF(Skills!E9=TRUE,Inputs!$B$32,0))))))/Skills!H9,1)))/Inputs!$B$43),G132*Q132))/N132*IF(Inputs!$B$38="pvp",1,(1-Summary!$B$55)*1+Summary!$B$55*(MIN(Skills!R9,Inputs!$B$37))),0)</f>
        <v/>
      </c>
      <c r="T132">
        <f>IF(C132,(H132*N132*IF(AND(Inputs!$B$38&lt;&gt;"pvp",Inputs!$B$43&gt;0),((Skills!G9*((R132-1)*IF(Skills!H9&gt;0,Skills!I9/Skills!H9,1)+IF(Skills!H9&gt;0,MIN(Skills!I9,MAX(0,MAX(0,Inputs!$B$43-B162)-((R132-1)*IF(Inputs!$B$38="pvp",15,MAX(0.1,Skills!D9-IF(Skills!E9=TRUE,Inputs!$B$32,0))))))/Skills!H9,1)))/Inputs!$B$43),G132*Q132))*IF(Inputs!$B$38="pvp",1,1+(Inputs!$B$20+0+Skills!P9)/100),0)</f>
        <v/>
      </c>
      <c r="V132">
        <f>IF(C132,(H132*N132*IF(AND(Inputs!$B$38&lt;&gt;"pvp",Inputs!$B$43&gt;0),((Skills!G9*((R132-1)*IF(Skills!H9&gt;0,Skills!I9/Skills!H9,1)+IF(Skills!H9&gt;0,MIN(Skills!I9,MAX(0,MAX(0,Inputs!$B$43-B162)-((R132-1)*IF(Inputs!$B$38="pvp",15,MAX(0.1,Skills!D9-IF(Skills!E9=TRUE,Inputs!$B$32,0))))))/Skills!H9,1)))/Inputs!$B$43),G132*Q132))*IF(Inputs!$B$38="pvp",1,(1+(Inputs!$B$21+Skills!Q9)/100)*(MIN(Skills!R9,Inputs!$B$37))),0)</f>
        <v/>
      </c>
    </row>
    <row r="133">
      <c r="A133">
        <f>Skills!A10</f>
        <v/>
      </c>
      <c r="B133">
        <f>Skills!B10</f>
        <v/>
      </c>
      <c r="C133">
        <f>Inputs!$B$3&gt;=107</f>
        <v/>
      </c>
      <c r="D133">
        <f>IF(Skills!C10=1,60+Inputs!$B$25+Inputs!$B$29,IF(Skills!C10=2,90+Inputs!$B$26+Inputs!$B$29,IF(Skills!C10=3,120+Inputs!$B$27+Inputs!$B$29,MAX(0,(Inputs!$B$3-100)*3)+Inputs!$B$28+Inputs!$B$29)))</f>
        <v/>
      </c>
      <c r="E133">
        <f>INDEX(FactorTable!$B$2:$Y$301, MATCH(ROUND(MIN(300,MAX(1,D133)),0), FactorTable!$A$2:$A$301,0), Skills!M10+1)</f>
        <v/>
      </c>
      <c r="F133">
        <f>IF(Skills!N10=TRUE,(Skills!L10/10)*(E133/1000),Skills!L10/10)+Skills!O10</f>
        <v/>
      </c>
      <c r="G133">
        <f>Skills!G10*IF(Skills!H10&gt;0,Skills!I10/Skills!H10,1)</f>
        <v/>
      </c>
      <c r="H133">
        <f>1-(1-Skills!J10/100)^Skills!K10</f>
        <v/>
      </c>
      <c r="I133" t="inlineStr">
        <is>
          <t>1</t>
        </is>
      </c>
      <c r="J133">
        <f>((Inputs!$B$6*(1+Inputs!$B$7/100))+(((Inputs!$B$12*(1+Inputs!$B$13/100))-(Inputs!$B$12*(1+Inputs!$B$13/100)))+0.25*((Inputs!$B$14+1)-Inputs!$B$14))*(1+Inputs!$B$7/100))*(F133/100)</f>
        <v/>
      </c>
      <c r="K133">
        <f>J133*(1+((Inputs!$B$12*(1+Inputs!$B$13/100))*0.01+(Inputs!$B$14+1)*0.0025)/100)*(1+Inputs!$B$15/100)*(1+Inputs!$B$16/100)*(5000/(6000+Inputs!$B$42*(1-(Inputs!$B$19+0)/100)))*(1+(Inputs!$B$24+((C147=TRUE)*(F147-Calc!F24))+((C148=TRUE)*(F148-Calc!F25))+B161)/100)*(1+(IF(Skills!A10="EMPOWERED_PIERCING_ARROW",Inputs!$B$17+((C145=TRUE)*(F145-Calc!F22)),Inputs!$B$18+((C150=TRUE)*(F150-Calc!F27))))/100)*((1+(((C136=TRUE)*F136)+((C137=TRUE)*IF(Inputs!$B$38="pvp",F137,(1-Summary!$B$55)*(F137)+Summary!$B$55*(0)))+((C138=TRUE)*F138*IF(AND(Inputs!$B$38&lt;&gt;"pvp",Inputs!$B$43&gt;0),(((R138-1)*(Skills!T15*(1+Inputs!$B$34/100))+MIN((Skills!T15*(1+Inputs!$B$34/100)),MAX(0,Inputs!$B$43-((R138-1)*Skills!D15))))/Inputs!$B$43),IF(Inputs!$B$38="pvp",MIN((Skills!T15*(1+Inputs!$B$34/100)),15)/15,(Skills!T15*(1+Inputs!$B$34/100))/Skills!D15)))+((C135=TRUE)*F135)+((C152=TRUE)*(F152-Calc!F29)))/100)*I133)</f>
        <v/>
      </c>
      <c r="L133">
        <f>K133*(MIN(Inputs!$B$22+((C146=TRUE)*(F146-Calc!F23)),Inputs!$B$23+((C151=TRUE)*(F151-Calc!F28)))/100+(Inputs!$B$23+((C151=TRUE)*(F151-Calc!F28)))/100)/2</f>
        <v/>
      </c>
      <c r="M133">
        <f>L133*(1+(Inputs!$B$10+0+B160)/100)</f>
        <v/>
      </c>
      <c r="N133">
        <f>L133*(1-MIN((Inputs!$B$9+((C142=TRUE)*(F142-Calc!F19))+B155),100)/100)+M133*(MIN((Inputs!$B$9+((C142=TRUE)*(F142-Calc!F19))+B155),100)/100)</f>
        <v/>
      </c>
      <c r="O133">
        <f>(1-Summary!$B$55)*T133+Summary!$B$55*V133</f>
        <v/>
      </c>
      <c r="P133">
        <f>IF(B165=0,0,O133/B165)</f>
        <v/>
      </c>
      <c r="Q133" t="n">
        <v>0</v>
      </c>
      <c r="R133" t="n">
        <v>0</v>
      </c>
      <c r="S133" t="n">
        <v>0</v>
      </c>
      <c r="T133">
        <f>IF(C133,(0.15*SUMPRODUCT((Skills!U2:U29=TRUE)*(C125:C152=TRUE)*S125:S152)*Skills!G10*N133)*IF(Inputs!$B$38="pvp",1,1+(Inputs!$B$20+0+Skills!P10)/100),0)</f>
        <v/>
      </c>
      <c r="V133">
        <f>IF(C133,(0.15*SUMPRODUCT((Skills!U2:U29=TRUE)*(C125:C152=TRUE)*S125:S152)*Skills!G10*N133)*IF(Inputs!$B$38="pvp",1,(1+(Inputs!$B$21+Skills!Q10)/100)*(MIN(Skills!R10,Inputs!$B$37))),0)</f>
        <v/>
      </c>
    </row>
    <row r="134">
      <c r="A134">
        <f>Skills!A11</f>
        <v/>
      </c>
      <c r="B134">
        <f>Skills!B11</f>
        <v/>
      </c>
      <c r="C134">
        <f>Inputs!$B$3&gt;=110</f>
        <v/>
      </c>
      <c r="D134">
        <f>IF(Skills!C11=1,60+Inputs!$B$25+Inputs!$B$29,IF(Skills!C11=2,90+Inputs!$B$26+Inputs!$B$29,IF(Skills!C11=3,120+Inputs!$B$27+Inputs!$B$29,MAX(0,(Inputs!$B$3-100)*3)+Inputs!$B$28+Inputs!$B$29)))</f>
        <v/>
      </c>
      <c r="E134">
        <f>INDEX(FactorTable!$B$2:$Y$301, MATCH(ROUND(MIN(300,MAX(1,D134)),0), FactorTable!$A$2:$A$301,0), Skills!M11+1)</f>
        <v/>
      </c>
      <c r="F134">
        <f>IF(Skills!N11=TRUE,(Skills!L11/10)*(E134/1000),Skills!L11/10)+Skills!O11</f>
        <v/>
      </c>
      <c r="G134">
        <f>Skills!G11*IF(Skills!H11&gt;0,Skills!I11/Skills!H11,1)</f>
        <v/>
      </c>
      <c r="H134">
        <f>1-(1-Skills!J11/100)^Skills!K11</f>
        <v/>
      </c>
      <c r="I134" t="inlineStr">
        <is>
          <t>1</t>
        </is>
      </c>
      <c r="J134">
        <f>((Inputs!$B$6*(1+Inputs!$B$7/100))+(((Inputs!$B$12*(1+Inputs!$B$13/100))-(Inputs!$B$12*(1+Inputs!$B$13/100)))+0.25*((Inputs!$B$14+1)-Inputs!$B$14))*(1+Inputs!$B$7/100))*(F134/100)</f>
        <v/>
      </c>
      <c r="K134">
        <f>J134*(1+((Inputs!$B$12*(1+Inputs!$B$13/100))*0.01+(Inputs!$B$14+1)*0.0025)/100)*(1+Inputs!$B$15/100)*(1+Inputs!$B$16/100)*(5000/(6000+Inputs!$B$42*(1-(Inputs!$B$19+0)/100)))*(1+(Inputs!$B$24+((C147=TRUE)*(F147-Calc!F24))+((C148=TRUE)*(F148-Calc!F25))+B161)/100)*(1+(IF(Skills!A11="EMPOWERED_PIERCING_ARROW",Inputs!$B$17+((C145=TRUE)*(F145-Calc!F22)),Inputs!$B$18+((C150=TRUE)*(F150-Calc!F27))))/100)*((1+(((C136=TRUE)*F136)+((C137=TRUE)*IF(Inputs!$B$38="pvp",F137,(1-Summary!$B$55)*(F137)+Summary!$B$55*(0)))+((C138=TRUE)*F138*IF(AND(Inputs!$B$38&lt;&gt;"pvp",Inputs!$B$43&gt;0),(((R138-1)*(Skills!T15*(1+Inputs!$B$34/100))+MIN((Skills!T15*(1+Inputs!$B$34/100)),MAX(0,Inputs!$B$43-((R138-1)*Skills!D15))))/Inputs!$B$43),IF(Inputs!$B$38="pvp",MIN((Skills!T15*(1+Inputs!$B$34/100)),15)/15,(Skills!T15*(1+Inputs!$B$34/100))/Skills!D15)))+((C135=TRUE)*F135)+((C152=TRUE)*(F152-Calc!F29)))/100)*I134)</f>
        <v/>
      </c>
      <c r="L134">
        <f>K134*(MIN(Inputs!$B$22+((C146=TRUE)*(F146-Calc!F23)),Inputs!$B$23+((C151=TRUE)*(F151-Calc!F28)))/100+(Inputs!$B$23+((C151=TRUE)*(F151-Calc!F28)))/100)/2</f>
        <v/>
      </c>
      <c r="M134">
        <f>L134*(1+(Inputs!$B$10+0+B160)/100)</f>
        <v/>
      </c>
      <c r="N134">
        <f>L134*(1-MIN((Inputs!$B$9+((C142=TRUE)*(F142-Calc!F19))+B155),100)/100)+M134*(MIN((Inputs!$B$9+((C142=TRUE)*(F142-Calc!F19))+B155),100)/100)</f>
        <v/>
      </c>
      <c r="O134">
        <f>(1-Summary!$B$55)*T134+Summary!$B$55*V134</f>
        <v/>
      </c>
      <c r="P134">
        <f>IF(B165=0,0,O134/B165)</f>
        <v/>
      </c>
      <c r="Q134">
        <f>IFERROR(1/IF(Inputs!$B$38="pvp",15,MAX(0.1,Skills!D11-IF(Skills!E11=TRUE,Inputs!$B$32,0))),0)</f>
        <v/>
      </c>
      <c r="R134">
        <f>IF(AND(Inputs!$B$38&lt;&gt;"pvp",Inputs!$B$43&gt;0),IF(MAX(0,Inputs!$B$43-B162)&lt;=0,0,(INT(MAX(0,Inputs!$B$43-B162)/IF(Inputs!$B$38="pvp",15,MAX(0.1,Skills!D11-IF(Skills!E11=TRUE,Inputs!$B$32,0))))+1)),0)</f>
        <v/>
      </c>
      <c r="S134">
        <f>IFERROR((H134*N134*IF(AND(Inputs!$B$38&lt;&gt;"pvp",Inputs!$B$43&gt;0),((Skills!G11*((R134-1)*IF(Skills!H11&gt;0,Skills!I11/Skills!H11,1)+IF(Skills!H11&gt;0,MIN(Skills!I11,MAX(0,MAX(0,Inputs!$B$43-B162)-((R134-1)*IF(Inputs!$B$38="pvp",15,MAX(0.1,Skills!D11-IF(Skills!E11=TRUE,Inputs!$B$32,0))))))/Skills!H11,1)))/Inputs!$B$43),G134*Q134))/N134*IF(Inputs!$B$38="pvp",1,(1-Summary!$B$55)*1+Summary!$B$55*(MIN(Skills!R11,Inputs!$B$37))),0)</f>
        <v/>
      </c>
      <c r="T134">
        <f>IF(C134,(H134*N134*IF(AND(Inputs!$B$38&lt;&gt;"pvp",Inputs!$B$43&gt;0),((Skills!G11*((R134-1)*IF(Skills!H11&gt;0,Skills!I11/Skills!H11,1)+IF(Skills!H11&gt;0,MIN(Skills!I11,MAX(0,MAX(0,Inputs!$B$43-B162)-((R134-1)*IF(Inputs!$B$38="pvp",15,MAX(0.1,Skills!D11-IF(Skills!E11=TRUE,Inputs!$B$32,0))))))/Skills!H11,1)))/Inputs!$B$43),G134*Q134))*IF(Inputs!$B$38="pvp",1,1+(Inputs!$B$20+0+Skills!P11)/100),0)</f>
        <v/>
      </c>
      <c r="V134">
        <f>IF(C134,(H134*N134*IF(AND(Inputs!$B$38&lt;&gt;"pvp",Inputs!$B$43&gt;0),((Skills!G11*((R134-1)*IF(Skills!H11&gt;0,Skills!I11/Skills!H11,1)+IF(Skills!H11&gt;0,MIN(Skills!I11,MAX(0,MAX(0,Inputs!$B$43-B162)-((R134-1)*IF(Inputs!$B$38="pvp",15,MAX(0.1,Skills!D11-IF(Skills!E11=TRUE,Inputs!$B$32,0))))))/Skills!H11,1)))/Inputs!$B$43),G134*Q134))*IF(Inputs!$B$38="pvp",1,(1+(Inputs!$B$21+Skills!Q11)/100)*(MIN(Skills!R11,Inputs!$B$37))),0)</f>
        <v/>
      </c>
    </row>
    <row r="135">
      <c r="A135">
        <f>Skills!A12</f>
        <v/>
      </c>
      <c r="B135">
        <f>Skills!B12</f>
        <v/>
      </c>
      <c r="C135">
        <f>Inputs!$B$3&gt;=60</f>
        <v/>
      </c>
      <c r="D135">
        <f>IF(Skills!C12=1,60+Inputs!$B$25+Inputs!$B$29,IF(Skills!C12=2,90+Inputs!$B$26+Inputs!$B$29,IF(Skills!C12=3,120+Inputs!$B$27+Inputs!$B$29,MAX(0,(Inputs!$B$3-100)*3)+Inputs!$B$28+Inputs!$B$29)))</f>
        <v/>
      </c>
      <c r="E135">
        <f>INDEX(FactorTable!$B$2:$Y$301, MATCH(ROUND(MIN(300,MAX(1,D135)),0), FactorTable!$A$2:$A$301,0), Skills!M12+1)</f>
        <v/>
      </c>
      <c r="F135">
        <f>IF(Skills!N12=TRUE,(Skills!L12/10)*(E135/1000),Skills!L12/10)+Skills!O12</f>
        <v/>
      </c>
      <c r="G135">
        <f>Skills!G12*IF(Skills!H12&gt;0,Skills!I12/Skills!H12,1)</f>
        <v/>
      </c>
      <c r="H135">
        <f>1-(1-Skills!J12/100)^Skills!K12</f>
        <v/>
      </c>
      <c r="I135" t="inlineStr">
        <is>
          <t>1</t>
        </is>
      </c>
      <c r="J135" t="inlineStr"/>
      <c r="K135" t="inlineStr"/>
      <c r="L135" t="inlineStr"/>
      <c r="M135" t="inlineStr"/>
      <c r="N135" t="inlineStr"/>
      <c r="O135">
        <f>(1-Summary!$B$55)*T135+Summary!$B$55*V135</f>
        <v/>
      </c>
      <c r="P135">
        <f>IF(B165=0,0,O135/B165)</f>
        <v/>
      </c>
      <c r="Q135" t="n">
        <v>0</v>
      </c>
      <c r="R135" t="n">
        <v>0</v>
      </c>
      <c r="S135" t="n">
        <v>0</v>
      </c>
      <c r="T135" t="n">
        <v>0</v>
      </c>
      <c r="V135" t="n">
        <v>0</v>
      </c>
    </row>
    <row r="136">
      <c r="A136">
        <f>Skills!A13</f>
        <v/>
      </c>
      <c r="B136">
        <f>Skills!B13</f>
        <v/>
      </c>
      <c r="C136">
        <f>Inputs!$B$3&gt;=74</f>
        <v/>
      </c>
      <c r="D136">
        <f>IF(Skills!C13=1,60+Inputs!$B$25+Inputs!$B$29,IF(Skills!C13=2,90+Inputs!$B$26+Inputs!$B$29,IF(Skills!C13=3,120+Inputs!$B$27+Inputs!$B$29,MAX(0,(Inputs!$B$3-100)*3)+Inputs!$B$28+Inputs!$B$29)))</f>
        <v/>
      </c>
      <c r="E136">
        <f>INDEX(FactorTable!$B$2:$Y$301, MATCH(ROUND(MIN(300,MAX(1,D136)),0), FactorTable!$A$2:$A$301,0), Skills!M13+1)</f>
        <v/>
      </c>
      <c r="F136">
        <f>IF(Skills!N13=TRUE,(Skills!L13/10)*(E136/1000),Skills!L13/10)+Skills!O13</f>
        <v/>
      </c>
      <c r="G136">
        <f>Skills!G13*IF(Skills!H13&gt;0,Skills!I13/Skills!H13,1)</f>
        <v/>
      </c>
      <c r="H136">
        <f>1-(1-Skills!J13/100)^Skills!K13</f>
        <v/>
      </c>
      <c r="I136" t="inlineStr">
        <is>
          <t>1</t>
        </is>
      </c>
      <c r="J136" t="inlineStr"/>
      <c r="K136" t="inlineStr"/>
      <c r="L136" t="inlineStr"/>
      <c r="M136" t="inlineStr"/>
      <c r="N136" t="inlineStr"/>
      <c r="O136">
        <f>(1-Summary!$B$55)*T136+Summary!$B$55*V136</f>
        <v/>
      </c>
      <c r="P136">
        <f>IF(B165=0,0,O136/B165)</f>
        <v/>
      </c>
      <c r="Q136" t="n">
        <v>0</v>
      </c>
      <c r="R136" t="n">
        <v>0</v>
      </c>
      <c r="S136" t="n">
        <v>0</v>
      </c>
      <c r="T136" t="n">
        <v>0</v>
      </c>
      <c r="V136" t="n">
        <v>0</v>
      </c>
    </row>
    <row r="137">
      <c r="A137">
        <f>Skills!A14</f>
        <v/>
      </c>
      <c r="B137">
        <f>Skills!B14</f>
        <v/>
      </c>
      <c r="C137">
        <f>Inputs!$B$3&gt;=74</f>
        <v/>
      </c>
      <c r="D137">
        <f>IF(Skills!C14=1,60+Inputs!$B$25+Inputs!$B$29,IF(Skills!C14=2,90+Inputs!$B$26+Inputs!$B$29,IF(Skills!C14=3,120+Inputs!$B$27+Inputs!$B$29,MAX(0,(Inputs!$B$3-100)*3)+Inputs!$B$28+Inputs!$B$29)))</f>
        <v/>
      </c>
      <c r="E137">
        <f>INDEX(FactorTable!$B$2:$Y$301, MATCH(ROUND(MIN(300,MAX(1,D137)),0), FactorTable!$A$2:$A$301,0), Skills!M14+1)</f>
        <v/>
      </c>
      <c r="F137">
        <f>IF(Skills!N14=TRUE,(Skills!L14/10)*(E137/1000),Skills!L14/10)+Skills!O14</f>
        <v/>
      </c>
      <c r="G137">
        <f>Skills!G14*IF(Skills!H14&gt;0,Skills!I14/Skills!H14,1)</f>
        <v/>
      </c>
      <c r="H137">
        <f>1-(1-Skills!J14/100)^Skills!K14</f>
        <v/>
      </c>
      <c r="I137" t="inlineStr">
        <is>
          <t>1</t>
        </is>
      </c>
      <c r="J137" t="inlineStr"/>
      <c r="K137" t="inlineStr"/>
      <c r="L137" t="inlineStr"/>
      <c r="M137" t="inlineStr"/>
      <c r="N137" t="inlineStr"/>
      <c r="O137">
        <f>(1-Summary!$B$55)*T137+Summary!$B$55*V137</f>
        <v/>
      </c>
      <c r="P137">
        <f>IF(B165=0,0,O137/B165)</f>
        <v/>
      </c>
      <c r="Q137" t="n">
        <v>0</v>
      </c>
      <c r="R137" t="n">
        <v>0</v>
      </c>
      <c r="S137" t="n">
        <v>0</v>
      </c>
      <c r="T137" t="n">
        <v>0</v>
      </c>
      <c r="V137" t="n">
        <v>0</v>
      </c>
    </row>
    <row r="138">
      <c r="A138">
        <f>Skills!A15</f>
        <v/>
      </c>
      <c r="B138">
        <f>Skills!B15</f>
        <v/>
      </c>
      <c r="C138">
        <f>Inputs!$B$3&gt;=117</f>
        <v/>
      </c>
      <c r="D138">
        <f>IF(Skills!C15=1,60+Inputs!$B$25+Inputs!$B$29,IF(Skills!C15=2,90+Inputs!$B$26+Inputs!$B$29,IF(Skills!C15=3,120+Inputs!$B$27+Inputs!$B$29,MAX(0,(Inputs!$B$3-100)*3)+Inputs!$B$28+Inputs!$B$29)))</f>
        <v/>
      </c>
      <c r="E138">
        <f>INDEX(FactorTable!$B$2:$Y$301, MATCH(ROUND(MIN(300,MAX(1,D138)),0), FactorTable!$A$2:$A$301,0), Skills!M15+1)</f>
        <v/>
      </c>
      <c r="F138">
        <f>IF(Skills!N15=TRUE,(Skills!L15/10)*(E138/1000),Skills!L15/10)+Skills!O15</f>
        <v/>
      </c>
      <c r="G138">
        <f>Skills!G15*IF(Skills!H15&gt;0,Skills!I15/Skills!H15,1)</f>
        <v/>
      </c>
      <c r="H138">
        <f>1-(1-Skills!J15/100)^Skills!K15</f>
        <v/>
      </c>
      <c r="I138" t="inlineStr">
        <is>
          <t>1</t>
        </is>
      </c>
      <c r="J138" t="inlineStr"/>
      <c r="K138" t="inlineStr"/>
      <c r="L138" t="inlineStr"/>
      <c r="M138" t="inlineStr"/>
      <c r="N138" t="inlineStr"/>
      <c r="O138">
        <f>(1-Summary!$B$55)*T138+Summary!$B$55*V138</f>
        <v/>
      </c>
      <c r="P138">
        <f>IF(B165=0,0,O138/B165)</f>
        <v/>
      </c>
      <c r="Q138">
        <f>IFERROR(1/IF(Inputs!$B$38="pvp",15,MAX(0.1,Skills!D15-IF(Skills!E15=TRUE,Inputs!$B$32,0))),0)</f>
        <v/>
      </c>
      <c r="R138">
        <f>IF(AND(Inputs!$B$38&lt;&gt;"pvp",Inputs!$B$43&gt;0),IF(Inputs!$B$43&lt;=0,0,(INT(Inputs!$B$43/IF(Inputs!$B$38="pvp",15,MAX(0.1,Skills!D15-IF(Skills!E15=TRUE,Inputs!$B$32,0))))+1)),0)</f>
        <v/>
      </c>
      <c r="S138" t="n">
        <v>0</v>
      </c>
      <c r="T138" t="n">
        <v>0</v>
      </c>
      <c r="V138" t="n">
        <v>0</v>
      </c>
    </row>
    <row r="139">
      <c r="A139">
        <f>Skills!A16</f>
        <v/>
      </c>
      <c r="B139">
        <f>Skills!B16</f>
        <v/>
      </c>
      <c r="C139">
        <f>Inputs!$B$3&gt;=115</f>
        <v/>
      </c>
      <c r="D139">
        <f>IF(Skills!C16=1,60+Inputs!$B$25+Inputs!$B$29,IF(Skills!C16=2,90+Inputs!$B$26+Inputs!$B$29,IF(Skills!C16=3,120+Inputs!$B$27+Inputs!$B$29,MAX(0,(Inputs!$B$3-100)*3)+Inputs!$B$28+Inputs!$B$29)))</f>
        <v/>
      </c>
      <c r="E139">
        <f>INDEX(FactorTable!$B$2:$Y$301, MATCH(ROUND(MIN(300,MAX(1,D139)),0), FactorTable!$A$2:$A$301,0), Skills!M16+1)</f>
        <v/>
      </c>
      <c r="F139">
        <f>IF(Skills!N16=TRUE,(Skills!L16/10)*(E139/1000),Skills!L16/10)+Skills!O16</f>
        <v/>
      </c>
      <c r="G139">
        <f>Skills!G16*IF(Skills!H16&gt;0,Skills!I16/Skills!H16,1)</f>
        <v/>
      </c>
      <c r="H139">
        <f>1-(1-Skills!J16/100)^Skills!K16</f>
        <v/>
      </c>
      <c r="I139" t="inlineStr">
        <is>
          <t>1</t>
        </is>
      </c>
      <c r="J139" t="inlineStr"/>
      <c r="K139" t="inlineStr"/>
      <c r="L139" t="inlineStr"/>
      <c r="M139" t="inlineStr"/>
      <c r="N139" t="inlineStr"/>
      <c r="O139">
        <f>(1-Summary!$B$55)*T139+Summary!$B$55*V139</f>
        <v/>
      </c>
      <c r="P139">
        <f>IF(B165=0,0,O139/B165)</f>
        <v/>
      </c>
      <c r="Q139">
        <f>IFERROR(1/IF(Inputs!$B$38="pvp",15,MAX(0.1,Skills!D16-IF(Skills!E16=TRUE,Inputs!$B$32,0))),0)</f>
        <v/>
      </c>
      <c r="R139">
        <f>IF(AND(Inputs!$B$38&lt;&gt;"pvp",Inputs!$B$43&gt;0),IF(Inputs!$B$43&lt;=0,0,(INT(Inputs!$B$43/IF(Inputs!$B$38="pvp",15,MAX(0.1,Skills!D16-IF(Skills!E16=TRUE,Inputs!$B$32,0))))+1)),0)</f>
        <v/>
      </c>
      <c r="S139" t="n">
        <v>0</v>
      </c>
      <c r="T139" t="n">
        <v>0</v>
      </c>
      <c r="V139" t="n">
        <v>0</v>
      </c>
    </row>
    <row r="140">
      <c r="A140">
        <f>Skills!A17</f>
        <v/>
      </c>
      <c r="B140">
        <f>Skills!B17</f>
        <v/>
      </c>
      <c r="C140">
        <f>Inputs!$B$3&gt;=72</f>
        <v/>
      </c>
      <c r="D140">
        <f>IF(Skills!C17=1,60+Inputs!$B$25+Inputs!$B$29,IF(Skills!C17=2,90+Inputs!$B$26+Inputs!$B$29,IF(Skills!C17=3,120+Inputs!$B$27+Inputs!$B$29,MAX(0,(Inputs!$B$3-100)*3)+Inputs!$B$28+Inputs!$B$29)))</f>
        <v/>
      </c>
      <c r="E140">
        <f>INDEX(FactorTable!$B$2:$Y$301, MATCH(ROUND(MIN(300,MAX(1,D140)),0), FactorTable!$A$2:$A$301,0), Skills!M17+1)</f>
        <v/>
      </c>
      <c r="F140">
        <f>IF(Skills!N17=TRUE,(Skills!L17/10)*(E140/1000),Skills!L17/10)+Skills!O17</f>
        <v/>
      </c>
      <c r="G140">
        <f>Skills!G17*IF(Skills!H17&gt;0,Skills!I17/Skills!H17,1)</f>
        <v/>
      </c>
      <c r="H140">
        <f>1-(1-Skills!J17/100)^Skills!K17</f>
        <v/>
      </c>
      <c r="I140" t="inlineStr">
        <is>
          <t>1</t>
        </is>
      </c>
      <c r="J140" t="inlineStr"/>
      <c r="K140" t="inlineStr"/>
      <c r="L140" t="inlineStr"/>
      <c r="M140" t="inlineStr"/>
      <c r="N140" t="inlineStr"/>
      <c r="O140">
        <f>(1-Summary!$B$55)*T140+Summary!$B$55*V140</f>
        <v/>
      </c>
      <c r="P140">
        <f>IF(B165=0,0,O140/B165)</f>
        <v/>
      </c>
      <c r="Q140" t="n">
        <v>0</v>
      </c>
      <c r="R140" t="n">
        <v>0</v>
      </c>
      <c r="S140" t="n">
        <v>0</v>
      </c>
      <c r="T140" t="n">
        <v>0</v>
      </c>
      <c r="V140" t="n">
        <v>0</v>
      </c>
    </row>
    <row r="141">
      <c r="A141">
        <f>Skills!A18</f>
        <v/>
      </c>
      <c r="B141">
        <f>Skills!B18</f>
        <v/>
      </c>
      <c r="C141">
        <f>TRUE</f>
        <v/>
      </c>
      <c r="D141">
        <f>IF(Skills!C18=1,60+Inputs!$B$25+Inputs!$B$29,IF(Skills!C18=2,90+Inputs!$B$26+Inputs!$B$29,IF(Skills!C18=3,120+Inputs!$B$27+Inputs!$B$29,MAX(0,(Inputs!$B$3-100)*3)+Inputs!$B$28+Inputs!$B$29)))</f>
        <v/>
      </c>
      <c r="E141">
        <f>INDEX(FactorTable!$B$2:$Y$301, MATCH(ROUND(MIN(300,MAX(1,D141)),0), FactorTable!$A$2:$A$301,0), Skills!M18+1)</f>
        <v/>
      </c>
      <c r="F141">
        <f>IF(Skills!N18=TRUE,(Skills!L18/10)*(E141/1000),Skills!L18/10)+Skills!O18</f>
        <v/>
      </c>
      <c r="G141">
        <f>Skills!G18*IF(Skills!H18&gt;0,Skills!I18/Skills!H18,1)</f>
        <v/>
      </c>
      <c r="H141">
        <f>1-(1-Skills!J18/100)^Skills!K18</f>
        <v/>
      </c>
      <c r="I141" t="inlineStr">
        <is>
          <t>1</t>
        </is>
      </c>
      <c r="J141" t="inlineStr"/>
      <c r="K141" t="inlineStr"/>
      <c r="L141" t="inlineStr"/>
      <c r="M141" t="inlineStr"/>
      <c r="N141" t="inlineStr"/>
      <c r="O141">
        <f>(1-Summary!$B$55)*T141+Summary!$B$55*V141</f>
        <v/>
      </c>
      <c r="P141">
        <f>IF(B165=0,0,O141/B165)</f>
        <v/>
      </c>
      <c r="Q141">
        <f>IFERROR(1/IF(Inputs!$B$38="pvp",15,MAX(0.1,Skills!D18-IF(Skills!E18=TRUE,Inputs!$B$32,0))),0)</f>
        <v/>
      </c>
      <c r="R141">
        <f>IF(AND(Inputs!$B$38&lt;&gt;"pvp",Inputs!$B$43&gt;0),IF(Inputs!$B$43&lt;=0,0,(INT(Inputs!$B$43/IF(Inputs!$B$38="pvp",15,MAX(0.1,Skills!D18-IF(Skills!E18=TRUE,Inputs!$B$32,0))))+1)),0)</f>
        <v/>
      </c>
      <c r="S141" t="n">
        <v>0</v>
      </c>
      <c r="T141" t="n">
        <v>0</v>
      </c>
      <c r="V141" t="n">
        <v>0</v>
      </c>
    </row>
    <row r="142">
      <c r="A142">
        <f>Skills!A19</f>
        <v/>
      </c>
      <c r="B142">
        <f>Skills!B19</f>
        <v/>
      </c>
      <c r="C142">
        <f>Inputs!$B$3&gt;=15</f>
        <v/>
      </c>
      <c r="D142">
        <f>IF(Skills!C19=1,60+Inputs!$B$25+Inputs!$B$29,IF(Skills!C19=2,90+Inputs!$B$26+Inputs!$B$29,IF(Skills!C19=3,120+Inputs!$B$27+Inputs!$B$29,MAX(0,(Inputs!$B$3-100)*3)+Inputs!$B$28+Inputs!$B$29)))</f>
        <v/>
      </c>
      <c r="E142">
        <f>INDEX(FactorTable!$B$2:$Y$301, MATCH(ROUND(MIN(300,MAX(1,D142)),0), FactorTable!$A$2:$A$301,0), Skills!M19+1)</f>
        <v/>
      </c>
      <c r="F142">
        <f>IF(Skills!N19=TRUE,(Skills!L19/10)*(E142/1000),Skills!L19/10)+Skills!O19</f>
        <v/>
      </c>
      <c r="G142">
        <f>Skills!G19*IF(Skills!H19&gt;0,Skills!I19/Skills!H19,1)</f>
        <v/>
      </c>
      <c r="H142">
        <f>1-(1-Skills!J19/100)^Skills!K19</f>
        <v/>
      </c>
      <c r="I142" t="inlineStr">
        <is>
          <t>1</t>
        </is>
      </c>
      <c r="J142" t="inlineStr"/>
      <c r="K142" t="inlineStr"/>
      <c r="L142" t="inlineStr"/>
      <c r="M142" t="inlineStr"/>
      <c r="N142" t="inlineStr"/>
      <c r="O142">
        <f>(1-Summary!$B$55)*T142+Summary!$B$55*V142</f>
        <v/>
      </c>
      <c r="P142">
        <f>IF(B165=0,0,O142/B165)</f>
        <v/>
      </c>
      <c r="Q142" t="n">
        <v>0</v>
      </c>
      <c r="R142" t="n">
        <v>0</v>
      </c>
      <c r="S142" t="n">
        <v>0</v>
      </c>
      <c r="T142" t="n">
        <v>0</v>
      </c>
      <c r="V142" t="n">
        <v>0</v>
      </c>
    </row>
    <row r="143">
      <c r="A143">
        <f>Skills!A20</f>
        <v/>
      </c>
      <c r="B143">
        <f>Skills!B20</f>
        <v/>
      </c>
      <c r="C143">
        <f>Inputs!$B$3&gt;=10</f>
        <v/>
      </c>
      <c r="D143">
        <f>IF(Skills!C20=1,60+Inputs!$B$25+Inputs!$B$29,IF(Skills!C20=2,90+Inputs!$B$26+Inputs!$B$29,IF(Skills!C20=3,120+Inputs!$B$27+Inputs!$B$29,MAX(0,(Inputs!$B$3-100)*3)+Inputs!$B$28+Inputs!$B$29)))</f>
        <v/>
      </c>
      <c r="E143">
        <f>INDEX(FactorTable!$B$2:$Y$301, MATCH(ROUND(MIN(300,MAX(1,D143)),0), FactorTable!$A$2:$A$301,0), Skills!M20+1)</f>
        <v/>
      </c>
      <c r="F143">
        <f>IF(Skills!N20=TRUE,(Skills!L20/10)*(E143/1000),Skills!L20/10)+Skills!O20</f>
        <v/>
      </c>
      <c r="G143">
        <f>Skills!G20*IF(Skills!H20&gt;0,Skills!I20/Skills!H20,1)</f>
        <v/>
      </c>
      <c r="H143">
        <f>1-(1-Skills!J20/100)^Skills!K20</f>
        <v/>
      </c>
      <c r="I143" t="inlineStr">
        <is>
          <t>1</t>
        </is>
      </c>
      <c r="J143" t="inlineStr"/>
      <c r="K143" t="inlineStr"/>
      <c r="L143" t="inlineStr"/>
      <c r="M143" t="inlineStr"/>
      <c r="N143" t="inlineStr"/>
      <c r="O143">
        <f>(1-Summary!$B$55)*T143+Summary!$B$55*V143</f>
        <v/>
      </c>
      <c r="P143">
        <f>IF(B165=0,0,O143/B165)</f>
        <v/>
      </c>
      <c r="Q143" t="n">
        <v>0</v>
      </c>
      <c r="R143" t="n">
        <v>0</v>
      </c>
      <c r="S143" t="n">
        <v>0</v>
      </c>
      <c r="T143" t="n">
        <v>0</v>
      </c>
      <c r="V143" t="n">
        <v>0</v>
      </c>
    </row>
    <row r="144">
      <c r="A144">
        <f>Skills!A21</f>
        <v/>
      </c>
      <c r="B144">
        <f>Skills!B21</f>
        <v/>
      </c>
      <c r="C144">
        <f>Inputs!$B$3&gt;=33</f>
        <v/>
      </c>
      <c r="D144">
        <f>IF(Skills!C21=1,60+Inputs!$B$25+Inputs!$B$29,IF(Skills!C21=2,90+Inputs!$B$26+Inputs!$B$29,IF(Skills!C21=3,120+Inputs!$B$27+Inputs!$B$29,MAX(0,(Inputs!$B$3-100)*3)+Inputs!$B$28+Inputs!$B$29)))</f>
        <v/>
      </c>
      <c r="E144">
        <f>INDEX(FactorTable!$B$2:$Y$301, MATCH(ROUND(MIN(300,MAX(1,D144)),0), FactorTable!$A$2:$A$301,0), Skills!M21+1)</f>
        <v/>
      </c>
      <c r="F144">
        <f>IF(Skills!N21=TRUE,(Skills!L21/10)*(E144/1000),Skills!L21/10)+Skills!O21</f>
        <v/>
      </c>
      <c r="G144">
        <f>Skills!G21*IF(Skills!H21&gt;0,Skills!I21/Skills!H21,1)</f>
        <v/>
      </c>
      <c r="H144">
        <f>1-(1-Skills!J21/100)^Skills!K21</f>
        <v/>
      </c>
      <c r="I144" t="inlineStr">
        <is>
          <t>1</t>
        </is>
      </c>
      <c r="J144" t="inlineStr"/>
      <c r="K144" t="inlineStr"/>
      <c r="L144" t="inlineStr"/>
      <c r="M144" t="inlineStr"/>
      <c r="N144" t="inlineStr"/>
      <c r="O144">
        <f>(1-Summary!$B$55)*T144+Summary!$B$55*V144</f>
        <v/>
      </c>
      <c r="P144">
        <f>IF(B165=0,0,O144/B165)</f>
        <v/>
      </c>
      <c r="Q144" t="n">
        <v>0</v>
      </c>
      <c r="R144" t="n">
        <v>0</v>
      </c>
      <c r="S144" t="n">
        <v>0</v>
      </c>
      <c r="T144" t="n">
        <v>0</v>
      </c>
      <c r="V144" t="n">
        <v>0</v>
      </c>
    </row>
    <row r="145">
      <c r="A145">
        <f>Skills!A22</f>
        <v/>
      </c>
      <c r="B145">
        <f>Skills!B22</f>
        <v/>
      </c>
      <c r="C145">
        <f>Inputs!$B$3&gt;=38</f>
        <v/>
      </c>
      <c r="D145">
        <f>IF(Skills!C22=1,60+Inputs!$B$25+Inputs!$B$29,IF(Skills!C22=2,90+Inputs!$B$26+Inputs!$B$29,IF(Skills!C22=3,120+Inputs!$B$27+Inputs!$B$29,MAX(0,(Inputs!$B$3-100)*3)+Inputs!$B$28+Inputs!$B$29)))</f>
        <v/>
      </c>
      <c r="E145">
        <f>INDEX(FactorTable!$B$2:$Y$301, MATCH(ROUND(MIN(300,MAX(1,D145)),0), FactorTable!$A$2:$A$301,0), Skills!M22+1)</f>
        <v/>
      </c>
      <c r="F145">
        <f>IF(Skills!N22=TRUE,(Skills!L22/10)*(E145/1000),Skills!L22/10)+Skills!O22</f>
        <v/>
      </c>
      <c r="G145">
        <f>Skills!G22*IF(Skills!H22&gt;0,Skills!I22/Skills!H22,1)</f>
        <v/>
      </c>
      <c r="H145">
        <f>1-(1-Skills!J22/100)^Skills!K22</f>
        <v/>
      </c>
      <c r="I145" t="inlineStr">
        <is>
          <t>1</t>
        </is>
      </c>
      <c r="J145" t="inlineStr"/>
      <c r="K145" t="inlineStr"/>
      <c r="L145" t="inlineStr"/>
      <c r="M145" t="inlineStr"/>
      <c r="N145" t="inlineStr"/>
      <c r="O145">
        <f>(1-Summary!$B$55)*T145+Summary!$B$55*V145</f>
        <v/>
      </c>
      <c r="P145">
        <f>IF(B165=0,0,O145/B165)</f>
        <v/>
      </c>
      <c r="Q145" t="n">
        <v>0</v>
      </c>
      <c r="R145" t="n">
        <v>0</v>
      </c>
      <c r="S145" t="n">
        <v>0</v>
      </c>
      <c r="T145" t="n">
        <v>0</v>
      </c>
      <c r="V145" t="n">
        <v>0</v>
      </c>
    </row>
    <row r="146">
      <c r="A146">
        <f>Skills!A23</f>
        <v/>
      </c>
      <c r="B146">
        <f>Skills!B23</f>
        <v/>
      </c>
      <c r="C146">
        <f>Inputs!$B$3&gt;=43</f>
        <v/>
      </c>
      <c r="D146">
        <f>IF(Skills!C23=1,60+Inputs!$B$25+Inputs!$B$29,IF(Skills!C23=2,90+Inputs!$B$26+Inputs!$B$29,IF(Skills!C23=3,120+Inputs!$B$27+Inputs!$B$29,MAX(0,(Inputs!$B$3-100)*3)+Inputs!$B$28+Inputs!$B$29)))</f>
        <v/>
      </c>
      <c r="E146">
        <f>INDEX(FactorTable!$B$2:$Y$301, MATCH(ROUND(MIN(300,MAX(1,D146)),0), FactorTable!$A$2:$A$301,0), Skills!M23+1)</f>
        <v/>
      </c>
      <c r="F146">
        <f>IF(Skills!N23=TRUE,(Skills!L23/10)*(E146/1000),Skills!L23/10)+Skills!O23</f>
        <v/>
      </c>
      <c r="G146">
        <f>Skills!G23*IF(Skills!H23&gt;0,Skills!I23/Skills!H23,1)</f>
        <v/>
      </c>
      <c r="H146">
        <f>1-(1-Skills!J23/100)^Skills!K23</f>
        <v/>
      </c>
      <c r="I146" t="inlineStr">
        <is>
          <t>1</t>
        </is>
      </c>
      <c r="J146" t="inlineStr"/>
      <c r="K146" t="inlineStr"/>
      <c r="L146" t="inlineStr"/>
      <c r="M146" t="inlineStr"/>
      <c r="N146" t="inlineStr"/>
      <c r="O146">
        <f>(1-Summary!$B$55)*T146+Summary!$B$55*V146</f>
        <v/>
      </c>
      <c r="P146">
        <f>IF(B165=0,0,O146/B165)</f>
        <v/>
      </c>
      <c r="Q146" t="n">
        <v>0</v>
      </c>
      <c r="R146" t="n">
        <v>0</v>
      </c>
      <c r="S146" t="n">
        <v>0</v>
      </c>
      <c r="T146" t="n">
        <v>0</v>
      </c>
      <c r="V146" t="n">
        <v>0</v>
      </c>
    </row>
    <row r="147">
      <c r="A147">
        <f>Skills!A24</f>
        <v/>
      </c>
      <c r="B147">
        <f>Skills!B24</f>
        <v/>
      </c>
      <c r="C147">
        <f>Inputs!$B$3&gt;=75</f>
        <v/>
      </c>
      <c r="D147">
        <f>IF(Skills!C24=1,60+Inputs!$B$25+Inputs!$B$29,IF(Skills!C24=2,90+Inputs!$B$26+Inputs!$B$29,IF(Skills!C24=3,120+Inputs!$B$27+Inputs!$B$29,MAX(0,(Inputs!$B$3-100)*3)+Inputs!$B$28+Inputs!$B$29)))</f>
        <v/>
      </c>
      <c r="E147">
        <f>INDEX(FactorTable!$B$2:$Y$301, MATCH(ROUND(MIN(300,MAX(1,D147)),0), FactorTable!$A$2:$A$301,0), Skills!M24+1)</f>
        <v/>
      </c>
      <c r="F147">
        <f>IF(Skills!N24=TRUE,(Skills!L24/10)*(E147/1000),Skills!L24/10)+Skills!O24</f>
        <v/>
      </c>
      <c r="G147">
        <f>Skills!G24*IF(Skills!H24&gt;0,Skills!I24/Skills!H24,1)</f>
        <v/>
      </c>
      <c r="H147">
        <f>1-(1-Skills!J24/100)^Skills!K24</f>
        <v/>
      </c>
      <c r="I147" t="inlineStr">
        <is>
          <t>1</t>
        </is>
      </c>
      <c r="J147" t="inlineStr"/>
      <c r="K147" t="inlineStr"/>
      <c r="L147" t="inlineStr"/>
      <c r="M147" t="inlineStr"/>
      <c r="N147" t="inlineStr"/>
      <c r="O147">
        <f>(1-Summary!$B$55)*T147+Summary!$B$55*V147</f>
        <v/>
      </c>
      <c r="P147">
        <f>IF(B165=0,0,O147/B165)</f>
        <v/>
      </c>
      <c r="Q147" t="n">
        <v>0</v>
      </c>
      <c r="R147" t="n">
        <v>0</v>
      </c>
      <c r="S147" t="n">
        <v>0</v>
      </c>
      <c r="T147" t="n">
        <v>0</v>
      </c>
      <c r="V147" t="n">
        <v>0</v>
      </c>
    </row>
    <row r="148">
      <c r="A148">
        <f>Skills!A25</f>
        <v/>
      </c>
      <c r="B148">
        <f>Skills!B25</f>
        <v/>
      </c>
      <c r="C148">
        <f>Inputs!$B$3&gt;=125</f>
        <v/>
      </c>
      <c r="D148">
        <f>IF(Skills!C25=1,60+Inputs!$B$25+Inputs!$B$29,IF(Skills!C25=2,90+Inputs!$B$26+Inputs!$B$29,IF(Skills!C25=3,120+Inputs!$B$27+Inputs!$B$29,MAX(0,(Inputs!$B$3-100)*3)+Inputs!$B$28+Inputs!$B$29)))</f>
        <v/>
      </c>
      <c r="E148">
        <f>INDEX(FactorTable!$B$2:$Y$301, MATCH(ROUND(MIN(300,MAX(1,D148)),0), FactorTable!$A$2:$A$301,0), Skills!M25+1)</f>
        <v/>
      </c>
      <c r="F148">
        <f>IF(Skills!N25=TRUE,(Skills!L25/10)*(E148/1000),Skills!L25/10)+Skills!O25</f>
        <v/>
      </c>
      <c r="G148">
        <f>Skills!G25*IF(Skills!H25&gt;0,Skills!I25/Skills!H25,1)</f>
        <v/>
      </c>
      <c r="H148">
        <f>1-(1-Skills!J25/100)^Skills!K25</f>
        <v/>
      </c>
      <c r="I148" t="inlineStr">
        <is>
          <t>1</t>
        </is>
      </c>
      <c r="J148" t="inlineStr"/>
      <c r="K148" t="inlineStr"/>
      <c r="L148" t="inlineStr"/>
      <c r="M148" t="inlineStr"/>
      <c r="N148" t="inlineStr"/>
      <c r="O148">
        <f>(1-Summary!$B$55)*T148+Summary!$B$55*V148</f>
        <v/>
      </c>
      <c r="P148">
        <f>IF(B165=0,0,O148/B165)</f>
        <v/>
      </c>
      <c r="Q148" t="n">
        <v>0</v>
      </c>
      <c r="R148" t="n">
        <v>0</v>
      </c>
      <c r="S148" t="n">
        <v>0</v>
      </c>
      <c r="T148" t="n">
        <v>0</v>
      </c>
      <c r="V148" t="n">
        <v>0</v>
      </c>
    </row>
    <row r="149">
      <c r="A149">
        <f>Skills!A26</f>
        <v/>
      </c>
      <c r="B149">
        <f>Skills!B26</f>
        <v/>
      </c>
      <c r="C149">
        <f>Inputs!$B$3&gt;=125</f>
        <v/>
      </c>
      <c r="D149">
        <f>IF(Skills!C26=1,60+Inputs!$B$25+Inputs!$B$29,IF(Skills!C26=2,90+Inputs!$B$26+Inputs!$B$29,IF(Skills!C26=3,120+Inputs!$B$27+Inputs!$B$29,MAX(0,(Inputs!$B$3-100)*3)+Inputs!$B$28+Inputs!$B$29)))</f>
        <v/>
      </c>
      <c r="E149">
        <f>INDEX(FactorTable!$B$2:$Y$301, MATCH(ROUND(MIN(300,MAX(1,D149)),0), FactorTable!$A$2:$A$301,0), Skills!M26+1)</f>
        <v/>
      </c>
      <c r="F149">
        <f>IF(Skills!N26=TRUE,(Skills!L26/10)*(E149/1000),Skills!L26/10)+Skills!O26</f>
        <v/>
      </c>
      <c r="G149">
        <f>Skills!G26*IF(Skills!H26&gt;0,Skills!I26/Skills!H26,1)</f>
        <v/>
      </c>
      <c r="H149">
        <f>1-(1-Skills!J26/100)^Skills!K26</f>
        <v/>
      </c>
      <c r="I149" t="inlineStr">
        <is>
          <t>1</t>
        </is>
      </c>
      <c r="J149" t="inlineStr"/>
      <c r="K149" t="inlineStr"/>
      <c r="L149" t="inlineStr"/>
      <c r="M149" t="inlineStr"/>
      <c r="N149" t="inlineStr"/>
      <c r="O149">
        <f>(1-Summary!$B$55)*T149+Summary!$B$55*V149</f>
        <v/>
      </c>
      <c r="P149">
        <f>IF(B165=0,0,O149/B165)</f>
        <v/>
      </c>
      <c r="Q149" t="n">
        <v>0</v>
      </c>
      <c r="R149" t="n">
        <v>0</v>
      </c>
      <c r="S149" t="n">
        <v>0</v>
      </c>
      <c r="T149" t="n">
        <v>0</v>
      </c>
      <c r="V149" t="n">
        <v>0</v>
      </c>
    </row>
    <row r="150">
      <c r="A150">
        <f>Skills!A27</f>
        <v/>
      </c>
      <c r="B150">
        <f>Skills!B27</f>
        <v/>
      </c>
      <c r="C150">
        <f>Inputs!$B$3&gt;=120</f>
        <v/>
      </c>
      <c r="D150">
        <f>IF(Skills!C27=1,60+Inputs!$B$25+Inputs!$B$29,IF(Skills!C27=2,90+Inputs!$B$26+Inputs!$B$29,IF(Skills!C27=3,120+Inputs!$B$27+Inputs!$B$29,MAX(0,(Inputs!$B$3-100)*3)+Inputs!$B$28+Inputs!$B$29)))</f>
        <v/>
      </c>
      <c r="E150">
        <f>INDEX(FactorTable!$B$2:$Y$301, MATCH(ROUND(MIN(300,MAX(1,D150)),0), FactorTable!$A$2:$A$301,0), Skills!M27+1)</f>
        <v/>
      </c>
      <c r="F150">
        <f>IF(Skills!N27=TRUE,(Skills!L27/10)*(E150/1000),Skills!L27/10)+Skills!O27</f>
        <v/>
      </c>
      <c r="G150">
        <f>Skills!G27*IF(Skills!H27&gt;0,Skills!I27/Skills!H27,1)</f>
        <v/>
      </c>
      <c r="H150">
        <f>1-(1-Skills!J27/100)^Skills!K27</f>
        <v/>
      </c>
      <c r="I150" t="inlineStr">
        <is>
          <t>1</t>
        </is>
      </c>
      <c r="J150" t="inlineStr"/>
      <c r="K150" t="inlineStr"/>
      <c r="L150" t="inlineStr"/>
      <c r="M150" t="inlineStr"/>
      <c r="N150" t="inlineStr"/>
      <c r="O150">
        <f>(1-Summary!$B$55)*T150+Summary!$B$55*V150</f>
        <v/>
      </c>
      <c r="P150">
        <f>IF(B165=0,0,O150/B165)</f>
        <v/>
      </c>
      <c r="Q150" t="n">
        <v>0</v>
      </c>
      <c r="R150" t="n">
        <v>0</v>
      </c>
      <c r="S150" t="n">
        <v>0</v>
      </c>
      <c r="T150" t="n">
        <v>0</v>
      </c>
      <c r="V150" t="n">
        <v>0</v>
      </c>
    </row>
    <row r="151">
      <c r="A151">
        <f>Skills!A28</f>
        <v/>
      </c>
      <c r="B151">
        <f>Skills!B28</f>
        <v/>
      </c>
      <c r="C151">
        <f>Inputs!$B$3&gt;=120</f>
        <v/>
      </c>
      <c r="D151">
        <f>IF(Skills!C28=1,60+Inputs!$B$25+Inputs!$B$29,IF(Skills!C28=2,90+Inputs!$B$26+Inputs!$B$29,IF(Skills!C28=3,120+Inputs!$B$27+Inputs!$B$29,MAX(0,(Inputs!$B$3-100)*3)+Inputs!$B$28+Inputs!$B$29)))</f>
        <v/>
      </c>
      <c r="E151">
        <f>INDEX(FactorTable!$B$2:$Y$301, MATCH(ROUND(MIN(300,MAX(1,D151)),0), FactorTable!$A$2:$A$301,0), Skills!M28+1)</f>
        <v/>
      </c>
      <c r="F151">
        <f>IF(Skills!N28=TRUE,(Skills!L28/10)*(E151/1000),Skills!L28/10)+Skills!O28</f>
        <v/>
      </c>
      <c r="G151">
        <f>Skills!G28*IF(Skills!H28&gt;0,Skills!I28/Skills!H28,1)</f>
        <v/>
      </c>
      <c r="H151">
        <f>1-(1-Skills!J28/100)^Skills!K28</f>
        <v/>
      </c>
      <c r="I151" t="inlineStr">
        <is>
          <t>1</t>
        </is>
      </c>
      <c r="J151" t="inlineStr"/>
      <c r="K151" t="inlineStr"/>
      <c r="L151" t="inlineStr"/>
      <c r="M151" t="inlineStr"/>
      <c r="N151" t="inlineStr"/>
      <c r="O151">
        <f>(1-Summary!$B$55)*T151+Summary!$B$55*V151</f>
        <v/>
      </c>
      <c r="P151">
        <f>IF(B165=0,0,O151/B165)</f>
        <v/>
      </c>
      <c r="Q151" t="n">
        <v>0</v>
      </c>
      <c r="R151" t="n">
        <v>0</v>
      </c>
      <c r="S151" t="n">
        <v>0</v>
      </c>
      <c r="T151" t="n">
        <v>0</v>
      </c>
      <c r="V151" t="n">
        <v>0</v>
      </c>
    </row>
    <row r="152">
      <c r="A152">
        <f>Skills!A29</f>
        <v/>
      </c>
      <c r="B152">
        <f>Skills!B29</f>
        <v/>
      </c>
      <c r="C152">
        <f>Inputs!$B$3&gt;=45</f>
        <v/>
      </c>
      <c r="D152">
        <f>IF(Skills!C29=1,60+Inputs!$B$25+Inputs!$B$29,IF(Skills!C29=2,90+Inputs!$B$26+Inputs!$B$29,IF(Skills!C29=3,120+Inputs!$B$27+Inputs!$B$29,MAX(0,(Inputs!$B$3-100)*3)+Inputs!$B$28+Inputs!$B$29)))</f>
        <v/>
      </c>
      <c r="E152">
        <f>INDEX(FactorTable!$B$2:$Y$301, MATCH(ROUND(MIN(300,MAX(1,D152)),0), FactorTable!$A$2:$A$301,0), Skills!M29+1)</f>
        <v/>
      </c>
      <c r="F152">
        <f>IF(Skills!N29=TRUE,(Skills!L29/10)*(E152/1000),Skills!L29/10)+Skills!O29</f>
        <v/>
      </c>
      <c r="G152">
        <f>Skills!G29*IF(Skills!H29&gt;0,Skills!I29/Skills!H29,1)</f>
        <v/>
      </c>
      <c r="H152">
        <f>1-(1-Skills!J29/100)^Skills!K29</f>
        <v/>
      </c>
      <c r="I152" t="inlineStr">
        <is>
          <t>1</t>
        </is>
      </c>
      <c r="J152" t="inlineStr"/>
      <c r="K152" t="inlineStr"/>
      <c r="L152" t="inlineStr"/>
      <c r="M152" t="inlineStr"/>
      <c r="N152" t="inlineStr"/>
      <c r="O152">
        <f>(1-Summary!$B$55)*T152+Summary!$B$55*V152</f>
        <v/>
      </c>
      <c r="P152">
        <f>IF(B165=0,0,O152/B165)</f>
        <v/>
      </c>
      <c r="Q152" t="n">
        <v>0</v>
      </c>
      <c r="R152" t="n">
        <v>0</v>
      </c>
      <c r="S152" t="n">
        <v>0</v>
      </c>
      <c r="T152" t="n">
        <v>0</v>
      </c>
      <c r="V152" t="n">
        <v>0</v>
      </c>
    </row>
    <row r="154">
      <c r="A154" t="inlineStr">
        <is>
          <t>Attack% Bucket Multiplier</t>
        </is>
      </c>
      <c r="B154">
        <f>(1+(((C136=TRUE)*F136)+((C137=TRUE)*IF(Inputs!$B$38="pvp",F137,(1-Summary!$B$55)*(F137)+Summary!$B$55*(0)))+((C138=TRUE)*F138*IF(AND(Inputs!$B$38&lt;&gt;"pvp",Inputs!$B$43&gt;0),(((R138-1)*(Skills!T15*(1+Inputs!$B$34/100))+MIN((Skills!T15*(1+Inputs!$B$34/100)),MAX(0,Inputs!$B$43-((R138-1)*Skills!D15))))/Inputs!$B$43),IF(Inputs!$B$38="pvp",MIN((Skills!T15*(1+Inputs!$B$34/100)),15)/15,(Skills!T15*(1+Inputs!$B$34/100))/Skills!D15)))+((C135=TRUE)*F135)+((C152=TRUE)*(F152-Calc!F29)))/100)</f>
        <v/>
      </c>
    </row>
    <row r="155">
      <c r="A155" t="inlineStr">
        <is>
          <t>Global Crit Rate Bonus %</t>
        </is>
      </c>
      <c r="B155">
        <f>(C139=TRUE)*20*IF(AND(Inputs!$B$38&lt;&gt;"pvp",Inputs!$B$43&gt;0),(((R139-1)*(Skills!T16*(1+Inputs!$B$34/100))+MIN((Skills!T16*(1+Inputs!$B$34/100)),MAX(0,Inputs!$B$43-((R139-1)*Skills!D16))))/Inputs!$B$43),IF(Inputs!$B$38="pvp",MIN((Skills!T16*(1+Inputs!$B$34/100)),15)/15,(Skills!T16*(1+Inputs!$B$34/100))/Skills!D16))</f>
        <v/>
      </c>
    </row>
    <row r="156">
      <c r="A156" t="inlineStr">
        <is>
          <t>Attack Speed Buff Bonus %</t>
        </is>
      </c>
      <c r="B156">
        <f>((C141=TRUE)*F141*IF(AND(Inputs!$B$38&lt;&gt;"pvp",Inputs!$B$43&gt;0),(((R141-1)*(Skills!T18*(1+Inputs!$B$34/100))+MIN((Skills!T18*(1+Inputs!$B$34/100)),MAX(0,Inputs!$B$43-((R141-1)*Skills!D18))))/Inputs!$B$43),IF(Inputs!$B$38="pvp",MIN((Skills!T18*(1+Inputs!$B$34/100)),15)/15,(Skills!T18*(1+Inputs!$B$34/100))/Skills!D18)))</f>
        <v/>
      </c>
    </row>
    <row r="157">
      <c r="A157" t="inlineStr">
        <is>
          <t>Actions Per Second</t>
        </is>
      </c>
      <c r="B157">
        <f>1+MIN(150,150*(1-(1-(Inputs!$B$11+((C143=TRUE)*(F143-Calc!F20))+((C144=TRUE)*(F144-Calc!F21)))/150)*(1-B156/150)))/100</f>
        <v/>
      </c>
    </row>
    <row r="158">
      <c r="A158" t="inlineStr">
        <is>
          <t>Skill + Buff Cast Rate</t>
        </is>
      </c>
      <c r="B158">
        <f>IF(AND(Inputs!$B$38&lt;&gt;"pvp",Inputs!$B$43&gt;0),SUMPRODUCT((Skills!E2:E29=TRUE)*(C125:C152=TRUE)*R125:R152*Skills!F2:F29)/Inputs!$B$43,SUMPRODUCT((Skills!E2:E29=TRUE)*(C125:C152=TRUE)*Q125:Q152*Skills!F2:F29))</f>
        <v/>
      </c>
    </row>
    <row r="159">
      <c r="A159" t="inlineStr">
        <is>
          <t>Empowered Piercing Arrow Casts Per Second</t>
        </is>
      </c>
      <c r="B159">
        <f>MAX(0,B157-B158)</f>
        <v/>
      </c>
    </row>
    <row r="160">
      <c r="A160" t="inlineStr">
        <is>
          <t>Global Critical Damage Bonus % (Sharp Eyes)</t>
        </is>
      </c>
      <c r="B160">
        <f>(C139=TRUE)*F139*IF(AND(Inputs!$B$38&lt;&gt;"pvp",Inputs!$B$43&gt;0),(((R139-1)*(Skills!T16*(1+Inputs!$B$34/100))+MIN((Skills!T16*(1+Inputs!$B$34/100)),MAX(0,Inputs!$B$43-((R139-1)*Skills!D16))))/Inputs!$B$43),IF(Inputs!$B$38="pvp",MIN((Skills!T16*(1+Inputs!$B$34/100)),15)/15,(Skills!T16*(1+Inputs!$B$34/100))/Skills!D16))</f>
        <v/>
      </c>
    </row>
    <row r="161">
      <c r="A161" t="inlineStr">
        <is>
          <t>Global Final Damage Bonus % (Mortal Blow + Last Man Standing conditional half)</t>
        </is>
      </c>
      <c r="B161">
        <f>(C140=TRUE)*F140+((C149=TRUE)*IF(Inputs!$B$38="pvp",F149,(1-Summary!$B$55)*(F149)+Summary!$B$55*(0)))</f>
        <v/>
      </c>
    </row>
    <row r="162">
      <c r="A162" t="inlineStr">
        <is>
          <t>Buff-Casting Startup Delay (s, fixed-duration only)</t>
        </is>
      </c>
      <c r="B162">
        <f>IF(AND(Inputs!$B$38&lt;&gt;"pvp",Inputs!$B$43&gt;0),SUMPRODUCT((Skills!T2:T29&gt;0)*(Skills!E2:E29=TRUE)*(C125:C152=TRUE))/B157,0)</f>
        <v/>
      </c>
    </row>
    <row r="163">
      <c r="A163" t="inlineStr">
        <is>
          <t>Boss-Only Total DPS (this block's swept value)</t>
        </is>
      </c>
      <c r="B163">
        <f>SUM(T125:T152)</f>
        <v/>
      </c>
    </row>
    <row r="164">
      <c r="A164" t="inlineStr">
        <is>
          <t>Normal-Only Total DPS (this block's swept value)</t>
        </is>
      </c>
      <c r="B164">
        <f>SUM(V125:V152)</f>
        <v/>
      </c>
    </row>
    <row r="165">
      <c r="A165" s="5" t="inlineStr">
        <is>
          <t>TOTAL DPS</t>
        </is>
      </c>
      <c r="B165" s="5">
        <f>SUM(O125:O152)</f>
        <v/>
      </c>
    </row>
    <row r="168">
      <c r="A168" s="5" t="inlineStr">
        <is>
          <t>Stat: DAMAGE %</t>
        </is>
      </c>
    </row>
    <row r="169">
      <c r="A169" s="9" t="inlineStr">
        <is>
          <t>Key</t>
        </is>
      </c>
      <c r="B169" s="9" t="inlineStr">
        <is>
          <t>Name</t>
        </is>
      </c>
      <c r="C169" s="9" t="inlineStr">
        <is>
          <t>Unlocked</t>
        </is>
      </c>
      <c r="D169" s="9" t="inlineStr">
        <is>
          <t>InputLevel</t>
        </is>
      </c>
      <c r="E169" s="9" t="inlineStr">
        <is>
          <t>Factor</t>
        </is>
      </c>
      <c r="F169" s="9" t="inlineStr">
        <is>
          <t>CoefficientPercent</t>
        </is>
      </c>
      <c r="G169" s="9" t="inlineStr">
        <is>
          <t>EffectiveHits</t>
        </is>
      </c>
      <c r="H169" s="9" t="inlineStr">
        <is>
          <t>ProcProbability</t>
        </is>
      </c>
      <c r="I169" s="9" t="inlineStr">
        <is>
          <t>MapleHeroMultiplier</t>
        </is>
      </c>
      <c r="J169" s="9" t="inlineStr">
        <is>
          <t>BaseDamage</t>
        </is>
      </c>
      <c r="K169" s="9" t="inlineStr">
        <is>
          <t>BaseHitDamage</t>
        </is>
      </c>
      <c r="L169" s="9" t="inlineStr">
        <is>
          <t>NonCritAvg</t>
        </is>
      </c>
      <c r="M169" s="9" t="inlineStr">
        <is>
          <t>CritAvg</t>
        </is>
      </c>
      <c r="N169" s="9" t="inlineStr">
        <is>
          <t>ExpectedDamage(perHit)</t>
        </is>
      </c>
      <c r="O169" s="9" t="inlineStr">
        <is>
          <t>DPS</t>
        </is>
      </c>
      <c r="P169" s="9" t="inlineStr">
        <is>
          <t>% of Total</t>
        </is>
      </c>
      <c r="Q169" s="9" t="inlineStr">
        <is>
          <t>InvCooldown</t>
        </is>
      </c>
      <c r="R169" s="9" t="inlineStr">
        <is>
          <t>CastsInFight</t>
        </is>
      </c>
      <c r="S169" s="9" t="inlineStr">
        <is>
          <t>HitRate(perSec)</t>
        </is>
      </c>
      <c r="U169" t="inlineStr">
        <is>
          <t>helpers</t>
        </is>
      </c>
    </row>
    <row r="170">
      <c r="A170">
        <f>Skills!A2</f>
        <v/>
      </c>
      <c r="B170">
        <f>Skills!B2</f>
        <v/>
      </c>
      <c r="C170">
        <f>Inputs!$B$3&gt;=100</f>
        <v/>
      </c>
      <c r="D170" t="inlineStr"/>
      <c r="E170" t="inlineStr"/>
      <c r="F170">
        <f>U172+Skills!O2</f>
        <v/>
      </c>
      <c r="G170">
        <f>Skills!G2*IF(Skills!H2&gt;0,Skills!I2/Skills!H2,1)</f>
        <v/>
      </c>
      <c r="H170">
        <f>1-(1-Skills!J2/100)^Skills!K2</f>
        <v/>
      </c>
      <c r="I170" t="inlineStr">
        <is>
          <t>1</t>
        </is>
      </c>
      <c r="J170">
        <f>((Inputs!$B$6*(1+Inputs!$B$7/100))+(((Inputs!$B$12*(1+Inputs!$B$13/100))-(Inputs!$B$12*(1+Inputs!$B$13/100)))+0.25*(Inputs!$B$14-Inputs!$B$14))*(1+Inputs!$B$7/100))*(F170/100)</f>
        <v/>
      </c>
      <c r="K170">
        <f>J170*(1+((Inputs!$B$12*(1+Inputs!$B$13/100))*0.01+Inputs!$B$14*0.0025)/100)*(1+(Inputs!$B$15+1)/100)*(1+Inputs!$B$16/100)*(5000/(6000+Inputs!$B$42*(1-(Inputs!$B$19+0)/100)))*(1+(Inputs!$B$24+((C192=TRUE)*(F192-Calc!F24))+((C193=TRUE)*(F193-Calc!F25))+B206)/100)*(1+(IF(Skills!A2="EMPOWERED_PIERCING_ARROW",Inputs!$B$17+((C190=TRUE)*(F190-Calc!F22)),Inputs!$B$18+((C195=TRUE)*(F195-Calc!F27))))/100)*((1+(((C181=TRUE)*F181)+((C182=TRUE)*IF(Inputs!$B$38="pvp",F182,(1-Summary!$B$55)*(F182)+Summary!$B$55*(0)))+((C183=TRUE)*F183*IF(AND(Inputs!$B$38&lt;&gt;"pvp",Inputs!$B$43&gt;0),(((R183-1)*(Skills!T15*(1+Inputs!$B$34/100))+MIN((Skills!T15*(1+Inputs!$B$34/100)),MAX(0,Inputs!$B$43-((R183-1)*Skills!D15))))/Inputs!$B$43),IF(Inputs!$B$38="pvp",MIN((Skills!T15*(1+Inputs!$B$34/100)),15)/15,(Skills!T15*(1+Inputs!$B$34/100))/Skills!D15)))+((C180=TRUE)*F180)+((C197=TRUE)*(F197-Calc!F29)))/100)*I170)</f>
        <v/>
      </c>
      <c r="L170">
        <f>K170*(MIN(Inputs!$B$22+((C191=TRUE)*(F191-Calc!F23)),Inputs!$B$23+((C196=TRUE)*(F196-Calc!F28)))/100+(Inputs!$B$23+((C196=TRUE)*(F196-Calc!F28)))/100)/2</f>
        <v/>
      </c>
      <c r="M170">
        <f>L170*(1+(Inputs!$B$10+0+B205)/100)</f>
        <v/>
      </c>
      <c r="N170">
        <f>L170*(1-MIN((Inputs!$B$9+((C187=TRUE)*(F187-Calc!F19))+B200),100)/100)+M170*(MIN((Inputs!$B$9+((C187=TRUE)*(F187-Calc!F19))+B200),100)/100)</f>
        <v/>
      </c>
      <c r="O170">
        <f>(1-Summary!$B$55)*T170+Summary!$B$55*V170</f>
        <v/>
      </c>
      <c r="P170">
        <f>IF(B210=0,0,O170/B210)</f>
        <v/>
      </c>
      <c r="Q170" t="n">
        <v>0</v>
      </c>
      <c r="R170" t="n">
        <v>0</v>
      </c>
      <c r="S170">
        <f>IFERROR((Skills!G2*N170*B204)/N170*IF(Inputs!$B$38="pvp",1,(1-Summary!$B$55)*1+Summary!$B$55*(MIN((6+Inputs!$B$33),Inputs!$B$37))),0)</f>
        <v/>
      </c>
      <c r="T170">
        <f>IF(C170,(Skills!G2*N170*B204)*IF(Inputs!$B$38="pvp",1,1+(Inputs!$B$20+0+Skills!P2)/100),0)</f>
        <v/>
      </c>
      <c r="U170">
        <f>MAX(0,(Inputs!$B$3-100)*3)+Inputs!$B$28+Inputs!$B$29</f>
        <v/>
      </c>
      <c r="V170">
        <f>IF(C170,(Skills!G2*N170*B204)*IF(Inputs!$B$38="pvp",1,(1+(Inputs!$B$21+Skills!Q2)/100)*(MIN((6+Inputs!$B$33),Inputs!$B$37))),0)</f>
        <v/>
      </c>
    </row>
    <row r="171">
      <c r="A171">
        <f>Skills!A3</f>
        <v/>
      </c>
      <c r="B171">
        <f>Skills!B3</f>
        <v/>
      </c>
      <c r="C171">
        <f>Inputs!$B$3&gt;=50</f>
        <v/>
      </c>
      <c r="D171">
        <f>IF(Skills!C3=1,60+Inputs!$B$25+Inputs!$B$29,IF(Skills!C3=2,90+Inputs!$B$26+Inputs!$B$29,IF(Skills!C3=3,120+Inputs!$B$27+Inputs!$B$29,MAX(0,(Inputs!$B$3-100)*3)+Inputs!$B$28+Inputs!$B$29)))</f>
        <v/>
      </c>
      <c r="E171">
        <f>INDEX(FactorTable!$B$2:$Y$301, MATCH(ROUND(MIN(300,MAX(1,D171)),0), FactorTable!$A$2:$A$301,0), Skills!M3+1)</f>
        <v/>
      </c>
      <c r="F171">
        <f>IF(Skills!N3=TRUE,(Skills!L3/10)*(E171/1000),Skills!L3/10)+Skills!O3</f>
        <v/>
      </c>
      <c r="G171" t="inlineStr"/>
      <c r="H171" t="inlineStr"/>
      <c r="I171" t="inlineStr">
        <is>
          <t>1</t>
        </is>
      </c>
      <c r="J171" t="inlineStr"/>
      <c r="K171" t="inlineStr"/>
      <c r="L171" t="inlineStr"/>
      <c r="M171" t="inlineStr"/>
      <c r="N171" t="inlineStr"/>
      <c r="O171" t="inlineStr"/>
      <c r="P171" t="inlineStr"/>
      <c r="Q171" t="inlineStr"/>
      <c r="R171" t="inlineStr"/>
      <c r="S171" t="inlineStr"/>
      <c r="T171" t="inlineStr"/>
      <c r="U171">
        <f>INDEX(FactorTable!$B$2:$Y$301, MATCH(ROUND(MIN(300,MAX(1,U170)),0), FactorTable!$A$2:$A$301,0), 22)</f>
        <v/>
      </c>
      <c r="V171" t="inlineStr"/>
    </row>
    <row r="172">
      <c r="A172">
        <f>Skills!A4</f>
        <v/>
      </c>
      <c r="B172">
        <f>Skills!B4</f>
        <v/>
      </c>
      <c r="C172">
        <f>Inputs!$B$3&gt;=105</f>
        <v/>
      </c>
      <c r="D172">
        <f>IF(Skills!C4=1,60+Inputs!$B$25+Inputs!$B$29,IF(Skills!C4=2,90+Inputs!$B$26+Inputs!$B$29,IF(Skills!C4=3,120+Inputs!$B$27+Inputs!$B$29,MAX(0,(Inputs!$B$3-100)*3)+Inputs!$B$28+Inputs!$B$29)))</f>
        <v/>
      </c>
      <c r="E172">
        <f>INDEX(FactorTable!$B$2:$Y$301, MATCH(ROUND(MIN(300,MAX(1,D172)),0), FactorTable!$A$2:$A$301,0), Skills!M4+1)</f>
        <v/>
      </c>
      <c r="F172">
        <f>IF(Skills!N4=TRUE,(Skills!L4/10)*(E172/1000),Skills!L4/10)+Skills!O4</f>
        <v/>
      </c>
      <c r="G172" t="inlineStr"/>
      <c r="H172" t="inlineStr"/>
      <c r="I172" t="inlineStr">
        <is>
          <t>1</t>
        </is>
      </c>
      <c r="J172" t="inlineStr"/>
      <c r="K172" t="inlineStr"/>
      <c r="L172" t="inlineStr"/>
      <c r="M172" t="inlineStr"/>
      <c r="N172" t="inlineStr"/>
      <c r="O172" t="inlineStr"/>
      <c r="P172" t="inlineStr"/>
      <c r="Q172" t="inlineStr"/>
      <c r="R172" t="inlineStr"/>
      <c r="S172" t="inlineStr"/>
      <c r="T172" t="inlineStr"/>
      <c r="U172">
        <f>290*U171/1000</f>
        <v/>
      </c>
      <c r="V172" t="inlineStr"/>
    </row>
    <row r="173">
      <c r="A173">
        <f>Skills!A5</f>
        <v/>
      </c>
      <c r="B173">
        <f>Skills!B5</f>
        <v/>
      </c>
      <c r="C173">
        <f>Inputs!$B$3&gt;=35</f>
        <v/>
      </c>
      <c r="D173">
        <f>IF(Skills!C5=1,60+Inputs!$B$25+Inputs!$B$29,IF(Skills!C5=2,90+Inputs!$B$26+Inputs!$B$29,IF(Skills!C5=3,120+Inputs!$B$27+Inputs!$B$29,MAX(0,(Inputs!$B$3-100)*3)+Inputs!$B$28+Inputs!$B$29)))</f>
        <v/>
      </c>
      <c r="E173">
        <f>INDEX(FactorTable!$B$2:$Y$301, MATCH(ROUND(MIN(300,MAX(1,D173)),0), FactorTable!$A$2:$A$301,0), Skills!M5+1)</f>
        <v/>
      </c>
      <c r="F173">
        <f>IF(Skills!N5=TRUE,(Skills!L5/10)*(E173/1000),Skills!L5/10)+Skills!O5</f>
        <v/>
      </c>
      <c r="G173">
        <f>Skills!G5*IF(Skills!H5&gt;0,Skills!I5/Skills!H5,1)</f>
        <v/>
      </c>
      <c r="H173">
        <f>1-(1-Skills!J5/100)^Skills!K5</f>
        <v/>
      </c>
      <c r="I173" t="inlineStr">
        <is>
          <t>1</t>
        </is>
      </c>
      <c r="J173">
        <f>((Inputs!$B$6*(1+Inputs!$B$7/100))+(((Inputs!$B$12*(1+Inputs!$B$13/100))-(Inputs!$B$12*(1+Inputs!$B$13/100)))+0.25*(Inputs!$B$14-Inputs!$B$14))*(1+Inputs!$B$7/100))*(F173/100)</f>
        <v/>
      </c>
      <c r="K173">
        <f>J173*(1+((Inputs!$B$12*(1+Inputs!$B$13/100))*0.01+Inputs!$B$14*0.0025)/100)*(1+(Inputs!$B$15+1)/100)*(1+Inputs!$B$16/100)*(5000/(6000+Inputs!$B$42*(1-(Inputs!$B$19+0)/100)))*(1+(Inputs!$B$24+((C192=TRUE)*(F192-Calc!F24))+((C193=TRUE)*(F193-Calc!F25))+B206)/100)*(1+4.0*IF(C176=TRUE,F176,0)/100)*(1+(IF(Skills!A5="EMPOWERED_PIERCING_ARROW",Inputs!$B$17+((C190=TRUE)*(F190-Calc!F22)),Inputs!$B$18+((C195=TRUE)*(F195-Calc!F27))))/100)*((1+(((C181=TRUE)*F181)+((C182=TRUE)*IF(Inputs!$B$38="pvp",F182,(1-Summary!$B$55)*(F182)+Summary!$B$55*(0)))+((C183=TRUE)*F183*IF(AND(Inputs!$B$38&lt;&gt;"pvp",Inputs!$B$43&gt;0),(((R183-1)*(Skills!T15*(1+Inputs!$B$34/100))+MIN((Skills!T15*(1+Inputs!$B$34/100)),MAX(0,Inputs!$B$43-((R183-1)*Skills!D15))))/Inputs!$B$43),IF(Inputs!$B$38="pvp",MIN((Skills!T15*(1+Inputs!$B$34/100)),15)/15,(Skills!T15*(1+Inputs!$B$34/100))/Skills!D15)))+((C180=TRUE)*F180)+((C197=TRUE)*(F197-Calc!F29)))/100)*I173)</f>
        <v/>
      </c>
      <c r="L173">
        <f>K173*(MIN(Inputs!$B$22+((C191=TRUE)*(F191-Calc!F23)),Inputs!$B$23+((C196=TRUE)*(F196-Calc!F28)))/100+(Inputs!$B$23+((C196=TRUE)*(F196-Calc!F28)))/100)/2</f>
        <v/>
      </c>
      <c r="M173">
        <f>L173*(1+(Inputs!$B$10+0+B205)/100)</f>
        <v/>
      </c>
      <c r="N173">
        <f>L173*(1-MIN((Inputs!$B$9+((C187=TRUE)*(F187-Calc!F19))+B200),100)/100)+M173*(MIN((Inputs!$B$9+((C187=TRUE)*(F187-Calc!F19))+B200),100)/100)</f>
        <v/>
      </c>
      <c r="O173">
        <f>(1-Summary!$B$55)*T173+Summary!$B$55*V173</f>
        <v/>
      </c>
      <c r="P173">
        <f>IF(B210=0,0,O173/B210)</f>
        <v/>
      </c>
      <c r="Q173">
        <f>IFERROR(1/IF(Inputs!$B$38="pvp",15,MAX(0.1,Skills!D5-IF(Skills!E5=TRUE,Inputs!$B$32,0))),0)</f>
        <v/>
      </c>
      <c r="R173">
        <f>IF(AND(Inputs!$B$38&lt;&gt;"pvp",Inputs!$B$43&gt;0),IF(MAX(0,Inputs!$B$43-B207)&lt;=0,0,(INT(MAX(0,Inputs!$B$43-B207)/IF(Inputs!$B$38="pvp",15,MAX(0.1,Skills!D5-IF(Skills!E5=TRUE,Inputs!$B$32,0))))+1)),0)</f>
        <v/>
      </c>
      <c r="S173">
        <f>IFERROR((H173*N173*IF(AND(Inputs!$B$38&lt;&gt;"pvp",Inputs!$B$43&gt;0),((Skills!G5*((R173-1)*IF(Skills!H5&gt;0,Skills!I5/Skills!H5,1)+IF(Skills!H5&gt;0,MIN(Skills!I5,MAX(0,MAX(0,Inputs!$B$43-B207)-((R173-1)*IF(Inputs!$B$38="pvp",15,MAX(0.1,Skills!D5-IF(Skills!E5=TRUE,Inputs!$B$32,0))))))/Skills!H5,1)))/Inputs!$B$43),G173*Q173))/N173*IF(Inputs!$B$38="pvp",1,(1-Summary!$B$55)*1+Summary!$B$55*(MIN(Skills!R5,Inputs!$B$37))),0)</f>
        <v/>
      </c>
      <c r="T173">
        <f>IF(C173,(H173*N173*IF(AND(Inputs!$B$38&lt;&gt;"pvp",Inputs!$B$43&gt;0),((Skills!G5*((R173-1)*IF(Skills!H5&gt;0,Skills!I5/Skills!H5,1)+IF(Skills!H5&gt;0,MIN(Skills!I5,MAX(0,MAX(0,Inputs!$B$43-B207)-((R173-1)*IF(Inputs!$B$38="pvp",15,MAX(0.1,Skills!D5-IF(Skills!E5=TRUE,Inputs!$B$32,0))))))/Skills!H5,1)))/Inputs!$B$43),G173*Q173))*IF(Inputs!$B$38="pvp",1,1+(Inputs!$B$20+0+Skills!P5)/100),0)</f>
        <v/>
      </c>
      <c r="V173">
        <f>IF(C173,(H173*N173*IF(AND(Inputs!$B$38&lt;&gt;"pvp",Inputs!$B$43&gt;0),((Skills!G5*((R173-1)*IF(Skills!H5&gt;0,Skills!I5/Skills!H5,1)+IF(Skills!H5&gt;0,MIN(Skills!I5,MAX(0,MAX(0,Inputs!$B$43-B207)-((R173-1)*IF(Inputs!$B$38="pvp",15,MAX(0.1,Skills!D5-IF(Skills!E5=TRUE,Inputs!$B$32,0))))))/Skills!H5,1)))/Inputs!$B$43),G173*Q173))*IF(Inputs!$B$38="pvp",1,(1+(Inputs!$B$21+Skills!Q5)/100)*(MIN(Skills!R5,Inputs!$B$37))),0)</f>
        <v/>
      </c>
    </row>
    <row r="174">
      <c r="A174">
        <f>Skills!A6</f>
        <v/>
      </c>
      <c r="B174">
        <f>Skills!B6</f>
        <v/>
      </c>
      <c r="C174">
        <f>Inputs!$B$3&gt;=63</f>
        <v/>
      </c>
      <c r="D174">
        <f>IF(Skills!C6=1,60+Inputs!$B$25+Inputs!$B$29,IF(Skills!C6=2,90+Inputs!$B$26+Inputs!$B$29,IF(Skills!C6=3,120+Inputs!$B$27+Inputs!$B$29,MAX(0,(Inputs!$B$3-100)*3)+Inputs!$B$28+Inputs!$B$29)))</f>
        <v/>
      </c>
      <c r="E174">
        <f>INDEX(FactorTable!$B$2:$Y$301, MATCH(ROUND(MIN(300,MAX(1,D174)),0), FactorTable!$A$2:$A$301,0), Skills!M6+1)</f>
        <v/>
      </c>
      <c r="F174">
        <f>IF(Skills!N6=TRUE,(Skills!L6/10)*(E174/1000),Skills!L6/10)+Skills!O6</f>
        <v/>
      </c>
      <c r="G174">
        <f>Skills!G6*IF(Skills!H6&gt;0,Skills!I6/Skills!H6,1)</f>
        <v/>
      </c>
      <c r="H174">
        <f>1-(1-Skills!J6/100)^Skills!K6</f>
        <v/>
      </c>
      <c r="I174" t="inlineStr">
        <is>
          <t>1</t>
        </is>
      </c>
      <c r="J174">
        <f>((Inputs!$B$6*(1+Inputs!$B$7/100))+(((Inputs!$B$12*(1+Inputs!$B$13/100))-(Inputs!$B$12*(1+Inputs!$B$13/100)))+0.25*(Inputs!$B$14-Inputs!$B$14))*(1+Inputs!$B$7/100))*(F174/100)</f>
        <v/>
      </c>
      <c r="K174">
        <f>J174*(1+((Inputs!$B$12*(1+Inputs!$B$13/100))*0.01+Inputs!$B$14*0.0025)/100)*(1+(Inputs!$B$15+1)/100)*(1+Inputs!$B$16/100)*(5000/(6000+Inputs!$B$42*(1-(Inputs!$B$19+0)/100)))*(1+(Inputs!$B$24+((C192=TRUE)*(F192-Calc!F24))+((C193=TRUE)*(F193-Calc!F25))+B206)/100)*(1+1.0*IF(C176=TRUE,F176,0)/100)*(1+(IF(Skills!A6="EMPOWERED_PIERCING_ARROW",Inputs!$B$17+((C190=TRUE)*(F190-Calc!F22)),Inputs!$B$18+((C195=TRUE)*(F195-Calc!F27))))/100)*((1+(((C181=TRUE)*F181)+((C182=TRUE)*IF(Inputs!$B$38="pvp",F182,(1-Summary!$B$55)*(F182)+Summary!$B$55*(0)))+((C183=TRUE)*F183*IF(AND(Inputs!$B$38&lt;&gt;"pvp",Inputs!$B$43&gt;0),(((R183-1)*(Skills!T15*(1+Inputs!$B$34/100))+MIN((Skills!T15*(1+Inputs!$B$34/100)),MAX(0,Inputs!$B$43-((R183-1)*Skills!D15))))/Inputs!$B$43),IF(Inputs!$B$38="pvp",MIN((Skills!T15*(1+Inputs!$B$34/100)),15)/15,(Skills!T15*(1+Inputs!$B$34/100))/Skills!D15)))+((C180=TRUE)*F180)+((C197=TRUE)*(F197-Calc!F29)))/100)*I174)</f>
        <v/>
      </c>
      <c r="L174">
        <f>K174*(MIN(Inputs!$B$22+((C191=TRUE)*(F191-Calc!F23)),Inputs!$B$23+((C196=TRUE)*(F196-Calc!F28)))/100+(Inputs!$B$23+((C196=TRUE)*(F196-Calc!F28)))/100)/2</f>
        <v/>
      </c>
      <c r="M174">
        <f>L174*(1+(Inputs!$B$10+0+B205)/100)</f>
        <v/>
      </c>
      <c r="N174">
        <f>L174*(1-MIN((Inputs!$B$9+((C187=TRUE)*(F187-Calc!F19))+B200),100)/100)+M174*(MIN((Inputs!$B$9+((C187=TRUE)*(F187-Calc!F19))+B200),100)/100)</f>
        <v/>
      </c>
      <c r="O174">
        <f>(1-Summary!$B$55)*T174+Summary!$B$55*V174</f>
        <v/>
      </c>
      <c r="P174">
        <f>IF(B210=0,0,O174/B210)</f>
        <v/>
      </c>
      <c r="Q174">
        <f>IFERROR(1/IF(Inputs!$B$38="pvp",15,MAX(0.1,Skills!D6-IF(Skills!E6=TRUE,Inputs!$B$32,0))),0)</f>
        <v/>
      </c>
      <c r="R174">
        <f>IF(AND(Inputs!$B$38&lt;&gt;"pvp",Inputs!$B$43&gt;0),IF(MAX(0,Inputs!$B$43-B207)&lt;=0,0,(INT(MAX(0,Inputs!$B$43-B207)/IF(Inputs!$B$38="pvp",15,MAX(0.1,Skills!D6-IF(Skills!E6=TRUE,Inputs!$B$32,0))))+1)),0)</f>
        <v/>
      </c>
      <c r="S174">
        <f>IFERROR((H174*N174*IF(AND(Inputs!$B$38&lt;&gt;"pvp",Inputs!$B$43&gt;0),((Skills!G6*((R174-1)*IF(Skills!H6&gt;0,Skills!I6/Skills!H6,1)+IF(Skills!H6&gt;0,MIN(Skills!I6,MAX(0,MAX(0,Inputs!$B$43-B207)-((R174-1)*IF(Inputs!$B$38="pvp",15,MAX(0.1,Skills!D6-IF(Skills!E6=TRUE,Inputs!$B$32,0))))))/Skills!H6,1)))/Inputs!$B$43),G174*Q174))/N174*IF(Inputs!$B$38="pvp",1,(1-Summary!$B$55)*1+Summary!$B$55*(MIN(Skills!R6,Inputs!$B$37))),0)</f>
        <v/>
      </c>
      <c r="T174">
        <f>IF(C174,(H174*N174*IF(AND(Inputs!$B$38&lt;&gt;"pvp",Inputs!$B$43&gt;0),((Skills!G6*((R174-1)*IF(Skills!H6&gt;0,Skills!I6/Skills!H6,1)+IF(Skills!H6&gt;0,MIN(Skills!I6,MAX(0,MAX(0,Inputs!$B$43-B207)-((R174-1)*IF(Inputs!$B$38="pvp",15,MAX(0.1,Skills!D6-IF(Skills!E6=TRUE,Inputs!$B$32,0))))))/Skills!H6,1)))/Inputs!$B$43),G174*Q174))*IF(Inputs!$B$38="pvp",1,1+(Inputs!$B$20+0+Skills!P6)/100),0)</f>
        <v/>
      </c>
      <c r="V174">
        <f>IF(C174,(H174*N174*IF(AND(Inputs!$B$38&lt;&gt;"pvp",Inputs!$B$43&gt;0),((Skills!G6*((R174-1)*IF(Skills!H6&gt;0,Skills!I6/Skills!H6,1)+IF(Skills!H6&gt;0,MIN(Skills!I6,MAX(0,MAX(0,Inputs!$B$43-B207)-((R174-1)*IF(Inputs!$B$38="pvp",15,MAX(0.1,Skills!D6-IF(Skills!E6=TRUE,Inputs!$B$32,0))))))/Skills!H6,1)))/Inputs!$B$43),G174*Q174))*IF(Inputs!$B$38="pvp",1,(1+(Inputs!$B$21+Skills!Q6)/100)*(MIN(Skills!R6,Inputs!$B$37))),0)</f>
        <v/>
      </c>
    </row>
    <row r="175">
      <c r="A175">
        <f>Skills!A7</f>
        <v/>
      </c>
      <c r="B175">
        <f>Skills!B7</f>
        <v/>
      </c>
      <c r="C175">
        <f>Inputs!$B$3&gt;=69</f>
        <v/>
      </c>
      <c r="D175">
        <f>IF(Skills!C7=1,60+Inputs!$B$25+Inputs!$B$29,IF(Skills!C7=2,90+Inputs!$B$26+Inputs!$B$29,IF(Skills!C7=3,120+Inputs!$B$27+Inputs!$B$29,MAX(0,(Inputs!$B$3-100)*3)+Inputs!$B$28+Inputs!$B$29)))</f>
        <v/>
      </c>
      <c r="E175">
        <f>INDEX(FactorTable!$B$2:$Y$301, MATCH(ROUND(MIN(300,MAX(1,D175)),0), FactorTable!$A$2:$A$301,0), Skills!M7+1)</f>
        <v/>
      </c>
      <c r="F175">
        <f>IF(Skills!N7=TRUE,(Skills!L7/10)*(E175/1000),Skills!L7/10)+Skills!O7</f>
        <v/>
      </c>
      <c r="G175">
        <f>Skills!G7*IF(Skills!H7&gt;0,Skills!I7/Skills!H7,1)</f>
        <v/>
      </c>
      <c r="H175">
        <f>1-(1-Skills!J7/100)^Skills!K7</f>
        <v/>
      </c>
      <c r="I175" t="inlineStr">
        <is>
          <t>1</t>
        </is>
      </c>
      <c r="J175">
        <f>((Inputs!$B$6*(1+Inputs!$B$7/100))+(((Inputs!$B$12*(1+Inputs!$B$13/100))-(Inputs!$B$12*(1+Inputs!$B$13/100)))+0.25*(Inputs!$B$14-Inputs!$B$14))*(1+Inputs!$B$7/100))*(F175/100)</f>
        <v/>
      </c>
      <c r="K175">
        <f>J175*(1+((Inputs!$B$12*(1+Inputs!$B$13/100))*0.01+Inputs!$B$14*0.0025)/100)*(1+(Inputs!$B$15+1)/100)*(1+Inputs!$B$16/100)*(5000/(6000+Inputs!$B$42*(1-(Inputs!$B$19+0)/100)))*(1+(Inputs!$B$24+((C192=TRUE)*(F192-Calc!F24))+((C193=TRUE)*(F193-Calc!F25))+B206)/100)*(1+1.2*IF(C176=TRUE,F176,0)/100)*(1+(IF(Skills!A7="EMPOWERED_PIERCING_ARROW",Inputs!$B$17+((C190=TRUE)*(F190-Calc!F22)),Inputs!$B$18+((C195=TRUE)*(F195-Calc!F27))))/100)*((1+(((C181=TRUE)*F181)+((C182=TRUE)*IF(Inputs!$B$38="pvp",F182,(1-Summary!$B$55)*(F182)+Summary!$B$55*(0)))+((C183=TRUE)*F183*IF(AND(Inputs!$B$38&lt;&gt;"pvp",Inputs!$B$43&gt;0),(((R183-1)*(Skills!T15*(1+Inputs!$B$34/100))+MIN((Skills!T15*(1+Inputs!$B$34/100)),MAX(0,Inputs!$B$43-((R183-1)*Skills!D15))))/Inputs!$B$43),IF(Inputs!$B$38="pvp",MIN((Skills!T15*(1+Inputs!$B$34/100)),15)/15,(Skills!T15*(1+Inputs!$B$34/100))/Skills!D15)))+((C180=TRUE)*F180)+((C197=TRUE)*(F197-Calc!F29)))/100)*I175)</f>
        <v/>
      </c>
      <c r="L175">
        <f>K175*(MIN(Inputs!$B$22+((C191=TRUE)*(F191-Calc!F23)),Inputs!$B$23+((C196=TRUE)*(F196-Calc!F28)))/100+(Inputs!$B$23+((C196=TRUE)*(F196-Calc!F28)))/100)/2</f>
        <v/>
      </c>
      <c r="M175">
        <f>L175*(1+(Inputs!$B$10+0+B205)/100)</f>
        <v/>
      </c>
      <c r="N175">
        <f>L175*(1-MIN((Inputs!$B$9+((C187=TRUE)*(F187-Calc!F19))+B200),100)/100)+M175*(MIN((Inputs!$B$9+((C187=TRUE)*(F187-Calc!F19))+B200),100)/100)</f>
        <v/>
      </c>
      <c r="O175">
        <f>(1-Summary!$B$55)*T175+Summary!$B$55*V175</f>
        <v/>
      </c>
      <c r="P175">
        <f>IF(B210=0,0,O175/B210)</f>
        <v/>
      </c>
      <c r="Q175">
        <f>IFERROR(1/IF(Inputs!$B$38="pvp",15,MAX(0.1,Skills!D7-IF(Skills!E7=TRUE,Inputs!$B$32,0))),0)</f>
        <v/>
      </c>
      <c r="R175">
        <f>IF(AND(Inputs!$B$38&lt;&gt;"pvp",Inputs!$B$43&gt;0),IF(MAX(0,Inputs!$B$43-B207)&lt;=0,0,(INT(MAX(0,Inputs!$B$43-B207)/IF(Inputs!$B$38="pvp",15,MAX(0.1,Skills!D7-IF(Skills!E7=TRUE,Inputs!$B$32,0))))+1)),0)</f>
        <v/>
      </c>
      <c r="S175">
        <f>IFERROR((H175*N175*IF(AND(Inputs!$B$38&lt;&gt;"pvp",Inputs!$B$43&gt;0),((Skills!G7*((R175-1)*IF(Skills!H7&gt;0,Skills!I7/Skills!H7,1)+IF(Skills!H7&gt;0,MIN(Skills!I7,MAX(0,MAX(0,Inputs!$B$43-B207)-((R175-1)*IF(Inputs!$B$38="pvp",15,MAX(0.1,Skills!D7-IF(Skills!E7=TRUE,Inputs!$B$32,0))))))/Skills!H7,1)))/Inputs!$B$43),G175*Q175))/N175*IF(Inputs!$B$38="pvp",1,(1-Summary!$B$55)*1+Summary!$B$55*(MIN(Skills!R7,Inputs!$B$37))),0)</f>
        <v/>
      </c>
      <c r="T175">
        <f>IF(C175,(H175*N175*IF(AND(Inputs!$B$38&lt;&gt;"pvp",Inputs!$B$43&gt;0),((Skills!G7*((R175-1)*IF(Skills!H7&gt;0,Skills!I7/Skills!H7,1)+IF(Skills!H7&gt;0,MIN(Skills!I7,MAX(0,MAX(0,Inputs!$B$43-B207)-((R175-1)*IF(Inputs!$B$38="pvp",15,MAX(0.1,Skills!D7-IF(Skills!E7=TRUE,Inputs!$B$32,0))))))/Skills!H7,1)))/Inputs!$B$43),G175*Q175))*IF(Inputs!$B$38="pvp",1,1+(Inputs!$B$20+0+Skills!P7)/100),0)</f>
        <v/>
      </c>
      <c r="V175">
        <f>IF(C175,(H175*N175*IF(AND(Inputs!$B$38&lt;&gt;"pvp",Inputs!$B$43&gt;0),((Skills!G7*((R175-1)*IF(Skills!H7&gt;0,Skills!I7/Skills!H7,1)+IF(Skills!H7&gt;0,MIN(Skills!I7,MAX(0,MAX(0,Inputs!$B$43-B207)-((R175-1)*IF(Inputs!$B$38="pvp",15,MAX(0.1,Skills!D7-IF(Skills!E7=TRUE,Inputs!$B$32,0))))))/Skills!H7,1)))/Inputs!$B$43),G175*Q175))*IF(Inputs!$B$38="pvp",1,(1+(Inputs!$B$21+Skills!Q7)/100)*(MIN(Skills!R7,Inputs!$B$37))),0)</f>
        <v/>
      </c>
    </row>
    <row r="176">
      <c r="A176">
        <f>Skills!A8</f>
        <v/>
      </c>
      <c r="B176">
        <f>Skills!B8</f>
        <v/>
      </c>
      <c r="C176">
        <f>Inputs!$B$3&gt;=100</f>
        <v/>
      </c>
      <c r="D176">
        <f>IF(Skills!C8=1,60+Inputs!$B$25+Inputs!$B$29,IF(Skills!C8=2,90+Inputs!$B$26+Inputs!$B$29,IF(Skills!C8=3,120+Inputs!$B$27+Inputs!$B$29,MAX(0,(Inputs!$B$3-100)*3)+Inputs!$B$28+Inputs!$B$29)))</f>
        <v/>
      </c>
      <c r="E176">
        <f>INDEX(FactorTable!$B$2:$Y$301, MATCH(ROUND(MIN(300,MAX(1,D176)),0), FactorTable!$A$2:$A$301,0), Skills!M8+1)</f>
        <v/>
      </c>
      <c r="F176">
        <f>IF(Skills!N8=TRUE,(Skills!L8/10)*(E176/1000),Skills!L8/10)+Skills!O8</f>
        <v/>
      </c>
      <c r="G176" t="inlineStr"/>
      <c r="H176" t="inlineStr"/>
      <c r="I176" t="inlineStr">
        <is>
          <t>1</t>
        </is>
      </c>
      <c r="J176" t="inlineStr"/>
      <c r="K176" t="inlineStr"/>
      <c r="L176" t="inlineStr"/>
      <c r="M176" t="inlineStr"/>
      <c r="N176" t="inlineStr"/>
      <c r="O176" t="inlineStr"/>
      <c r="P176" t="inlineStr"/>
      <c r="Q176" t="inlineStr"/>
      <c r="R176" t="inlineStr"/>
      <c r="S176" t="inlineStr"/>
      <c r="T176" t="inlineStr"/>
      <c r="V176" t="inlineStr"/>
    </row>
    <row r="177">
      <c r="A177">
        <f>Skills!A9</f>
        <v/>
      </c>
      <c r="B177">
        <f>Skills!B9</f>
        <v/>
      </c>
      <c r="C177">
        <f>Inputs!$B$3&gt;=103</f>
        <v/>
      </c>
      <c r="D177">
        <f>IF(Skills!C9=1,60+Inputs!$B$25+Inputs!$B$29,IF(Skills!C9=2,90+Inputs!$B$26+Inputs!$B$29,IF(Skills!C9=3,120+Inputs!$B$27+Inputs!$B$29,MAX(0,(Inputs!$B$3-100)*3)+Inputs!$B$28+Inputs!$B$29)))</f>
        <v/>
      </c>
      <c r="E177">
        <f>INDEX(FactorTable!$B$2:$Y$301, MATCH(ROUND(MIN(300,MAX(1,D177)),0), FactorTable!$A$2:$A$301,0), Skills!M9+1)</f>
        <v/>
      </c>
      <c r="F177">
        <f>IF(Skills!N9=TRUE,(Skills!L9/10)*(E177/1000),Skills!L9/10)+Skills!O9</f>
        <v/>
      </c>
      <c r="G177">
        <f>Skills!G9*IF(Skills!H9&gt;0,Skills!I9/Skills!H9,1)</f>
        <v/>
      </c>
      <c r="H177">
        <f>1-(1-Skills!J9/100)^Skills!K9</f>
        <v/>
      </c>
      <c r="I177" t="inlineStr">
        <is>
          <t>1</t>
        </is>
      </c>
      <c r="J177">
        <f>((Inputs!$B$6*(1+Inputs!$B$7/100))+(((Inputs!$B$12*(1+Inputs!$B$13/100))-(Inputs!$B$12*(1+Inputs!$B$13/100)))+0.25*(Inputs!$B$14-Inputs!$B$14))*(1+Inputs!$B$7/100))*(F177/100)</f>
        <v/>
      </c>
      <c r="K177">
        <f>J177*(1+((Inputs!$B$12*(1+Inputs!$B$13/100))*0.01+Inputs!$B$14*0.0025)/100)*(1+(Inputs!$B$15+1)/100)*(1+Inputs!$B$16/100)*(5000/(6000+Inputs!$B$42*(1-(Inputs!$B$19+0)/100)))*(1+(Inputs!$B$24+((C192=TRUE)*(F192-Calc!F24))+((C193=TRUE)*(F193-Calc!F25))+B206)/100)*(1+(IF(Skills!A9="EMPOWERED_PIERCING_ARROW",Inputs!$B$17+((C190=TRUE)*(F190-Calc!F22)),Inputs!$B$18+((C195=TRUE)*(F195-Calc!F27))))/100)*((1+(((C181=TRUE)*F181)+((C182=TRUE)*IF(Inputs!$B$38="pvp",F182,(1-Summary!$B$55)*(F182)+Summary!$B$55*(0)))+((C183=TRUE)*F183*IF(AND(Inputs!$B$38&lt;&gt;"pvp",Inputs!$B$43&gt;0),(((R183-1)*(Skills!T15*(1+Inputs!$B$34/100))+MIN((Skills!T15*(1+Inputs!$B$34/100)),MAX(0,Inputs!$B$43-((R183-1)*Skills!D15))))/Inputs!$B$43),IF(Inputs!$B$38="pvp",MIN((Skills!T15*(1+Inputs!$B$34/100)),15)/15,(Skills!T15*(1+Inputs!$B$34/100))/Skills!D15)))+((C180=TRUE)*F180)+((C197=TRUE)*(F197-Calc!F29)))/100)*I177)</f>
        <v/>
      </c>
      <c r="L177">
        <f>K177*(MIN(Inputs!$B$22+((C191=TRUE)*(F191-Calc!F23)),Inputs!$B$23+((C196=TRUE)*(F196-Calc!F28)))/100+(Inputs!$B$23+((C196=TRUE)*(F196-Calc!F28)))/100)/2</f>
        <v/>
      </c>
      <c r="M177">
        <f>L177*(1+(Inputs!$B$10+0+B205)/100)</f>
        <v/>
      </c>
      <c r="N177">
        <f>L177*(1-MIN((Inputs!$B$9+((C187=TRUE)*(F187-Calc!F19))+B200),100)/100)+M177*(MIN((Inputs!$B$9+((C187=TRUE)*(F187-Calc!F19))+B200),100)/100)</f>
        <v/>
      </c>
      <c r="O177">
        <f>(1-Summary!$B$55)*T177+Summary!$B$55*V177</f>
        <v/>
      </c>
      <c r="P177">
        <f>IF(B210=0,0,O177/B210)</f>
        <v/>
      </c>
      <c r="Q177">
        <f>IFERROR(1/IF(Inputs!$B$38="pvp",15,MAX(0.1,Skills!D9-IF(Skills!E9=TRUE,Inputs!$B$32,0))),0)</f>
        <v/>
      </c>
      <c r="R177">
        <f>IF(AND(Inputs!$B$38&lt;&gt;"pvp",Inputs!$B$43&gt;0),IF(MAX(0,Inputs!$B$43-B207)&lt;=0,0,(INT(MAX(0,Inputs!$B$43-B207)/IF(Inputs!$B$38="pvp",15,MAX(0.1,Skills!D9-IF(Skills!E9=TRUE,Inputs!$B$32,0))))+1)),0)</f>
        <v/>
      </c>
      <c r="S177">
        <f>IFERROR((H177*N177*IF(AND(Inputs!$B$38&lt;&gt;"pvp",Inputs!$B$43&gt;0),((Skills!G9*((R177-1)*IF(Skills!H9&gt;0,Skills!I9/Skills!H9,1)+IF(Skills!H9&gt;0,MIN(Skills!I9,MAX(0,MAX(0,Inputs!$B$43-B207)-((R177-1)*IF(Inputs!$B$38="pvp",15,MAX(0.1,Skills!D9-IF(Skills!E9=TRUE,Inputs!$B$32,0))))))/Skills!H9,1)))/Inputs!$B$43),G177*Q177))/N177*IF(Inputs!$B$38="pvp",1,(1-Summary!$B$55)*1+Summary!$B$55*(MIN(Skills!R9,Inputs!$B$37))),0)</f>
        <v/>
      </c>
      <c r="T177">
        <f>IF(C177,(H177*N177*IF(AND(Inputs!$B$38&lt;&gt;"pvp",Inputs!$B$43&gt;0),((Skills!G9*((R177-1)*IF(Skills!H9&gt;0,Skills!I9/Skills!H9,1)+IF(Skills!H9&gt;0,MIN(Skills!I9,MAX(0,MAX(0,Inputs!$B$43-B207)-((R177-1)*IF(Inputs!$B$38="pvp",15,MAX(0.1,Skills!D9-IF(Skills!E9=TRUE,Inputs!$B$32,0))))))/Skills!H9,1)))/Inputs!$B$43),G177*Q177))*IF(Inputs!$B$38="pvp",1,1+(Inputs!$B$20+0+Skills!P9)/100),0)</f>
        <v/>
      </c>
      <c r="V177">
        <f>IF(C177,(H177*N177*IF(AND(Inputs!$B$38&lt;&gt;"pvp",Inputs!$B$43&gt;0),((Skills!G9*((R177-1)*IF(Skills!H9&gt;0,Skills!I9/Skills!H9,1)+IF(Skills!H9&gt;0,MIN(Skills!I9,MAX(0,MAX(0,Inputs!$B$43-B207)-((R177-1)*IF(Inputs!$B$38="pvp",15,MAX(0.1,Skills!D9-IF(Skills!E9=TRUE,Inputs!$B$32,0))))))/Skills!H9,1)))/Inputs!$B$43),G177*Q177))*IF(Inputs!$B$38="pvp",1,(1+(Inputs!$B$21+Skills!Q9)/100)*(MIN(Skills!R9,Inputs!$B$37))),0)</f>
        <v/>
      </c>
    </row>
    <row r="178">
      <c r="A178">
        <f>Skills!A10</f>
        <v/>
      </c>
      <c r="B178">
        <f>Skills!B10</f>
        <v/>
      </c>
      <c r="C178">
        <f>Inputs!$B$3&gt;=107</f>
        <v/>
      </c>
      <c r="D178">
        <f>IF(Skills!C10=1,60+Inputs!$B$25+Inputs!$B$29,IF(Skills!C10=2,90+Inputs!$B$26+Inputs!$B$29,IF(Skills!C10=3,120+Inputs!$B$27+Inputs!$B$29,MAX(0,(Inputs!$B$3-100)*3)+Inputs!$B$28+Inputs!$B$29)))</f>
        <v/>
      </c>
      <c r="E178">
        <f>INDEX(FactorTable!$B$2:$Y$301, MATCH(ROUND(MIN(300,MAX(1,D178)),0), FactorTable!$A$2:$A$301,0), Skills!M10+1)</f>
        <v/>
      </c>
      <c r="F178">
        <f>IF(Skills!N10=TRUE,(Skills!L10/10)*(E178/1000),Skills!L10/10)+Skills!O10</f>
        <v/>
      </c>
      <c r="G178">
        <f>Skills!G10*IF(Skills!H10&gt;0,Skills!I10/Skills!H10,1)</f>
        <v/>
      </c>
      <c r="H178">
        <f>1-(1-Skills!J10/100)^Skills!K10</f>
        <v/>
      </c>
      <c r="I178" t="inlineStr">
        <is>
          <t>1</t>
        </is>
      </c>
      <c r="J178">
        <f>((Inputs!$B$6*(1+Inputs!$B$7/100))+(((Inputs!$B$12*(1+Inputs!$B$13/100))-(Inputs!$B$12*(1+Inputs!$B$13/100)))+0.25*(Inputs!$B$14-Inputs!$B$14))*(1+Inputs!$B$7/100))*(F178/100)</f>
        <v/>
      </c>
      <c r="K178">
        <f>J178*(1+((Inputs!$B$12*(1+Inputs!$B$13/100))*0.01+Inputs!$B$14*0.0025)/100)*(1+(Inputs!$B$15+1)/100)*(1+Inputs!$B$16/100)*(5000/(6000+Inputs!$B$42*(1-(Inputs!$B$19+0)/100)))*(1+(Inputs!$B$24+((C192=TRUE)*(F192-Calc!F24))+((C193=TRUE)*(F193-Calc!F25))+B206)/100)*(1+(IF(Skills!A10="EMPOWERED_PIERCING_ARROW",Inputs!$B$17+((C190=TRUE)*(F190-Calc!F22)),Inputs!$B$18+((C195=TRUE)*(F195-Calc!F27))))/100)*((1+(((C181=TRUE)*F181)+((C182=TRUE)*IF(Inputs!$B$38="pvp",F182,(1-Summary!$B$55)*(F182)+Summary!$B$55*(0)))+((C183=TRUE)*F183*IF(AND(Inputs!$B$38&lt;&gt;"pvp",Inputs!$B$43&gt;0),(((R183-1)*(Skills!T15*(1+Inputs!$B$34/100))+MIN((Skills!T15*(1+Inputs!$B$34/100)),MAX(0,Inputs!$B$43-((R183-1)*Skills!D15))))/Inputs!$B$43),IF(Inputs!$B$38="pvp",MIN((Skills!T15*(1+Inputs!$B$34/100)),15)/15,(Skills!T15*(1+Inputs!$B$34/100))/Skills!D15)))+((C180=TRUE)*F180)+((C197=TRUE)*(F197-Calc!F29)))/100)*I178)</f>
        <v/>
      </c>
      <c r="L178">
        <f>K178*(MIN(Inputs!$B$22+((C191=TRUE)*(F191-Calc!F23)),Inputs!$B$23+((C196=TRUE)*(F196-Calc!F28)))/100+(Inputs!$B$23+((C196=TRUE)*(F196-Calc!F28)))/100)/2</f>
        <v/>
      </c>
      <c r="M178">
        <f>L178*(1+(Inputs!$B$10+0+B205)/100)</f>
        <v/>
      </c>
      <c r="N178">
        <f>L178*(1-MIN((Inputs!$B$9+((C187=TRUE)*(F187-Calc!F19))+B200),100)/100)+M178*(MIN((Inputs!$B$9+((C187=TRUE)*(F187-Calc!F19))+B200),100)/100)</f>
        <v/>
      </c>
      <c r="O178">
        <f>(1-Summary!$B$55)*T178+Summary!$B$55*V178</f>
        <v/>
      </c>
      <c r="P178">
        <f>IF(B210=0,0,O178/B210)</f>
        <v/>
      </c>
      <c r="Q178" t="n">
        <v>0</v>
      </c>
      <c r="R178" t="n">
        <v>0</v>
      </c>
      <c r="S178" t="n">
        <v>0</v>
      </c>
      <c r="T178">
        <f>IF(C178,(0.15*SUMPRODUCT((Skills!U2:U29=TRUE)*(C170:C197=TRUE)*S170:S197)*Skills!G10*N178)*IF(Inputs!$B$38="pvp",1,1+(Inputs!$B$20+0+Skills!P10)/100),0)</f>
        <v/>
      </c>
      <c r="V178">
        <f>IF(C178,(0.15*SUMPRODUCT((Skills!U2:U29=TRUE)*(C170:C197=TRUE)*S170:S197)*Skills!G10*N178)*IF(Inputs!$B$38="pvp",1,(1+(Inputs!$B$21+Skills!Q10)/100)*(MIN(Skills!R10,Inputs!$B$37))),0)</f>
        <v/>
      </c>
    </row>
    <row r="179">
      <c r="A179">
        <f>Skills!A11</f>
        <v/>
      </c>
      <c r="B179">
        <f>Skills!B11</f>
        <v/>
      </c>
      <c r="C179">
        <f>Inputs!$B$3&gt;=110</f>
        <v/>
      </c>
      <c r="D179">
        <f>IF(Skills!C11=1,60+Inputs!$B$25+Inputs!$B$29,IF(Skills!C11=2,90+Inputs!$B$26+Inputs!$B$29,IF(Skills!C11=3,120+Inputs!$B$27+Inputs!$B$29,MAX(0,(Inputs!$B$3-100)*3)+Inputs!$B$28+Inputs!$B$29)))</f>
        <v/>
      </c>
      <c r="E179">
        <f>INDEX(FactorTable!$B$2:$Y$301, MATCH(ROUND(MIN(300,MAX(1,D179)),0), FactorTable!$A$2:$A$301,0), Skills!M11+1)</f>
        <v/>
      </c>
      <c r="F179">
        <f>IF(Skills!N11=TRUE,(Skills!L11/10)*(E179/1000),Skills!L11/10)+Skills!O11</f>
        <v/>
      </c>
      <c r="G179">
        <f>Skills!G11*IF(Skills!H11&gt;0,Skills!I11/Skills!H11,1)</f>
        <v/>
      </c>
      <c r="H179">
        <f>1-(1-Skills!J11/100)^Skills!K11</f>
        <v/>
      </c>
      <c r="I179" t="inlineStr">
        <is>
          <t>1</t>
        </is>
      </c>
      <c r="J179">
        <f>((Inputs!$B$6*(1+Inputs!$B$7/100))+(((Inputs!$B$12*(1+Inputs!$B$13/100))-(Inputs!$B$12*(1+Inputs!$B$13/100)))+0.25*(Inputs!$B$14-Inputs!$B$14))*(1+Inputs!$B$7/100))*(F179/100)</f>
        <v/>
      </c>
      <c r="K179">
        <f>J179*(1+((Inputs!$B$12*(1+Inputs!$B$13/100))*0.01+Inputs!$B$14*0.0025)/100)*(1+(Inputs!$B$15+1)/100)*(1+Inputs!$B$16/100)*(5000/(6000+Inputs!$B$42*(1-(Inputs!$B$19+0)/100)))*(1+(Inputs!$B$24+((C192=TRUE)*(F192-Calc!F24))+((C193=TRUE)*(F193-Calc!F25))+B206)/100)*(1+(IF(Skills!A11="EMPOWERED_PIERCING_ARROW",Inputs!$B$17+((C190=TRUE)*(F190-Calc!F22)),Inputs!$B$18+((C195=TRUE)*(F195-Calc!F27))))/100)*((1+(((C181=TRUE)*F181)+((C182=TRUE)*IF(Inputs!$B$38="pvp",F182,(1-Summary!$B$55)*(F182)+Summary!$B$55*(0)))+((C183=TRUE)*F183*IF(AND(Inputs!$B$38&lt;&gt;"pvp",Inputs!$B$43&gt;0),(((R183-1)*(Skills!T15*(1+Inputs!$B$34/100))+MIN((Skills!T15*(1+Inputs!$B$34/100)),MAX(0,Inputs!$B$43-((R183-1)*Skills!D15))))/Inputs!$B$43),IF(Inputs!$B$38="pvp",MIN((Skills!T15*(1+Inputs!$B$34/100)),15)/15,(Skills!T15*(1+Inputs!$B$34/100))/Skills!D15)))+((C180=TRUE)*F180)+((C197=TRUE)*(F197-Calc!F29)))/100)*I179)</f>
        <v/>
      </c>
      <c r="L179">
        <f>K179*(MIN(Inputs!$B$22+((C191=TRUE)*(F191-Calc!F23)),Inputs!$B$23+((C196=TRUE)*(F196-Calc!F28)))/100+(Inputs!$B$23+((C196=TRUE)*(F196-Calc!F28)))/100)/2</f>
        <v/>
      </c>
      <c r="M179">
        <f>L179*(1+(Inputs!$B$10+0+B205)/100)</f>
        <v/>
      </c>
      <c r="N179">
        <f>L179*(1-MIN((Inputs!$B$9+((C187=TRUE)*(F187-Calc!F19))+B200),100)/100)+M179*(MIN((Inputs!$B$9+((C187=TRUE)*(F187-Calc!F19))+B200),100)/100)</f>
        <v/>
      </c>
      <c r="O179">
        <f>(1-Summary!$B$55)*T179+Summary!$B$55*V179</f>
        <v/>
      </c>
      <c r="P179">
        <f>IF(B210=0,0,O179/B210)</f>
        <v/>
      </c>
      <c r="Q179">
        <f>IFERROR(1/IF(Inputs!$B$38="pvp",15,MAX(0.1,Skills!D11-IF(Skills!E11=TRUE,Inputs!$B$32,0))),0)</f>
        <v/>
      </c>
      <c r="R179">
        <f>IF(AND(Inputs!$B$38&lt;&gt;"pvp",Inputs!$B$43&gt;0),IF(MAX(0,Inputs!$B$43-B207)&lt;=0,0,(INT(MAX(0,Inputs!$B$43-B207)/IF(Inputs!$B$38="pvp",15,MAX(0.1,Skills!D11-IF(Skills!E11=TRUE,Inputs!$B$32,0))))+1)),0)</f>
        <v/>
      </c>
      <c r="S179">
        <f>IFERROR((H179*N179*IF(AND(Inputs!$B$38&lt;&gt;"pvp",Inputs!$B$43&gt;0),((Skills!G11*((R179-1)*IF(Skills!H11&gt;0,Skills!I11/Skills!H11,1)+IF(Skills!H11&gt;0,MIN(Skills!I11,MAX(0,MAX(0,Inputs!$B$43-B207)-((R179-1)*IF(Inputs!$B$38="pvp",15,MAX(0.1,Skills!D11-IF(Skills!E11=TRUE,Inputs!$B$32,0))))))/Skills!H11,1)))/Inputs!$B$43),G179*Q179))/N179*IF(Inputs!$B$38="pvp",1,(1-Summary!$B$55)*1+Summary!$B$55*(MIN(Skills!R11,Inputs!$B$37))),0)</f>
        <v/>
      </c>
      <c r="T179">
        <f>IF(C179,(H179*N179*IF(AND(Inputs!$B$38&lt;&gt;"pvp",Inputs!$B$43&gt;0),((Skills!G11*((R179-1)*IF(Skills!H11&gt;0,Skills!I11/Skills!H11,1)+IF(Skills!H11&gt;0,MIN(Skills!I11,MAX(0,MAX(0,Inputs!$B$43-B207)-((R179-1)*IF(Inputs!$B$38="pvp",15,MAX(0.1,Skills!D11-IF(Skills!E11=TRUE,Inputs!$B$32,0))))))/Skills!H11,1)))/Inputs!$B$43),G179*Q179))*IF(Inputs!$B$38="pvp",1,1+(Inputs!$B$20+0+Skills!P11)/100),0)</f>
        <v/>
      </c>
      <c r="V179">
        <f>IF(C179,(H179*N179*IF(AND(Inputs!$B$38&lt;&gt;"pvp",Inputs!$B$43&gt;0),((Skills!G11*((R179-1)*IF(Skills!H11&gt;0,Skills!I11/Skills!H11,1)+IF(Skills!H11&gt;0,MIN(Skills!I11,MAX(0,MAX(0,Inputs!$B$43-B207)-((R179-1)*IF(Inputs!$B$38="pvp",15,MAX(0.1,Skills!D11-IF(Skills!E11=TRUE,Inputs!$B$32,0))))))/Skills!H11,1)))/Inputs!$B$43),G179*Q179))*IF(Inputs!$B$38="pvp",1,(1+(Inputs!$B$21+Skills!Q11)/100)*(MIN(Skills!R11,Inputs!$B$37))),0)</f>
        <v/>
      </c>
    </row>
    <row r="180">
      <c r="A180">
        <f>Skills!A12</f>
        <v/>
      </c>
      <c r="B180">
        <f>Skills!B12</f>
        <v/>
      </c>
      <c r="C180">
        <f>Inputs!$B$3&gt;=60</f>
        <v/>
      </c>
      <c r="D180">
        <f>IF(Skills!C12=1,60+Inputs!$B$25+Inputs!$B$29,IF(Skills!C12=2,90+Inputs!$B$26+Inputs!$B$29,IF(Skills!C12=3,120+Inputs!$B$27+Inputs!$B$29,MAX(0,(Inputs!$B$3-100)*3)+Inputs!$B$28+Inputs!$B$29)))</f>
        <v/>
      </c>
      <c r="E180">
        <f>INDEX(FactorTable!$B$2:$Y$301, MATCH(ROUND(MIN(300,MAX(1,D180)),0), FactorTable!$A$2:$A$301,0), Skills!M12+1)</f>
        <v/>
      </c>
      <c r="F180">
        <f>IF(Skills!N12=TRUE,(Skills!L12/10)*(E180/1000),Skills!L12/10)+Skills!O12</f>
        <v/>
      </c>
      <c r="G180">
        <f>Skills!G12*IF(Skills!H12&gt;0,Skills!I12/Skills!H12,1)</f>
        <v/>
      </c>
      <c r="H180">
        <f>1-(1-Skills!J12/100)^Skills!K12</f>
        <v/>
      </c>
      <c r="I180" t="inlineStr">
        <is>
          <t>1</t>
        </is>
      </c>
      <c r="J180" t="inlineStr"/>
      <c r="K180" t="inlineStr"/>
      <c r="L180" t="inlineStr"/>
      <c r="M180" t="inlineStr"/>
      <c r="N180" t="inlineStr"/>
      <c r="O180">
        <f>(1-Summary!$B$55)*T180+Summary!$B$55*V180</f>
        <v/>
      </c>
      <c r="P180">
        <f>IF(B210=0,0,O180/B210)</f>
        <v/>
      </c>
      <c r="Q180" t="n">
        <v>0</v>
      </c>
      <c r="R180" t="n">
        <v>0</v>
      </c>
      <c r="S180" t="n">
        <v>0</v>
      </c>
      <c r="T180" t="n">
        <v>0</v>
      </c>
      <c r="V180" t="n">
        <v>0</v>
      </c>
    </row>
    <row r="181">
      <c r="A181">
        <f>Skills!A13</f>
        <v/>
      </c>
      <c r="B181">
        <f>Skills!B13</f>
        <v/>
      </c>
      <c r="C181">
        <f>Inputs!$B$3&gt;=74</f>
        <v/>
      </c>
      <c r="D181">
        <f>IF(Skills!C13=1,60+Inputs!$B$25+Inputs!$B$29,IF(Skills!C13=2,90+Inputs!$B$26+Inputs!$B$29,IF(Skills!C13=3,120+Inputs!$B$27+Inputs!$B$29,MAX(0,(Inputs!$B$3-100)*3)+Inputs!$B$28+Inputs!$B$29)))</f>
        <v/>
      </c>
      <c r="E181">
        <f>INDEX(FactorTable!$B$2:$Y$301, MATCH(ROUND(MIN(300,MAX(1,D181)),0), FactorTable!$A$2:$A$301,0), Skills!M13+1)</f>
        <v/>
      </c>
      <c r="F181">
        <f>IF(Skills!N13=TRUE,(Skills!L13/10)*(E181/1000),Skills!L13/10)+Skills!O13</f>
        <v/>
      </c>
      <c r="G181">
        <f>Skills!G13*IF(Skills!H13&gt;0,Skills!I13/Skills!H13,1)</f>
        <v/>
      </c>
      <c r="H181">
        <f>1-(1-Skills!J13/100)^Skills!K13</f>
        <v/>
      </c>
      <c r="I181" t="inlineStr">
        <is>
          <t>1</t>
        </is>
      </c>
      <c r="J181" t="inlineStr"/>
      <c r="K181" t="inlineStr"/>
      <c r="L181" t="inlineStr"/>
      <c r="M181" t="inlineStr"/>
      <c r="N181" t="inlineStr"/>
      <c r="O181">
        <f>(1-Summary!$B$55)*T181+Summary!$B$55*V181</f>
        <v/>
      </c>
      <c r="P181">
        <f>IF(B210=0,0,O181/B210)</f>
        <v/>
      </c>
      <c r="Q181" t="n">
        <v>0</v>
      </c>
      <c r="R181" t="n">
        <v>0</v>
      </c>
      <c r="S181" t="n">
        <v>0</v>
      </c>
      <c r="T181" t="n">
        <v>0</v>
      </c>
      <c r="V181" t="n">
        <v>0</v>
      </c>
    </row>
    <row r="182">
      <c r="A182">
        <f>Skills!A14</f>
        <v/>
      </c>
      <c r="B182">
        <f>Skills!B14</f>
        <v/>
      </c>
      <c r="C182">
        <f>Inputs!$B$3&gt;=74</f>
        <v/>
      </c>
      <c r="D182">
        <f>IF(Skills!C14=1,60+Inputs!$B$25+Inputs!$B$29,IF(Skills!C14=2,90+Inputs!$B$26+Inputs!$B$29,IF(Skills!C14=3,120+Inputs!$B$27+Inputs!$B$29,MAX(0,(Inputs!$B$3-100)*3)+Inputs!$B$28+Inputs!$B$29)))</f>
        <v/>
      </c>
      <c r="E182">
        <f>INDEX(FactorTable!$B$2:$Y$301, MATCH(ROUND(MIN(300,MAX(1,D182)),0), FactorTable!$A$2:$A$301,0), Skills!M14+1)</f>
        <v/>
      </c>
      <c r="F182">
        <f>IF(Skills!N14=TRUE,(Skills!L14/10)*(E182/1000),Skills!L14/10)+Skills!O14</f>
        <v/>
      </c>
      <c r="G182">
        <f>Skills!G14*IF(Skills!H14&gt;0,Skills!I14/Skills!H14,1)</f>
        <v/>
      </c>
      <c r="H182">
        <f>1-(1-Skills!J14/100)^Skills!K14</f>
        <v/>
      </c>
      <c r="I182" t="inlineStr">
        <is>
          <t>1</t>
        </is>
      </c>
      <c r="J182" t="inlineStr"/>
      <c r="K182" t="inlineStr"/>
      <c r="L182" t="inlineStr"/>
      <c r="M182" t="inlineStr"/>
      <c r="N182" t="inlineStr"/>
      <c r="O182">
        <f>(1-Summary!$B$55)*T182+Summary!$B$55*V182</f>
        <v/>
      </c>
      <c r="P182">
        <f>IF(B210=0,0,O182/B210)</f>
        <v/>
      </c>
      <c r="Q182" t="n">
        <v>0</v>
      </c>
      <c r="R182" t="n">
        <v>0</v>
      </c>
      <c r="S182" t="n">
        <v>0</v>
      </c>
      <c r="T182" t="n">
        <v>0</v>
      </c>
      <c r="V182" t="n">
        <v>0</v>
      </c>
    </row>
    <row r="183">
      <c r="A183">
        <f>Skills!A15</f>
        <v/>
      </c>
      <c r="B183">
        <f>Skills!B15</f>
        <v/>
      </c>
      <c r="C183">
        <f>Inputs!$B$3&gt;=117</f>
        <v/>
      </c>
      <c r="D183">
        <f>IF(Skills!C15=1,60+Inputs!$B$25+Inputs!$B$29,IF(Skills!C15=2,90+Inputs!$B$26+Inputs!$B$29,IF(Skills!C15=3,120+Inputs!$B$27+Inputs!$B$29,MAX(0,(Inputs!$B$3-100)*3)+Inputs!$B$28+Inputs!$B$29)))</f>
        <v/>
      </c>
      <c r="E183">
        <f>INDEX(FactorTable!$B$2:$Y$301, MATCH(ROUND(MIN(300,MAX(1,D183)),0), FactorTable!$A$2:$A$301,0), Skills!M15+1)</f>
        <v/>
      </c>
      <c r="F183">
        <f>IF(Skills!N15=TRUE,(Skills!L15/10)*(E183/1000),Skills!L15/10)+Skills!O15</f>
        <v/>
      </c>
      <c r="G183">
        <f>Skills!G15*IF(Skills!H15&gt;0,Skills!I15/Skills!H15,1)</f>
        <v/>
      </c>
      <c r="H183">
        <f>1-(1-Skills!J15/100)^Skills!K15</f>
        <v/>
      </c>
      <c r="I183" t="inlineStr">
        <is>
          <t>1</t>
        </is>
      </c>
      <c r="J183" t="inlineStr"/>
      <c r="K183" t="inlineStr"/>
      <c r="L183" t="inlineStr"/>
      <c r="M183" t="inlineStr"/>
      <c r="N183" t="inlineStr"/>
      <c r="O183">
        <f>(1-Summary!$B$55)*T183+Summary!$B$55*V183</f>
        <v/>
      </c>
      <c r="P183">
        <f>IF(B210=0,0,O183/B210)</f>
        <v/>
      </c>
      <c r="Q183">
        <f>IFERROR(1/IF(Inputs!$B$38="pvp",15,MAX(0.1,Skills!D15-IF(Skills!E15=TRUE,Inputs!$B$32,0))),0)</f>
        <v/>
      </c>
      <c r="R183">
        <f>IF(AND(Inputs!$B$38&lt;&gt;"pvp",Inputs!$B$43&gt;0),IF(Inputs!$B$43&lt;=0,0,(INT(Inputs!$B$43/IF(Inputs!$B$38="pvp",15,MAX(0.1,Skills!D15-IF(Skills!E15=TRUE,Inputs!$B$32,0))))+1)),0)</f>
        <v/>
      </c>
      <c r="S183" t="n">
        <v>0</v>
      </c>
      <c r="T183" t="n">
        <v>0</v>
      </c>
      <c r="V183" t="n">
        <v>0</v>
      </c>
    </row>
    <row r="184">
      <c r="A184">
        <f>Skills!A16</f>
        <v/>
      </c>
      <c r="B184">
        <f>Skills!B16</f>
        <v/>
      </c>
      <c r="C184">
        <f>Inputs!$B$3&gt;=115</f>
        <v/>
      </c>
      <c r="D184">
        <f>IF(Skills!C16=1,60+Inputs!$B$25+Inputs!$B$29,IF(Skills!C16=2,90+Inputs!$B$26+Inputs!$B$29,IF(Skills!C16=3,120+Inputs!$B$27+Inputs!$B$29,MAX(0,(Inputs!$B$3-100)*3)+Inputs!$B$28+Inputs!$B$29)))</f>
        <v/>
      </c>
      <c r="E184">
        <f>INDEX(FactorTable!$B$2:$Y$301, MATCH(ROUND(MIN(300,MAX(1,D184)),0), FactorTable!$A$2:$A$301,0), Skills!M16+1)</f>
        <v/>
      </c>
      <c r="F184">
        <f>IF(Skills!N16=TRUE,(Skills!L16/10)*(E184/1000),Skills!L16/10)+Skills!O16</f>
        <v/>
      </c>
      <c r="G184">
        <f>Skills!G16*IF(Skills!H16&gt;0,Skills!I16/Skills!H16,1)</f>
        <v/>
      </c>
      <c r="H184">
        <f>1-(1-Skills!J16/100)^Skills!K16</f>
        <v/>
      </c>
      <c r="I184" t="inlineStr">
        <is>
          <t>1</t>
        </is>
      </c>
      <c r="J184" t="inlineStr"/>
      <c r="K184" t="inlineStr"/>
      <c r="L184" t="inlineStr"/>
      <c r="M184" t="inlineStr"/>
      <c r="N184" t="inlineStr"/>
      <c r="O184">
        <f>(1-Summary!$B$55)*T184+Summary!$B$55*V184</f>
        <v/>
      </c>
      <c r="P184">
        <f>IF(B210=0,0,O184/B210)</f>
        <v/>
      </c>
      <c r="Q184">
        <f>IFERROR(1/IF(Inputs!$B$38="pvp",15,MAX(0.1,Skills!D16-IF(Skills!E16=TRUE,Inputs!$B$32,0))),0)</f>
        <v/>
      </c>
      <c r="R184">
        <f>IF(AND(Inputs!$B$38&lt;&gt;"pvp",Inputs!$B$43&gt;0),IF(Inputs!$B$43&lt;=0,0,(INT(Inputs!$B$43/IF(Inputs!$B$38="pvp",15,MAX(0.1,Skills!D16-IF(Skills!E16=TRUE,Inputs!$B$32,0))))+1)),0)</f>
        <v/>
      </c>
      <c r="S184" t="n">
        <v>0</v>
      </c>
      <c r="T184" t="n">
        <v>0</v>
      </c>
      <c r="V184" t="n">
        <v>0</v>
      </c>
    </row>
    <row r="185">
      <c r="A185">
        <f>Skills!A17</f>
        <v/>
      </c>
      <c r="B185">
        <f>Skills!B17</f>
        <v/>
      </c>
      <c r="C185">
        <f>Inputs!$B$3&gt;=72</f>
        <v/>
      </c>
      <c r="D185">
        <f>IF(Skills!C17=1,60+Inputs!$B$25+Inputs!$B$29,IF(Skills!C17=2,90+Inputs!$B$26+Inputs!$B$29,IF(Skills!C17=3,120+Inputs!$B$27+Inputs!$B$29,MAX(0,(Inputs!$B$3-100)*3)+Inputs!$B$28+Inputs!$B$29)))</f>
        <v/>
      </c>
      <c r="E185">
        <f>INDEX(FactorTable!$B$2:$Y$301, MATCH(ROUND(MIN(300,MAX(1,D185)),0), FactorTable!$A$2:$A$301,0), Skills!M17+1)</f>
        <v/>
      </c>
      <c r="F185">
        <f>IF(Skills!N17=TRUE,(Skills!L17/10)*(E185/1000),Skills!L17/10)+Skills!O17</f>
        <v/>
      </c>
      <c r="G185">
        <f>Skills!G17*IF(Skills!H17&gt;0,Skills!I17/Skills!H17,1)</f>
        <v/>
      </c>
      <c r="H185">
        <f>1-(1-Skills!J17/100)^Skills!K17</f>
        <v/>
      </c>
      <c r="I185" t="inlineStr">
        <is>
          <t>1</t>
        </is>
      </c>
      <c r="J185" t="inlineStr"/>
      <c r="K185" t="inlineStr"/>
      <c r="L185" t="inlineStr"/>
      <c r="M185" t="inlineStr"/>
      <c r="N185" t="inlineStr"/>
      <c r="O185">
        <f>(1-Summary!$B$55)*T185+Summary!$B$55*V185</f>
        <v/>
      </c>
      <c r="P185">
        <f>IF(B210=0,0,O185/B210)</f>
        <v/>
      </c>
      <c r="Q185" t="n">
        <v>0</v>
      </c>
      <c r="R185" t="n">
        <v>0</v>
      </c>
      <c r="S185" t="n">
        <v>0</v>
      </c>
      <c r="T185" t="n">
        <v>0</v>
      </c>
      <c r="V185" t="n">
        <v>0</v>
      </c>
    </row>
    <row r="186">
      <c r="A186">
        <f>Skills!A18</f>
        <v/>
      </c>
      <c r="B186">
        <f>Skills!B18</f>
        <v/>
      </c>
      <c r="C186">
        <f>TRUE</f>
        <v/>
      </c>
      <c r="D186">
        <f>IF(Skills!C18=1,60+Inputs!$B$25+Inputs!$B$29,IF(Skills!C18=2,90+Inputs!$B$26+Inputs!$B$29,IF(Skills!C18=3,120+Inputs!$B$27+Inputs!$B$29,MAX(0,(Inputs!$B$3-100)*3)+Inputs!$B$28+Inputs!$B$29)))</f>
        <v/>
      </c>
      <c r="E186">
        <f>INDEX(FactorTable!$B$2:$Y$301, MATCH(ROUND(MIN(300,MAX(1,D186)),0), FactorTable!$A$2:$A$301,0), Skills!M18+1)</f>
        <v/>
      </c>
      <c r="F186">
        <f>IF(Skills!N18=TRUE,(Skills!L18/10)*(E186/1000),Skills!L18/10)+Skills!O18</f>
        <v/>
      </c>
      <c r="G186">
        <f>Skills!G18*IF(Skills!H18&gt;0,Skills!I18/Skills!H18,1)</f>
        <v/>
      </c>
      <c r="H186">
        <f>1-(1-Skills!J18/100)^Skills!K18</f>
        <v/>
      </c>
      <c r="I186" t="inlineStr">
        <is>
          <t>1</t>
        </is>
      </c>
      <c r="J186" t="inlineStr"/>
      <c r="K186" t="inlineStr"/>
      <c r="L186" t="inlineStr"/>
      <c r="M186" t="inlineStr"/>
      <c r="N186" t="inlineStr"/>
      <c r="O186">
        <f>(1-Summary!$B$55)*T186+Summary!$B$55*V186</f>
        <v/>
      </c>
      <c r="P186">
        <f>IF(B210=0,0,O186/B210)</f>
        <v/>
      </c>
      <c r="Q186">
        <f>IFERROR(1/IF(Inputs!$B$38="pvp",15,MAX(0.1,Skills!D18-IF(Skills!E18=TRUE,Inputs!$B$32,0))),0)</f>
        <v/>
      </c>
      <c r="R186">
        <f>IF(AND(Inputs!$B$38&lt;&gt;"pvp",Inputs!$B$43&gt;0),IF(Inputs!$B$43&lt;=0,0,(INT(Inputs!$B$43/IF(Inputs!$B$38="pvp",15,MAX(0.1,Skills!D18-IF(Skills!E18=TRUE,Inputs!$B$32,0))))+1)),0)</f>
        <v/>
      </c>
      <c r="S186" t="n">
        <v>0</v>
      </c>
      <c r="T186" t="n">
        <v>0</v>
      </c>
      <c r="V186" t="n">
        <v>0</v>
      </c>
    </row>
    <row r="187">
      <c r="A187">
        <f>Skills!A19</f>
        <v/>
      </c>
      <c r="B187">
        <f>Skills!B19</f>
        <v/>
      </c>
      <c r="C187">
        <f>Inputs!$B$3&gt;=15</f>
        <v/>
      </c>
      <c r="D187">
        <f>IF(Skills!C19=1,60+Inputs!$B$25+Inputs!$B$29,IF(Skills!C19=2,90+Inputs!$B$26+Inputs!$B$29,IF(Skills!C19=3,120+Inputs!$B$27+Inputs!$B$29,MAX(0,(Inputs!$B$3-100)*3)+Inputs!$B$28+Inputs!$B$29)))</f>
        <v/>
      </c>
      <c r="E187">
        <f>INDEX(FactorTable!$B$2:$Y$301, MATCH(ROUND(MIN(300,MAX(1,D187)),0), FactorTable!$A$2:$A$301,0), Skills!M19+1)</f>
        <v/>
      </c>
      <c r="F187">
        <f>IF(Skills!N19=TRUE,(Skills!L19/10)*(E187/1000),Skills!L19/10)+Skills!O19</f>
        <v/>
      </c>
      <c r="G187">
        <f>Skills!G19*IF(Skills!H19&gt;0,Skills!I19/Skills!H19,1)</f>
        <v/>
      </c>
      <c r="H187">
        <f>1-(1-Skills!J19/100)^Skills!K19</f>
        <v/>
      </c>
      <c r="I187" t="inlineStr">
        <is>
          <t>1</t>
        </is>
      </c>
      <c r="J187" t="inlineStr"/>
      <c r="K187" t="inlineStr"/>
      <c r="L187" t="inlineStr"/>
      <c r="M187" t="inlineStr"/>
      <c r="N187" t="inlineStr"/>
      <c r="O187">
        <f>(1-Summary!$B$55)*T187+Summary!$B$55*V187</f>
        <v/>
      </c>
      <c r="P187">
        <f>IF(B210=0,0,O187/B210)</f>
        <v/>
      </c>
      <c r="Q187" t="n">
        <v>0</v>
      </c>
      <c r="R187" t="n">
        <v>0</v>
      </c>
      <c r="S187" t="n">
        <v>0</v>
      </c>
      <c r="T187" t="n">
        <v>0</v>
      </c>
      <c r="V187" t="n">
        <v>0</v>
      </c>
    </row>
    <row r="188">
      <c r="A188">
        <f>Skills!A20</f>
        <v/>
      </c>
      <c r="B188">
        <f>Skills!B20</f>
        <v/>
      </c>
      <c r="C188">
        <f>Inputs!$B$3&gt;=10</f>
        <v/>
      </c>
      <c r="D188">
        <f>IF(Skills!C20=1,60+Inputs!$B$25+Inputs!$B$29,IF(Skills!C20=2,90+Inputs!$B$26+Inputs!$B$29,IF(Skills!C20=3,120+Inputs!$B$27+Inputs!$B$29,MAX(0,(Inputs!$B$3-100)*3)+Inputs!$B$28+Inputs!$B$29)))</f>
        <v/>
      </c>
      <c r="E188">
        <f>INDEX(FactorTable!$B$2:$Y$301, MATCH(ROUND(MIN(300,MAX(1,D188)),0), FactorTable!$A$2:$A$301,0), Skills!M20+1)</f>
        <v/>
      </c>
      <c r="F188">
        <f>IF(Skills!N20=TRUE,(Skills!L20/10)*(E188/1000),Skills!L20/10)+Skills!O20</f>
        <v/>
      </c>
      <c r="G188">
        <f>Skills!G20*IF(Skills!H20&gt;0,Skills!I20/Skills!H20,1)</f>
        <v/>
      </c>
      <c r="H188">
        <f>1-(1-Skills!J20/100)^Skills!K20</f>
        <v/>
      </c>
      <c r="I188" t="inlineStr">
        <is>
          <t>1</t>
        </is>
      </c>
      <c r="J188" t="inlineStr"/>
      <c r="K188" t="inlineStr"/>
      <c r="L188" t="inlineStr"/>
      <c r="M188" t="inlineStr"/>
      <c r="N188" t="inlineStr"/>
      <c r="O188">
        <f>(1-Summary!$B$55)*T188+Summary!$B$55*V188</f>
        <v/>
      </c>
      <c r="P188">
        <f>IF(B210=0,0,O188/B210)</f>
        <v/>
      </c>
      <c r="Q188" t="n">
        <v>0</v>
      </c>
      <c r="R188" t="n">
        <v>0</v>
      </c>
      <c r="S188" t="n">
        <v>0</v>
      </c>
      <c r="T188" t="n">
        <v>0</v>
      </c>
      <c r="V188" t="n">
        <v>0</v>
      </c>
    </row>
    <row r="189">
      <c r="A189">
        <f>Skills!A21</f>
        <v/>
      </c>
      <c r="B189">
        <f>Skills!B21</f>
        <v/>
      </c>
      <c r="C189">
        <f>Inputs!$B$3&gt;=33</f>
        <v/>
      </c>
      <c r="D189">
        <f>IF(Skills!C21=1,60+Inputs!$B$25+Inputs!$B$29,IF(Skills!C21=2,90+Inputs!$B$26+Inputs!$B$29,IF(Skills!C21=3,120+Inputs!$B$27+Inputs!$B$29,MAX(0,(Inputs!$B$3-100)*3)+Inputs!$B$28+Inputs!$B$29)))</f>
        <v/>
      </c>
      <c r="E189">
        <f>INDEX(FactorTable!$B$2:$Y$301, MATCH(ROUND(MIN(300,MAX(1,D189)),0), FactorTable!$A$2:$A$301,0), Skills!M21+1)</f>
        <v/>
      </c>
      <c r="F189">
        <f>IF(Skills!N21=TRUE,(Skills!L21/10)*(E189/1000),Skills!L21/10)+Skills!O21</f>
        <v/>
      </c>
      <c r="G189">
        <f>Skills!G21*IF(Skills!H21&gt;0,Skills!I21/Skills!H21,1)</f>
        <v/>
      </c>
      <c r="H189">
        <f>1-(1-Skills!J21/100)^Skills!K21</f>
        <v/>
      </c>
      <c r="I189" t="inlineStr">
        <is>
          <t>1</t>
        </is>
      </c>
      <c r="J189" t="inlineStr"/>
      <c r="K189" t="inlineStr"/>
      <c r="L189" t="inlineStr"/>
      <c r="M189" t="inlineStr"/>
      <c r="N189" t="inlineStr"/>
      <c r="O189">
        <f>(1-Summary!$B$55)*T189+Summary!$B$55*V189</f>
        <v/>
      </c>
      <c r="P189">
        <f>IF(B210=0,0,O189/B210)</f>
        <v/>
      </c>
      <c r="Q189" t="n">
        <v>0</v>
      </c>
      <c r="R189" t="n">
        <v>0</v>
      </c>
      <c r="S189" t="n">
        <v>0</v>
      </c>
      <c r="T189" t="n">
        <v>0</v>
      </c>
      <c r="V189" t="n">
        <v>0</v>
      </c>
    </row>
    <row r="190">
      <c r="A190">
        <f>Skills!A22</f>
        <v/>
      </c>
      <c r="B190">
        <f>Skills!B22</f>
        <v/>
      </c>
      <c r="C190">
        <f>Inputs!$B$3&gt;=38</f>
        <v/>
      </c>
      <c r="D190">
        <f>IF(Skills!C22=1,60+Inputs!$B$25+Inputs!$B$29,IF(Skills!C22=2,90+Inputs!$B$26+Inputs!$B$29,IF(Skills!C22=3,120+Inputs!$B$27+Inputs!$B$29,MAX(0,(Inputs!$B$3-100)*3)+Inputs!$B$28+Inputs!$B$29)))</f>
        <v/>
      </c>
      <c r="E190">
        <f>INDEX(FactorTable!$B$2:$Y$301, MATCH(ROUND(MIN(300,MAX(1,D190)),0), FactorTable!$A$2:$A$301,0), Skills!M22+1)</f>
        <v/>
      </c>
      <c r="F190">
        <f>IF(Skills!N22=TRUE,(Skills!L22/10)*(E190/1000),Skills!L22/10)+Skills!O22</f>
        <v/>
      </c>
      <c r="G190">
        <f>Skills!G22*IF(Skills!H22&gt;0,Skills!I22/Skills!H22,1)</f>
        <v/>
      </c>
      <c r="H190">
        <f>1-(1-Skills!J22/100)^Skills!K22</f>
        <v/>
      </c>
      <c r="I190" t="inlineStr">
        <is>
          <t>1</t>
        </is>
      </c>
      <c r="J190" t="inlineStr"/>
      <c r="K190" t="inlineStr"/>
      <c r="L190" t="inlineStr"/>
      <c r="M190" t="inlineStr"/>
      <c r="N190" t="inlineStr"/>
      <c r="O190">
        <f>(1-Summary!$B$55)*T190+Summary!$B$55*V190</f>
        <v/>
      </c>
      <c r="P190">
        <f>IF(B210=0,0,O190/B210)</f>
        <v/>
      </c>
      <c r="Q190" t="n">
        <v>0</v>
      </c>
      <c r="R190" t="n">
        <v>0</v>
      </c>
      <c r="S190" t="n">
        <v>0</v>
      </c>
      <c r="T190" t="n">
        <v>0</v>
      </c>
      <c r="V190" t="n">
        <v>0</v>
      </c>
    </row>
    <row r="191">
      <c r="A191">
        <f>Skills!A23</f>
        <v/>
      </c>
      <c r="B191">
        <f>Skills!B23</f>
        <v/>
      </c>
      <c r="C191">
        <f>Inputs!$B$3&gt;=43</f>
        <v/>
      </c>
      <c r="D191">
        <f>IF(Skills!C23=1,60+Inputs!$B$25+Inputs!$B$29,IF(Skills!C23=2,90+Inputs!$B$26+Inputs!$B$29,IF(Skills!C23=3,120+Inputs!$B$27+Inputs!$B$29,MAX(0,(Inputs!$B$3-100)*3)+Inputs!$B$28+Inputs!$B$29)))</f>
        <v/>
      </c>
      <c r="E191">
        <f>INDEX(FactorTable!$B$2:$Y$301, MATCH(ROUND(MIN(300,MAX(1,D191)),0), FactorTable!$A$2:$A$301,0), Skills!M23+1)</f>
        <v/>
      </c>
      <c r="F191">
        <f>IF(Skills!N23=TRUE,(Skills!L23/10)*(E191/1000),Skills!L23/10)+Skills!O23</f>
        <v/>
      </c>
      <c r="G191">
        <f>Skills!G23*IF(Skills!H23&gt;0,Skills!I23/Skills!H23,1)</f>
        <v/>
      </c>
      <c r="H191">
        <f>1-(1-Skills!J23/100)^Skills!K23</f>
        <v/>
      </c>
      <c r="I191" t="inlineStr">
        <is>
          <t>1</t>
        </is>
      </c>
      <c r="J191" t="inlineStr"/>
      <c r="K191" t="inlineStr"/>
      <c r="L191" t="inlineStr"/>
      <c r="M191" t="inlineStr"/>
      <c r="N191" t="inlineStr"/>
      <c r="O191">
        <f>(1-Summary!$B$55)*T191+Summary!$B$55*V191</f>
        <v/>
      </c>
      <c r="P191">
        <f>IF(B210=0,0,O191/B210)</f>
        <v/>
      </c>
      <c r="Q191" t="n">
        <v>0</v>
      </c>
      <c r="R191" t="n">
        <v>0</v>
      </c>
      <c r="S191" t="n">
        <v>0</v>
      </c>
      <c r="T191" t="n">
        <v>0</v>
      </c>
      <c r="V191" t="n">
        <v>0</v>
      </c>
    </row>
    <row r="192">
      <c r="A192">
        <f>Skills!A24</f>
        <v/>
      </c>
      <c r="B192">
        <f>Skills!B24</f>
        <v/>
      </c>
      <c r="C192">
        <f>Inputs!$B$3&gt;=75</f>
        <v/>
      </c>
      <c r="D192">
        <f>IF(Skills!C24=1,60+Inputs!$B$25+Inputs!$B$29,IF(Skills!C24=2,90+Inputs!$B$26+Inputs!$B$29,IF(Skills!C24=3,120+Inputs!$B$27+Inputs!$B$29,MAX(0,(Inputs!$B$3-100)*3)+Inputs!$B$28+Inputs!$B$29)))</f>
        <v/>
      </c>
      <c r="E192">
        <f>INDEX(FactorTable!$B$2:$Y$301, MATCH(ROUND(MIN(300,MAX(1,D192)),0), FactorTable!$A$2:$A$301,0), Skills!M24+1)</f>
        <v/>
      </c>
      <c r="F192">
        <f>IF(Skills!N24=TRUE,(Skills!L24/10)*(E192/1000),Skills!L24/10)+Skills!O24</f>
        <v/>
      </c>
      <c r="G192">
        <f>Skills!G24*IF(Skills!H24&gt;0,Skills!I24/Skills!H24,1)</f>
        <v/>
      </c>
      <c r="H192">
        <f>1-(1-Skills!J24/100)^Skills!K24</f>
        <v/>
      </c>
      <c r="I192" t="inlineStr">
        <is>
          <t>1</t>
        </is>
      </c>
      <c r="J192" t="inlineStr"/>
      <c r="K192" t="inlineStr"/>
      <c r="L192" t="inlineStr"/>
      <c r="M192" t="inlineStr"/>
      <c r="N192" t="inlineStr"/>
      <c r="O192">
        <f>(1-Summary!$B$55)*T192+Summary!$B$55*V192</f>
        <v/>
      </c>
      <c r="P192">
        <f>IF(B210=0,0,O192/B210)</f>
        <v/>
      </c>
      <c r="Q192" t="n">
        <v>0</v>
      </c>
      <c r="R192" t="n">
        <v>0</v>
      </c>
      <c r="S192" t="n">
        <v>0</v>
      </c>
      <c r="T192" t="n">
        <v>0</v>
      </c>
      <c r="V192" t="n">
        <v>0</v>
      </c>
    </row>
    <row r="193">
      <c r="A193">
        <f>Skills!A25</f>
        <v/>
      </c>
      <c r="B193">
        <f>Skills!B25</f>
        <v/>
      </c>
      <c r="C193">
        <f>Inputs!$B$3&gt;=125</f>
        <v/>
      </c>
      <c r="D193">
        <f>IF(Skills!C25=1,60+Inputs!$B$25+Inputs!$B$29,IF(Skills!C25=2,90+Inputs!$B$26+Inputs!$B$29,IF(Skills!C25=3,120+Inputs!$B$27+Inputs!$B$29,MAX(0,(Inputs!$B$3-100)*3)+Inputs!$B$28+Inputs!$B$29)))</f>
        <v/>
      </c>
      <c r="E193">
        <f>INDEX(FactorTable!$B$2:$Y$301, MATCH(ROUND(MIN(300,MAX(1,D193)),0), FactorTable!$A$2:$A$301,0), Skills!M25+1)</f>
        <v/>
      </c>
      <c r="F193">
        <f>IF(Skills!N25=TRUE,(Skills!L25/10)*(E193/1000),Skills!L25/10)+Skills!O25</f>
        <v/>
      </c>
      <c r="G193">
        <f>Skills!G25*IF(Skills!H25&gt;0,Skills!I25/Skills!H25,1)</f>
        <v/>
      </c>
      <c r="H193">
        <f>1-(1-Skills!J25/100)^Skills!K25</f>
        <v/>
      </c>
      <c r="I193" t="inlineStr">
        <is>
          <t>1</t>
        </is>
      </c>
      <c r="J193" t="inlineStr"/>
      <c r="K193" t="inlineStr"/>
      <c r="L193" t="inlineStr"/>
      <c r="M193" t="inlineStr"/>
      <c r="N193" t="inlineStr"/>
      <c r="O193">
        <f>(1-Summary!$B$55)*T193+Summary!$B$55*V193</f>
        <v/>
      </c>
      <c r="P193">
        <f>IF(B210=0,0,O193/B210)</f>
        <v/>
      </c>
      <c r="Q193" t="n">
        <v>0</v>
      </c>
      <c r="R193" t="n">
        <v>0</v>
      </c>
      <c r="S193" t="n">
        <v>0</v>
      </c>
      <c r="T193" t="n">
        <v>0</v>
      </c>
      <c r="V193" t="n">
        <v>0</v>
      </c>
    </row>
    <row r="194">
      <c r="A194">
        <f>Skills!A26</f>
        <v/>
      </c>
      <c r="B194">
        <f>Skills!B26</f>
        <v/>
      </c>
      <c r="C194">
        <f>Inputs!$B$3&gt;=125</f>
        <v/>
      </c>
      <c r="D194">
        <f>IF(Skills!C26=1,60+Inputs!$B$25+Inputs!$B$29,IF(Skills!C26=2,90+Inputs!$B$26+Inputs!$B$29,IF(Skills!C26=3,120+Inputs!$B$27+Inputs!$B$29,MAX(0,(Inputs!$B$3-100)*3)+Inputs!$B$28+Inputs!$B$29)))</f>
        <v/>
      </c>
      <c r="E194">
        <f>INDEX(FactorTable!$B$2:$Y$301, MATCH(ROUND(MIN(300,MAX(1,D194)),0), FactorTable!$A$2:$A$301,0), Skills!M26+1)</f>
        <v/>
      </c>
      <c r="F194">
        <f>IF(Skills!N26=TRUE,(Skills!L26/10)*(E194/1000),Skills!L26/10)+Skills!O26</f>
        <v/>
      </c>
      <c r="G194">
        <f>Skills!G26*IF(Skills!H26&gt;0,Skills!I26/Skills!H26,1)</f>
        <v/>
      </c>
      <c r="H194">
        <f>1-(1-Skills!J26/100)^Skills!K26</f>
        <v/>
      </c>
      <c r="I194" t="inlineStr">
        <is>
          <t>1</t>
        </is>
      </c>
      <c r="J194" t="inlineStr"/>
      <c r="K194" t="inlineStr"/>
      <c r="L194" t="inlineStr"/>
      <c r="M194" t="inlineStr"/>
      <c r="N194" t="inlineStr"/>
      <c r="O194">
        <f>(1-Summary!$B$55)*T194+Summary!$B$55*V194</f>
        <v/>
      </c>
      <c r="P194">
        <f>IF(B210=0,0,O194/B210)</f>
        <v/>
      </c>
      <c r="Q194" t="n">
        <v>0</v>
      </c>
      <c r="R194" t="n">
        <v>0</v>
      </c>
      <c r="S194" t="n">
        <v>0</v>
      </c>
      <c r="T194" t="n">
        <v>0</v>
      </c>
      <c r="V194" t="n">
        <v>0</v>
      </c>
    </row>
    <row r="195">
      <c r="A195">
        <f>Skills!A27</f>
        <v/>
      </c>
      <c r="B195">
        <f>Skills!B27</f>
        <v/>
      </c>
      <c r="C195">
        <f>Inputs!$B$3&gt;=120</f>
        <v/>
      </c>
      <c r="D195">
        <f>IF(Skills!C27=1,60+Inputs!$B$25+Inputs!$B$29,IF(Skills!C27=2,90+Inputs!$B$26+Inputs!$B$29,IF(Skills!C27=3,120+Inputs!$B$27+Inputs!$B$29,MAX(0,(Inputs!$B$3-100)*3)+Inputs!$B$28+Inputs!$B$29)))</f>
        <v/>
      </c>
      <c r="E195">
        <f>INDEX(FactorTable!$B$2:$Y$301, MATCH(ROUND(MIN(300,MAX(1,D195)),0), FactorTable!$A$2:$A$301,0), Skills!M27+1)</f>
        <v/>
      </c>
      <c r="F195">
        <f>IF(Skills!N27=TRUE,(Skills!L27/10)*(E195/1000),Skills!L27/10)+Skills!O27</f>
        <v/>
      </c>
      <c r="G195">
        <f>Skills!G27*IF(Skills!H27&gt;0,Skills!I27/Skills!H27,1)</f>
        <v/>
      </c>
      <c r="H195">
        <f>1-(1-Skills!J27/100)^Skills!K27</f>
        <v/>
      </c>
      <c r="I195" t="inlineStr">
        <is>
          <t>1</t>
        </is>
      </c>
      <c r="J195" t="inlineStr"/>
      <c r="K195" t="inlineStr"/>
      <c r="L195" t="inlineStr"/>
      <c r="M195" t="inlineStr"/>
      <c r="N195" t="inlineStr"/>
      <c r="O195">
        <f>(1-Summary!$B$55)*T195+Summary!$B$55*V195</f>
        <v/>
      </c>
      <c r="P195">
        <f>IF(B210=0,0,O195/B210)</f>
        <v/>
      </c>
      <c r="Q195" t="n">
        <v>0</v>
      </c>
      <c r="R195" t="n">
        <v>0</v>
      </c>
      <c r="S195" t="n">
        <v>0</v>
      </c>
      <c r="T195" t="n">
        <v>0</v>
      </c>
      <c r="V195" t="n">
        <v>0</v>
      </c>
    </row>
    <row r="196">
      <c r="A196">
        <f>Skills!A28</f>
        <v/>
      </c>
      <c r="B196">
        <f>Skills!B28</f>
        <v/>
      </c>
      <c r="C196">
        <f>Inputs!$B$3&gt;=120</f>
        <v/>
      </c>
      <c r="D196">
        <f>IF(Skills!C28=1,60+Inputs!$B$25+Inputs!$B$29,IF(Skills!C28=2,90+Inputs!$B$26+Inputs!$B$29,IF(Skills!C28=3,120+Inputs!$B$27+Inputs!$B$29,MAX(0,(Inputs!$B$3-100)*3)+Inputs!$B$28+Inputs!$B$29)))</f>
        <v/>
      </c>
      <c r="E196">
        <f>INDEX(FactorTable!$B$2:$Y$301, MATCH(ROUND(MIN(300,MAX(1,D196)),0), FactorTable!$A$2:$A$301,0), Skills!M28+1)</f>
        <v/>
      </c>
      <c r="F196">
        <f>IF(Skills!N28=TRUE,(Skills!L28/10)*(E196/1000),Skills!L28/10)+Skills!O28</f>
        <v/>
      </c>
      <c r="G196">
        <f>Skills!G28*IF(Skills!H28&gt;0,Skills!I28/Skills!H28,1)</f>
        <v/>
      </c>
      <c r="H196">
        <f>1-(1-Skills!J28/100)^Skills!K28</f>
        <v/>
      </c>
      <c r="I196" t="inlineStr">
        <is>
          <t>1</t>
        </is>
      </c>
      <c r="J196" t="inlineStr"/>
      <c r="K196" t="inlineStr"/>
      <c r="L196" t="inlineStr"/>
      <c r="M196" t="inlineStr"/>
      <c r="N196" t="inlineStr"/>
      <c r="O196">
        <f>(1-Summary!$B$55)*T196+Summary!$B$55*V196</f>
        <v/>
      </c>
      <c r="P196">
        <f>IF(B210=0,0,O196/B210)</f>
        <v/>
      </c>
      <c r="Q196" t="n">
        <v>0</v>
      </c>
      <c r="R196" t="n">
        <v>0</v>
      </c>
      <c r="S196" t="n">
        <v>0</v>
      </c>
      <c r="T196" t="n">
        <v>0</v>
      </c>
      <c r="V196" t="n">
        <v>0</v>
      </c>
    </row>
    <row r="197">
      <c r="A197">
        <f>Skills!A29</f>
        <v/>
      </c>
      <c r="B197">
        <f>Skills!B29</f>
        <v/>
      </c>
      <c r="C197">
        <f>Inputs!$B$3&gt;=45</f>
        <v/>
      </c>
      <c r="D197">
        <f>IF(Skills!C29=1,60+Inputs!$B$25+Inputs!$B$29,IF(Skills!C29=2,90+Inputs!$B$26+Inputs!$B$29,IF(Skills!C29=3,120+Inputs!$B$27+Inputs!$B$29,MAX(0,(Inputs!$B$3-100)*3)+Inputs!$B$28+Inputs!$B$29)))</f>
        <v/>
      </c>
      <c r="E197">
        <f>INDEX(FactorTable!$B$2:$Y$301, MATCH(ROUND(MIN(300,MAX(1,D197)),0), FactorTable!$A$2:$A$301,0), Skills!M29+1)</f>
        <v/>
      </c>
      <c r="F197">
        <f>IF(Skills!N29=TRUE,(Skills!L29/10)*(E197/1000),Skills!L29/10)+Skills!O29</f>
        <v/>
      </c>
      <c r="G197">
        <f>Skills!G29*IF(Skills!H29&gt;0,Skills!I29/Skills!H29,1)</f>
        <v/>
      </c>
      <c r="H197">
        <f>1-(1-Skills!J29/100)^Skills!K29</f>
        <v/>
      </c>
      <c r="I197" t="inlineStr">
        <is>
          <t>1</t>
        </is>
      </c>
      <c r="J197" t="inlineStr"/>
      <c r="K197" t="inlineStr"/>
      <c r="L197" t="inlineStr"/>
      <c r="M197" t="inlineStr"/>
      <c r="N197" t="inlineStr"/>
      <c r="O197">
        <f>(1-Summary!$B$55)*T197+Summary!$B$55*V197</f>
        <v/>
      </c>
      <c r="P197">
        <f>IF(B210=0,0,O197/B210)</f>
        <v/>
      </c>
      <c r="Q197" t="n">
        <v>0</v>
      </c>
      <c r="R197" t="n">
        <v>0</v>
      </c>
      <c r="S197" t="n">
        <v>0</v>
      </c>
      <c r="T197" t="n">
        <v>0</v>
      </c>
      <c r="V197" t="n">
        <v>0</v>
      </c>
    </row>
    <row r="199">
      <c r="A199" t="inlineStr">
        <is>
          <t>Attack% Bucket Multiplier</t>
        </is>
      </c>
      <c r="B199">
        <f>(1+(((C181=TRUE)*F181)+((C182=TRUE)*IF(Inputs!$B$38="pvp",F182,(1-Summary!$B$55)*(F182)+Summary!$B$55*(0)))+((C183=TRUE)*F183*IF(AND(Inputs!$B$38&lt;&gt;"pvp",Inputs!$B$43&gt;0),(((R183-1)*(Skills!T15*(1+Inputs!$B$34/100))+MIN((Skills!T15*(1+Inputs!$B$34/100)),MAX(0,Inputs!$B$43-((R183-1)*Skills!D15))))/Inputs!$B$43),IF(Inputs!$B$38="pvp",MIN((Skills!T15*(1+Inputs!$B$34/100)),15)/15,(Skills!T15*(1+Inputs!$B$34/100))/Skills!D15)))+((C180=TRUE)*F180)+((C197=TRUE)*(F197-Calc!F29)))/100)</f>
        <v/>
      </c>
    </row>
    <row r="200">
      <c r="A200" t="inlineStr">
        <is>
          <t>Global Crit Rate Bonus %</t>
        </is>
      </c>
      <c r="B200">
        <f>(C184=TRUE)*20*IF(AND(Inputs!$B$38&lt;&gt;"pvp",Inputs!$B$43&gt;0),(((R184-1)*(Skills!T16*(1+Inputs!$B$34/100))+MIN((Skills!T16*(1+Inputs!$B$34/100)),MAX(0,Inputs!$B$43-((R184-1)*Skills!D16))))/Inputs!$B$43),IF(Inputs!$B$38="pvp",MIN((Skills!T16*(1+Inputs!$B$34/100)),15)/15,(Skills!T16*(1+Inputs!$B$34/100))/Skills!D16))</f>
        <v/>
      </c>
    </row>
    <row r="201">
      <c r="A201" t="inlineStr">
        <is>
          <t>Attack Speed Buff Bonus %</t>
        </is>
      </c>
      <c r="B201">
        <f>((C186=TRUE)*F186*IF(AND(Inputs!$B$38&lt;&gt;"pvp",Inputs!$B$43&gt;0),(((R186-1)*(Skills!T18*(1+Inputs!$B$34/100))+MIN((Skills!T18*(1+Inputs!$B$34/100)),MAX(0,Inputs!$B$43-((R186-1)*Skills!D18))))/Inputs!$B$43),IF(Inputs!$B$38="pvp",MIN((Skills!T18*(1+Inputs!$B$34/100)),15)/15,(Skills!T18*(1+Inputs!$B$34/100))/Skills!D18)))</f>
        <v/>
      </c>
    </row>
    <row r="202">
      <c r="A202" t="inlineStr">
        <is>
          <t>Actions Per Second</t>
        </is>
      </c>
      <c r="B202">
        <f>1+MIN(150,150*(1-(1-(Inputs!$B$11+((C188=TRUE)*(F188-Calc!F20))+((C189=TRUE)*(F189-Calc!F21)))/150)*(1-B201/150)))/100</f>
        <v/>
      </c>
    </row>
    <row r="203">
      <c r="A203" t="inlineStr">
        <is>
          <t>Skill + Buff Cast Rate</t>
        </is>
      </c>
      <c r="B203">
        <f>IF(AND(Inputs!$B$38&lt;&gt;"pvp",Inputs!$B$43&gt;0),SUMPRODUCT((Skills!E2:E29=TRUE)*(C170:C197=TRUE)*R170:R197*Skills!F2:F29)/Inputs!$B$43,SUMPRODUCT((Skills!E2:E29=TRUE)*(C170:C197=TRUE)*Q170:Q197*Skills!F2:F29))</f>
        <v/>
      </c>
    </row>
    <row r="204">
      <c r="A204" t="inlineStr">
        <is>
          <t>Empowered Piercing Arrow Casts Per Second</t>
        </is>
      </c>
      <c r="B204">
        <f>MAX(0,B202-B203)</f>
        <v/>
      </c>
    </row>
    <row r="205">
      <c r="A205" t="inlineStr">
        <is>
          <t>Global Critical Damage Bonus % (Sharp Eyes)</t>
        </is>
      </c>
      <c r="B205">
        <f>(C184=TRUE)*F184*IF(AND(Inputs!$B$38&lt;&gt;"pvp",Inputs!$B$43&gt;0),(((R184-1)*(Skills!T16*(1+Inputs!$B$34/100))+MIN((Skills!T16*(1+Inputs!$B$34/100)),MAX(0,Inputs!$B$43-((R184-1)*Skills!D16))))/Inputs!$B$43),IF(Inputs!$B$38="pvp",MIN((Skills!T16*(1+Inputs!$B$34/100)),15)/15,(Skills!T16*(1+Inputs!$B$34/100))/Skills!D16))</f>
        <v/>
      </c>
    </row>
    <row r="206">
      <c r="A206" t="inlineStr">
        <is>
          <t>Global Final Damage Bonus % (Mortal Blow + Last Man Standing conditional half)</t>
        </is>
      </c>
      <c r="B206">
        <f>(C185=TRUE)*F185+((C194=TRUE)*IF(Inputs!$B$38="pvp",F194,(1-Summary!$B$55)*(F194)+Summary!$B$55*(0)))</f>
        <v/>
      </c>
    </row>
    <row r="207">
      <c r="A207" t="inlineStr">
        <is>
          <t>Buff-Casting Startup Delay (s, fixed-duration only)</t>
        </is>
      </c>
      <c r="B207">
        <f>IF(AND(Inputs!$B$38&lt;&gt;"pvp",Inputs!$B$43&gt;0),SUMPRODUCT((Skills!T2:T29&gt;0)*(Skills!E2:E29=TRUE)*(C170:C197=TRUE))/B202,0)</f>
        <v/>
      </c>
    </row>
    <row r="208">
      <c r="A208" t="inlineStr">
        <is>
          <t>Boss-Only Total DPS (this block's swept value)</t>
        </is>
      </c>
      <c r="B208">
        <f>SUM(T170:T197)</f>
        <v/>
      </c>
    </row>
    <row r="209">
      <c r="A209" t="inlineStr">
        <is>
          <t>Normal-Only Total DPS (this block's swept value)</t>
        </is>
      </c>
      <c r="B209">
        <f>SUM(V170:V197)</f>
        <v/>
      </c>
    </row>
    <row r="210">
      <c r="A210" s="5" t="inlineStr">
        <is>
          <t>TOTAL DPS</t>
        </is>
      </c>
      <c r="B210" s="5">
        <f>SUM(O170:O197)</f>
        <v/>
      </c>
    </row>
    <row r="213">
      <c r="A213" s="5" t="inlineStr">
        <is>
          <t>Stat: DAMAGE_AMP %</t>
        </is>
      </c>
    </row>
    <row r="214">
      <c r="A214" s="9" t="inlineStr">
        <is>
          <t>Key</t>
        </is>
      </c>
      <c r="B214" s="9" t="inlineStr">
        <is>
          <t>Name</t>
        </is>
      </c>
      <c r="C214" s="9" t="inlineStr">
        <is>
          <t>Unlocked</t>
        </is>
      </c>
      <c r="D214" s="9" t="inlineStr">
        <is>
          <t>InputLevel</t>
        </is>
      </c>
      <c r="E214" s="9" t="inlineStr">
        <is>
          <t>Factor</t>
        </is>
      </c>
      <c r="F214" s="9" t="inlineStr">
        <is>
          <t>CoefficientPercent</t>
        </is>
      </c>
      <c r="G214" s="9" t="inlineStr">
        <is>
          <t>EffectiveHits</t>
        </is>
      </c>
      <c r="H214" s="9" t="inlineStr">
        <is>
          <t>ProcProbability</t>
        </is>
      </c>
      <c r="I214" s="9" t="inlineStr">
        <is>
          <t>MapleHeroMultiplier</t>
        </is>
      </c>
      <c r="J214" s="9" t="inlineStr">
        <is>
          <t>BaseDamage</t>
        </is>
      </c>
      <c r="K214" s="9" t="inlineStr">
        <is>
          <t>BaseHitDamage</t>
        </is>
      </c>
      <c r="L214" s="9" t="inlineStr">
        <is>
          <t>NonCritAvg</t>
        </is>
      </c>
      <c r="M214" s="9" t="inlineStr">
        <is>
          <t>CritAvg</t>
        </is>
      </c>
      <c r="N214" s="9" t="inlineStr">
        <is>
          <t>ExpectedDamage(perHit)</t>
        </is>
      </c>
      <c r="O214" s="9" t="inlineStr">
        <is>
          <t>DPS</t>
        </is>
      </c>
      <c r="P214" s="9" t="inlineStr">
        <is>
          <t>% of Total</t>
        </is>
      </c>
      <c r="Q214" s="9" t="inlineStr">
        <is>
          <t>InvCooldown</t>
        </is>
      </c>
      <c r="R214" s="9" t="inlineStr">
        <is>
          <t>CastsInFight</t>
        </is>
      </c>
      <c r="S214" s="9" t="inlineStr">
        <is>
          <t>HitRate(perSec)</t>
        </is>
      </c>
      <c r="U214" t="inlineStr">
        <is>
          <t>helpers</t>
        </is>
      </c>
    </row>
    <row r="215">
      <c r="A215">
        <f>Skills!A2</f>
        <v/>
      </c>
      <c r="B215">
        <f>Skills!B2</f>
        <v/>
      </c>
      <c r="C215">
        <f>Inputs!$B$3&gt;=100</f>
        <v/>
      </c>
      <c r="D215" t="inlineStr"/>
      <c r="E215" t="inlineStr"/>
      <c r="F215">
        <f>U217+Skills!O2</f>
        <v/>
      </c>
      <c r="G215">
        <f>Skills!G2*IF(Skills!H2&gt;0,Skills!I2/Skills!H2,1)</f>
        <v/>
      </c>
      <c r="H215">
        <f>1-(1-Skills!J2/100)^Skills!K2</f>
        <v/>
      </c>
      <c r="I215" t="inlineStr">
        <is>
          <t>1</t>
        </is>
      </c>
      <c r="J215">
        <f>((Inputs!$B$6*(1+Inputs!$B$7/100))+(((Inputs!$B$12*(1+Inputs!$B$13/100))-(Inputs!$B$12*(1+Inputs!$B$13/100)))+0.25*(Inputs!$B$14-Inputs!$B$14))*(1+Inputs!$B$7/100))*(F215/100)</f>
        <v/>
      </c>
      <c r="K215">
        <f>J215*(1+((Inputs!$B$12*(1+Inputs!$B$13/100))*0.01+Inputs!$B$14*0.0025)/100)*(1+Inputs!$B$15/100)*(1+(Inputs!$B$16+1)/100)*(5000/(6000+Inputs!$B$42*(1-(Inputs!$B$19+0)/100)))*(1+(Inputs!$B$24+((C237=TRUE)*(F237-Calc!F24))+((C238=TRUE)*(F238-Calc!F25))+B251)/100)*(1+(IF(Skills!A2="EMPOWERED_PIERCING_ARROW",Inputs!$B$17+((C235=TRUE)*(F235-Calc!F22)),Inputs!$B$18+((C240=TRUE)*(F240-Calc!F27))))/100)*((1+(((C226=TRUE)*F226)+((C227=TRUE)*IF(Inputs!$B$38="pvp",F227,(1-Summary!$B$55)*(F227)+Summary!$B$55*(0)))+((C228=TRUE)*F228*IF(AND(Inputs!$B$38&lt;&gt;"pvp",Inputs!$B$43&gt;0),(((R228-1)*(Skills!T15*(1+Inputs!$B$34/100))+MIN((Skills!T15*(1+Inputs!$B$34/100)),MAX(0,Inputs!$B$43-((R228-1)*Skills!D15))))/Inputs!$B$43),IF(Inputs!$B$38="pvp",MIN((Skills!T15*(1+Inputs!$B$34/100)),15)/15,(Skills!T15*(1+Inputs!$B$34/100))/Skills!D15)))+((C225=TRUE)*F225)+((C242=TRUE)*(F242-Calc!F29)))/100)*I215)</f>
        <v/>
      </c>
      <c r="L215">
        <f>K215*(MIN(Inputs!$B$22+((C236=TRUE)*(F236-Calc!F23)),Inputs!$B$23+((C241=TRUE)*(F241-Calc!F28)))/100+(Inputs!$B$23+((C241=TRUE)*(F241-Calc!F28)))/100)/2</f>
        <v/>
      </c>
      <c r="M215">
        <f>L215*(1+(Inputs!$B$10+0+B250)/100)</f>
        <v/>
      </c>
      <c r="N215">
        <f>L215*(1-MIN((Inputs!$B$9+((C232=TRUE)*(F232-Calc!F19))+B245),100)/100)+M215*(MIN((Inputs!$B$9+((C232=TRUE)*(F232-Calc!F19))+B245),100)/100)</f>
        <v/>
      </c>
      <c r="O215">
        <f>(1-Summary!$B$55)*T215+Summary!$B$55*V215</f>
        <v/>
      </c>
      <c r="P215">
        <f>IF(B255=0,0,O215/B255)</f>
        <v/>
      </c>
      <c r="Q215" t="n">
        <v>0</v>
      </c>
      <c r="R215" t="n">
        <v>0</v>
      </c>
      <c r="S215">
        <f>IFERROR((Skills!G2*N215*B249)/N215*IF(Inputs!$B$38="pvp",1,(1-Summary!$B$55)*1+Summary!$B$55*(MIN((6+Inputs!$B$33),Inputs!$B$37))),0)</f>
        <v/>
      </c>
      <c r="T215">
        <f>IF(C215,(Skills!G2*N215*B249)*IF(Inputs!$B$38="pvp",1,1+(Inputs!$B$20+0+Skills!P2)/100),0)</f>
        <v/>
      </c>
      <c r="U215">
        <f>MAX(0,(Inputs!$B$3-100)*3)+Inputs!$B$28+Inputs!$B$29</f>
        <v/>
      </c>
      <c r="V215">
        <f>IF(C215,(Skills!G2*N215*B249)*IF(Inputs!$B$38="pvp",1,(1+(Inputs!$B$21+Skills!Q2)/100)*(MIN((6+Inputs!$B$33),Inputs!$B$37))),0)</f>
        <v/>
      </c>
    </row>
    <row r="216">
      <c r="A216">
        <f>Skills!A3</f>
        <v/>
      </c>
      <c r="B216">
        <f>Skills!B3</f>
        <v/>
      </c>
      <c r="C216">
        <f>Inputs!$B$3&gt;=50</f>
        <v/>
      </c>
      <c r="D216">
        <f>IF(Skills!C3=1,60+Inputs!$B$25+Inputs!$B$29,IF(Skills!C3=2,90+Inputs!$B$26+Inputs!$B$29,IF(Skills!C3=3,120+Inputs!$B$27+Inputs!$B$29,MAX(0,(Inputs!$B$3-100)*3)+Inputs!$B$28+Inputs!$B$29)))</f>
        <v/>
      </c>
      <c r="E216">
        <f>INDEX(FactorTable!$B$2:$Y$301, MATCH(ROUND(MIN(300,MAX(1,D216)),0), FactorTable!$A$2:$A$301,0), Skills!M3+1)</f>
        <v/>
      </c>
      <c r="F216">
        <f>IF(Skills!N3=TRUE,(Skills!L3/10)*(E216/1000),Skills!L3/10)+Skills!O3</f>
        <v/>
      </c>
      <c r="G216" t="inlineStr"/>
      <c r="H216" t="inlineStr"/>
      <c r="I216" t="inlineStr">
        <is>
          <t>1</t>
        </is>
      </c>
      <c r="J216" t="inlineStr"/>
      <c r="K216" t="inlineStr"/>
      <c r="L216" t="inlineStr"/>
      <c r="M216" t="inlineStr"/>
      <c r="N216" t="inlineStr"/>
      <c r="O216" t="inlineStr"/>
      <c r="P216" t="inlineStr"/>
      <c r="Q216" t="inlineStr"/>
      <c r="R216" t="inlineStr"/>
      <c r="S216" t="inlineStr"/>
      <c r="T216" t="inlineStr"/>
      <c r="U216">
        <f>INDEX(FactorTable!$B$2:$Y$301, MATCH(ROUND(MIN(300,MAX(1,U215)),0), FactorTable!$A$2:$A$301,0), 22)</f>
        <v/>
      </c>
      <c r="V216" t="inlineStr"/>
    </row>
    <row r="217">
      <c r="A217">
        <f>Skills!A4</f>
        <v/>
      </c>
      <c r="B217">
        <f>Skills!B4</f>
        <v/>
      </c>
      <c r="C217">
        <f>Inputs!$B$3&gt;=105</f>
        <v/>
      </c>
      <c r="D217">
        <f>IF(Skills!C4=1,60+Inputs!$B$25+Inputs!$B$29,IF(Skills!C4=2,90+Inputs!$B$26+Inputs!$B$29,IF(Skills!C4=3,120+Inputs!$B$27+Inputs!$B$29,MAX(0,(Inputs!$B$3-100)*3)+Inputs!$B$28+Inputs!$B$29)))</f>
        <v/>
      </c>
      <c r="E217">
        <f>INDEX(FactorTable!$B$2:$Y$301, MATCH(ROUND(MIN(300,MAX(1,D217)),0), FactorTable!$A$2:$A$301,0), Skills!M4+1)</f>
        <v/>
      </c>
      <c r="F217">
        <f>IF(Skills!N4=TRUE,(Skills!L4/10)*(E217/1000),Skills!L4/10)+Skills!O4</f>
        <v/>
      </c>
      <c r="G217" t="inlineStr"/>
      <c r="H217" t="inlineStr"/>
      <c r="I217" t="inlineStr">
        <is>
          <t>1</t>
        </is>
      </c>
      <c r="J217" t="inlineStr"/>
      <c r="K217" t="inlineStr"/>
      <c r="L217" t="inlineStr"/>
      <c r="M217" t="inlineStr"/>
      <c r="N217" t="inlineStr"/>
      <c r="O217" t="inlineStr"/>
      <c r="P217" t="inlineStr"/>
      <c r="Q217" t="inlineStr"/>
      <c r="R217" t="inlineStr"/>
      <c r="S217" t="inlineStr"/>
      <c r="T217" t="inlineStr"/>
      <c r="U217">
        <f>290*U216/1000</f>
        <v/>
      </c>
      <c r="V217" t="inlineStr"/>
    </row>
    <row r="218">
      <c r="A218">
        <f>Skills!A5</f>
        <v/>
      </c>
      <c r="B218">
        <f>Skills!B5</f>
        <v/>
      </c>
      <c r="C218">
        <f>Inputs!$B$3&gt;=35</f>
        <v/>
      </c>
      <c r="D218">
        <f>IF(Skills!C5=1,60+Inputs!$B$25+Inputs!$B$29,IF(Skills!C5=2,90+Inputs!$B$26+Inputs!$B$29,IF(Skills!C5=3,120+Inputs!$B$27+Inputs!$B$29,MAX(0,(Inputs!$B$3-100)*3)+Inputs!$B$28+Inputs!$B$29)))</f>
        <v/>
      </c>
      <c r="E218">
        <f>INDEX(FactorTable!$B$2:$Y$301, MATCH(ROUND(MIN(300,MAX(1,D218)),0), FactorTable!$A$2:$A$301,0), Skills!M5+1)</f>
        <v/>
      </c>
      <c r="F218">
        <f>IF(Skills!N5=TRUE,(Skills!L5/10)*(E218/1000),Skills!L5/10)+Skills!O5</f>
        <v/>
      </c>
      <c r="G218">
        <f>Skills!G5*IF(Skills!H5&gt;0,Skills!I5/Skills!H5,1)</f>
        <v/>
      </c>
      <c r="H218">
        <f>1-(1-Skills!J5/100)^Skills!K5</f>
        <v/>
      </c>
      <c r="I218" t="inlineStr">
        <is>
          <t>1</t>
        </is>
      </c>
      <c r="J218">
        <f>((Inputs!$B$6*(1+Inputs!$B$7/100))+(((Inputs!$B$12*(1+Inputs!$B$13/100))-(Inputs!$B$12*(1+Inputs!$B$13/100)))+0.25*(Inputs!$B$14-Inputs!$B$14))*(1+Inputs!$B$7/100))*(F218/100)</f>
        <v/>
      </c>
      <c r="K218">
        <f>J218*(1+((Inputs!$B$12*(1+Inputs!$B$13/100))*0.01+Inputs!$B$14*0.0025)/100)*(1+Inputs!$B$15/100)*(1+(Inputs!$B$16+1)/100)*(5000/(6000+Inputs!$B$42*(1-(Inputs!$B$19+0)/100)))*(1+(Inputs!$B$24+((C237=TRUE)*(F237-Calc!F24))+((C238=TRUE)*(F238-Calc!F25))+B251)/100)*(1+4.0*IF(C221=TRUE,F221,0)/100)*(1+(IF(Skills!A5="EMPOWERED_PIERCING_ARROW",Inputs!$B$17+((C235=TRUE)*(F235-Calc!F22)),Inputs!$B$18+((C240=TRUE)*(F240-Calc!F27))))/100)*((1+(((C226=TRUE)*F226)+((C227=TRUE)*IF(Inputs!$B$38="pvp",F227,(1-Summary!$B$55)*(F227)+Summary!$B$55*(0)))+((C228=TRUE)*F228*IF(AND(Inputs!$B$38&lt;&gt;"pvp",Inputs!$B$43&gt;0),(((R228-1)*(Skills!T15*(1+Inputs!$B$34/100))+MIN((Skills!T15*(1+Inputs!$B$34/100)),MAX(0,Inputs!$B$43-((R228-1)*Skills!D15))))/Inputs!$B$43),IF(Inputs!$B$38="pvp",MIN((Skills!T15*(1+Inputs!$B$34/100)),15)/15,(Skills!T15*(1+Inputs!$B$34/100))/Skills!D15)))+((C225=TRUE)*F225)+((C242=TRUE)*(F242-Calc!F29)))/100)*I218)</f>
        <v/>
      </c>
      <c r="L218">
        <f>K218*(MIN(Inputs!$B$22+((C236=TRUE)*(F236-Calc!F23)),Inputs!$B$23+((C241=TRUE)*(F241-Calc!F28)))/100+(Inputs!$B$23+((C241=TRUE)*(F241-Calc!F28)))/100)/2</f>
        <v/>
      </c>
      <c r="M218">
        <f>L218*(1+(Inputs!$B$10+0+B250)/100)</f>
        <v/>
      </c>
      <c r="N218">
        <f>L218*(1-MIN((Inputs!$B$9+((C232=TRUE)*(F232-Calc!F19))+B245),100)/100)+M218*(MIN((Inputs!$B$9+((C232=TRUE)*(F232-Calc!F19))+B245),100)/100)</f>
        <v/>
      </c>
      <c r="O218">
        <f>(1-Summary!$B$55)*T218+Summary!$B$55*V218</f>
        <v/>
      </c>
      <c r="P218">
        <f>IF(B255=0,0,O218/B255)</f>
        <v/>
      </c>
      <c r="Q218">
        <f>IFERROR(1/IF(Inputs!$B$38="pvp",15,MAX(0.1,Skills!D5-IF(Skills!E5=TRUE,Inputs!$B$32,0))),0)</f>
        <v/>
      </c>
      <c r="R218">
        <f>IF(AND(Inputs!$B$38&lt;&gt;"pvp",Inputs!$B$43&gt;0),IF(MAX(0,Inputs!$B$43-B252)&lt;=0,0,(INT(MAX(0,Inputs!$B$43-B252)/IF(Inputs!$B$38="pvp",15,MAX(0.1,Skills!D5-IF(Skills!E5=TRUE,Inputs!$B$32,0))))+1)),0)</f>
        <v/>
      </c>
      <c r="S218">
        <f>IFERROR((H218*N218*IF(AND(Inputs!$B$38&lt;&gt;"pvp",Inputs!$B$43&gt;0),((Skills!G5*((R218-1)*IF(Skills!H5&gt;0,Skills!I5/Skills!H5,1)+IF(Skills!H5&gt;0,MIN(Skills!I5,MAX(0,MAX(0,Inputs!$B$43-B252)-((R218-1)*IF(Inputs!$B$38="pvp",15,MAX(0.1,Skills!D5-IF(Skills!E5=TRUE,Inputs!$B$32,0))))))/Skills!H5,1)))/Inputs!$B$43),G218*Q218))/N218*IF(Inputs!$B$38="pvp",1,(1-Summary!$B$55)*1+Summary!$B$55*(MIN(Skills!R5,Inputs!$B$37))),0)</f>
        <v/>
      </c>
      <c r="T218">
        <f>IF(C218,(H218*N218*IF(AND(Inputs!$B$38&lt;&gt;"pvp",Inputs!$B$43&gt;0),((Skills!G5*((R218-1)*IF(Skills!H5&gt;0,Skills!I5/Skills!H5,1)+IF(Skills!H5&gt;0,MIN(Skills!I5,MAX(0,MAX(0,Inputs!$B$43-B252)-((R218-1)*IF(Inputs!$B$38="pvp",15,MAX(0.1,Skills!D5-IF(Skills!E5=TRUE,Inputs!$B$32,0))))))/Skills!H5,1)))/Inputs!$B$43),G218*Q218))*IF(Inputs!$B$38="pvp",1,1+(Inputs!$B$20+0+Skills!P5)/100),0)</f>
        <v/>
      </c>
      <c r="V218">
        <f>IF(C218,(H218*N218*IF(AND(Inputs!$B$38&lt;&gt;"pvp",Inputs!$B$43&gt;0),((Skills!G5*((R218-1)*IF(Skills!H5&gt;0,Skills!I5/Skills!H5,1)+IF(Skills!H5&gt;0,MIN(Skills!I5,MAX(0,MAX(0,Inputs!$B$43-B252)-((R218-1)*IF(Inputs!$B$38="pvp",15,MAX(0.1,Skills!D5-IF(Skills!E5=TRUE,Inputs!$B$32,0))))))/Skills!H5,1)))/Inputs!$B$43),G218*Q218))*IF(Inputs!$B$38="pvp",1,(1+(Inputs!$B$21+Skills!Q5)/100)*(MIN(Skills!R5,Inputs!$B$37))),0)</f>
        <v/>
      </c>
    </row>
    <row r="219">
      <c r="A219">
        <f>Skills!A6</f>
        <v/>
      </c>
      <c r="B219">
        <f>Skills!B6</f>
        <v/>
      </c>
      <c r="C219">
        <f>Inputs!$B$3&gt;=63</f>
        <v/>
      </c>
      <c r="D219">
        <f>IF(Skills!C6=1,60+Inputs!$B$25+Inputs!$B$29,IF(Skills!C6=2,90+Inputs!$B$26+Inputs!$B$29,IF(Skills!C6=3,120+Inputs!$B$27+Inputs!$B$29,MAX(0,(Inputs!$B$3-100)*3)+Inputs!$B$28+Inputs!$B$29)))</f>
        <v/>
      </c>
      <c r="E219">
        <f>INDEX(FactorTable!$B$2:$Y$301, MATCH(ROUND(MIN(300,MAX(1,D219)),0), FactorTable!$A$2:$A$301,0), Skills!M6+1)</f>
        <v/>
      </c>
      <c r="F219">
        <f>IF(Skills!N6=TRUE,(Skills!L6/10)*(E219/1000),Skills!L6/10)+Skills!O6</f>
        <v/>
      </c>
      <c r="G219">
        <f>Skills!G6*IF(Skills!H6&gt;0,Skills!I6/Skills!H6,1)</f>
        <v/>
      </c>
      <c r="H219">
        <f>1-(1-Skills!J6/100)^Skills!K6</f>
        <v/>
      </c>
      <c r="I219" t="inlineStr">
        <is>
          <t>1</t>
        </is>
      </c>
      <c r="J219">
        <f>((Inputs!$B$6*(1+Inputs!$B$7/100))+(((Inputs!$B$12*(1+Inputs!$B$13/100))-(Inputs!$B$12*(1+Inputs!$B$13/100)))+0.25*(Inputs!$B$14-Inputs!$B$14))*(1+Inputs!$B$7/100))*(F219/100)</f>
        <v/>
      </c>
      <c r="K219">
        <f>J219*(1+((Inputs!$B$12*(1+Inputs!$B$13/100))*0.01+Inputs!$B$14*0.0025)/100)*(1+Inputs!$B$15/100)*(1+(Inputs!$B$16+1)/100)*(5000/(6000+Inputs!$B$42*(1-(Inputs!$B$19+0)/100)))*(1+(Inputs!$B$24+((C237=TRUE)*(F237-Calc!F24))+((C238=TRUE)*(F238-Calc!F25))+B251)/100)*(1+1.0*IF(C221=TRUE,F221,0)/100)*(1+(IF(Skills!A6="EMPOWERED_PIERCING_ARROW",Inputs!$B$17+((C235=TRUE)*(F235-Calc!F22)),Inputs!$B$18+((C240=TRUE)*(F240-Calc!F27))))/100)*((1+(((C226=TRUE)*F226)+((C227=TRUE)*IF(Inputs!$B$38="pvp",F227,(1-Summary!$B$55)*(F227)+Summary!$B$55*(0)))+((C228=TRUE)*F228*IF(AND(Inputs!$B$38&lt;&gt;"pvp",Inputs!$B$43&gt;0),(((R228-1)*(Skills!T15*(1+Inputs!$B$34/100))+MIN((Skills!T15*(1+Inputs!$B$34/100)),MAX(0,Inputs!$B$43-((R228-1)*Skills!D15))))/Inputs!$B$43),IF(Inputs!$B$38="pvp",MIN((Skills!T15*(1+Inputs!$B$34/100)),15)/15,(Skills!T15*(1+Inputs!$B$34/100))/Skills!D15)))+((C225=TRUE)*F225)+((C242=TRUE)*(F242-Calc!F29)))/100)*I219)</f>
        <v/>
      </c>
      <c r="L219">
        <f>K219*(MIN(Inputs!$B$22+((C236=TRUE)*(F236-Calc!F23)),Inputs!$B$23+((C241=TRUE)*(F241-Calc!F28)))/100+(Inputs!$B$23+((C241=TRUE)*(F241-Calc!F28)))/100)/2</f>
        <v/>
      </c>
      <c r="M219">
        <f>L219*(1+(Inputs!$B$10+0+B250)/100)</f>
        <v/>
      </c>
      <c r="N219">
        <f>L219*(1-MIN((Inputs!$B$9+((C232=TRUE)*(F232-Calc!F19))+B245),100)/100)+M219*(MIN((Inputs!$B$9+((C232=TRUE)*(F232-Calc!F19))+B245),100)/100)</f>
        <v/>
      </c>
      <c r="O219">
        <f>(1-Summary!$B$55)*T219+Summary!$B$55*V219</f>
        <v/>
      </c>
      <c r="P219">
        <f>IF(B255=0,0,O219/B255)</f>
        <v/>
      </c>
      <c r="Q219">
        <f>IFERROR(1/IF(Inputs!$B$38="pvp",15,MAX(0.1,Skills!D6-IF(Skills!E6=TRUE,Inputs!$B$32,0))),0)</f>
        <v/>
      </c>
      <c r="R219">
        <f>IF(AND(Inputs!$B$38&lt;&gt;"pvp",Inputs!$B$43&gt;0),IF(MAX(0,Inputs!$B$43-B252)&lt;=0,0,(INT(MAX(0,Inputs!$B$43-B252)/IF(Inputs!$B$38="pvp",15,MAX(0.1,Skills!D6-IF(Skills!E6=TRUE,Inputs!$B$32,0))))+1)),0)</f>
        <v/>
      </c>
      <c r="S219">
        <f>IFERROR((H219*N219*IF(AND(Inputs!$B$38&lt;&gt;"pvp",Inputs!$B$43&gt;0),((Skills!G6*((R219-1)*IF(Skills!H6&gt;0,Skills!I6/Skills!H6,1)+IF(Skills!H6&gt;0,MIN(Skills!I6,MAX(0,MAX(0,Inputs!$B$43-B252)-((R219-1)*IF(Inputs!$B$38="pvp",15,MAX(0.1,Skills!D6-IF(Skills!E6=TRUE,Inputs!$B$32,0))))))/Skills!H6,1)))/Inputs!$B$43),G219*Q219))/N219*IF(Inputs!$B$38="pvp",1,(1-Summary!$B$55)*1+Summary!$B$55*(MIN(Skills!R6,Inputs!$B$37))),0)</f>
        <v/>
      </c>
      <c r="T219">
        <f>IF(C219,(H219*N219*IF(AND(Inputs!$B$38&lt;&gt;"pvp",Inputs!$B$43&gt;0),((Skills!G6*((R219-1)*IF(Skills!H6&gt;0,Skills!I6/Skills!H6,1)+IF(Skills!H6&gt;0,MIN(Skills!I6,MAX(0,MAX(0,Inputs!$B$43-B252)-((R219-1)*IF(Inputs!$B$38="pvp",15,MAX(0.1,Skills!D6-IF(Skills!E6=TRUE,Inputs!$B$32,0))))))/Skills!H6,1)))/Inputs!$B$43),G219*Q219))*IF(Inputs!$B$38="pvp",1,1+(Inputs!$B$20+0+Skills!P6)/100),0)</f>
        <v/>
      </c>
      <c r="V219">
        <f>IF(C219,(H219*N219*IF(AND(Inputs!$B$38&lt;&gt;"pvp",Inputs!$B$43&gt;0),((Skills!G6*((R219-1)*IF(Skills!H6&gt;0,Skills!I6/Skills!H6,1)+IF(Skills!H6&gt;0,MIN(Skills!I6,MAX(0,MAX(0,Inputs!$B$43-B252)-((R219-1)*IF(Inputs!$B$38="pvp",15,MAX(0.1,Skills!D6-IF(Skills!E6=TRUE,Inputs!$B$32,0))))))/Skills!H6,1)))/Inputs!$B$43),G219*Q219))*IF(Inputs!$B$38="pvp",1,(1+(Inputs!$B$21+Skills!Q6)/100)*(MIN(Skills!R6,Inputs!$B$37))),0)</f>
        <v/>
      </c>
    </row>
    <row r="220">
      <c r="A220">
        <f>Skills!A7</f>
        <v/>
      </c>
      <c r="B220">
        <f>Skills!B7</f>
        <v/>
      </c>
      <c r="C220">
        <f>Inputs!$B$3&gt;=69</f>
        <v/>
      </c>
      <c r="D220">
        <f>IF(Skills!C7=1,60+Inputs!$B$25+Inputs!$B$29,IF(Skills!C7=2,90+Inputs!$B$26+Inputs!$B$29,IF(Skills!C7=3,120+Inputs!$B$27+Inputs!$B$29,MAX(0,(Inputs!$B$3-100)*3)+Inputs!$B$28+Inputs!$B$29)))</f>
        <v/>
      </c>
      <c r="E220">
        <f>INDEX(FactorTable!$B$2:$Y$301, MATCH(ROUND(MIN(300,MAX(1,D220)),0), FactorTable!$A$2:$A$301,0), Skills!M7+1)</f>
        <v/>
      </c>
      <c r="F220">
        <f>IF(Skills!N7=TRUE,(Skills!L7/10)*(E220/1000),Skills!L7/10)+Skills!O7</f>
        <v/>
      </c>
      <c r="G220">
        <f>Skills!G7*IF(Skills!H7&gt;0,Skills!I7/Skills!H7,1)</f>
        <v/>
      </c>
      <c r="H220">
        <f>1-(1-Skills!J7/100)^Skills!K7</f>
        <v/>
      </c>
      <c r="I220" t="inlineStr">
        <is>
          <t>1</t>
        </is>
      </c>
      <c r="J220">
        <f>((Inputs!$B$6*(1+Inputs!$B$7/100))+(((Inputs!$B$12*(1+Inputs!$B$13/100))-(Inputs!$B$12*(1+Inputs!$B$13/100)))+0.25*(Inputs!$B$14-Inputs!$B$14))*(1+Inputs!$B$7/100))*(F220/100)</f>
        <v/>
      </c>
      <c r="K220">
        <f>J220*(1+((Inputs!$B$12*(1+Inputs!$B$13/100))*0.01+Inputs!$B$14*0.0025)/100)*(1+Inputs!$B$15/100)*(1+(Inputs!$B$16+1)/100)*(5000/(6000+Inputs!$B$42*(1-(Inputs!$B$19+0)/100)))*(1+(Inputs!$B$24+((C237=TRUE)*(F237-Calc!F24))+((C238=TRUE)*(F238-Calc!F25))+B251)/100)*(1+1.2*IF(C221=TRUE,F221,0)/100)*(1+(IF(Skills!A7="EMPOWERED_PIERCING_ARROW",Inputs!$B$17+((C235=TRUE)*(F235-Calc!F22)),Inputs!$B$18+((C240=TRUE)*(F240-Calc!F27))))/100)*((1+(((C226=TRUE)*F226)+((C227=TRUE)*IF(Inputs!$B$38="pvp",F227,(1-Summary!$B$55)*(F227)+Summary!$B$55*(0)))+((C228=TRUE)*F228*IF(AND(Inputs!$B$38&lt;&gt;"pvp",Inputs!$B$43&gt;0),(((R228-1)*(Skills!T15*(1+Inputs!$B$34/100))+MIN((Skills!T15*(1+Inputs!$B$34/100)),MAX(0,Inputs!$B$43-((R228-1)*Skills!D15))))/Inputs!$B$43),IF(Inputs!$B$38="pvp",MIN((Skills!T15*(1+Inputs!$B$34/100)),15)/15,(Skills!T15*(1+Inputs!$B$34/100))/Skills!D15)))+((C225=TRUE)*F225)+((C242=TRUE)*(F242-Calc!F29)))/100)*I220)</f>
        <v/>
      </c>
      <c r="L220">
        <f>K220*(MIN(Inputs!$B$22+((C236=TRUE)*(F236-Calc!F23)),Inputs!$B$23+((C241=TRUE)*(F241-Calc!F28)))/100+(Inputs!$B$23+((C241=TRUE)*(F241-Calc!F28)))/100)/2</f>
        <v/>
      </c>
      <c r="M220">
        <f>L220*(1+(Inputs!$B$10+0+B250)/100)</f>
        <v/>
      </c>
      <c r="N220">
        <f>L220*(1-MIN((Inputs!$B$9+((C232=TRUE)*(F232-Calc!F19))+B245),100)/100)+M220*(MIN((Inputs!$B$9+((C232=TRUE)*(F232-Calc!F19))+B245),100)/100)</f>
        <v/>
      </c>
      <c r="O220">
        <f>(1-Summary!$B$55)*T220+Summary!$B$55*V220</f>
        <v/>
      </c>
      <c r="P220">
        <f>IF(B255=0,0,O220/B255)</f>
        <v/>
      </c>
      <c r="Q220">
        <f>IFERROR(1/IF(Inputs!$B$38="pvp",15,MAX(0.1,Skills!D7-IF(Skills!E7=TRUE,Inputs!$B$32,0))),0)</f>
        <v/>
      </c>
      <c r="R220">
        <f>IF(AND(Inputs!$B$38&lt;&gt;"pvp",Inputs!$B$43&gt;0),IF(MAX(0,Inputs!$B$43-B252)&lt;=0,0,(INT(MAX(0,Inputs!$B$43-B252)/IF(Inputs!$B$38="pvp",15,MAX(0.1,Skills!D7-IF(Skills!E7=TRUE,Inputs!$B$32,0))))+1)),0)</f>
        <v/>
      </c>
      <c r="S220">
        <f>IFERROR((H220*N220*IF(AND(Inputs!$B$38&lt;&gt;"pvp",Inputs!$B$43&gt;0),((Skills!G7*((R220-1)*IF(Skills!H7&gt;0,Skills!I7/Skills!H7,1)+IF(Skills!H7&gt;0,MIN(Skills!I7,MAX(0,MAX(0,Inputs!$B$43-B252)-((R220-1)*IF(Inputs!$B$38="pvp",15,MAX(0.1,Skills!D7-IF(Skills!E7=TRUE,Inputs!$B$32,0))))))/Skills!H7,1)))/Inputs!$B$43),G220*Q220))/N220*IF(Inputs!$B$38="pvp",1,(1-Summary!$B$55)*1+Summary!$B$55*(MIN(Skills!R7,Inputs!$B$37))),0)</f>
        <v/>
      </c>
      <c r="T220">
        <f>IF(C220,(H220*N220*IF(AND(Inputs!$B$38&lt;&gt;"pvp",Inputs!$B$43&gt;0),((Skills!G7*((R220-1)*IF(Skills!H7&gt;0,Skills!I7/Skills!H7,1)+IF(Skills!H7&gt;0,MIN(Skills!I7,MAX(0,MAX(0,Inputs!$B$43-B252)-((R220-1)*IF(Inputs!$B$38="pvp",15,MAX(0.1,Skills!D7-IF(Skills!E7=TRUE,Inputs!$B$32,0))))))/Skills!H7,1)))/Inputs!$B$43),G220*Q220))*IF(Inputs!$B$38="pvp",1,1+(Inputs!$B$20+0+Skills!P7)/100),0)</f>
        <v/>
      </c>
      <c r="V220">
        <f>IF(C220,(H220*N220*IF(AND(Inputs!$B$38&lt;&gt;"pvp",Inputs!$B$43&gt;0),((Skills!G7*((R220-1)*IF(Skills!H7&gt;0,Skills!I7/Skills!H7,1)+IF(Skills!H7&gt;0,MIN(Skills!I7,MAX(0,MAX(0,Inputs!$B$43-B252)-((R220-1)*IF(Inputs!$B$38="pvp",15,MAX(0.1,Skills!D7-IF(Skills!E7=TRUE,Inputs!$B$32,0))))))/Skills!H7,1)))/Inputs!$B$43),G220*Q220))*IF(Inputs!$B$38="pvp",1,(1+(Inputs!$B$21+Skills!Q7)/100)*(MIN(Skills!R7,Inputs!$B$37))),0)</f>
        <v/>
      </c>
    </row>
    <row r="221">
      <c r="A221">
        <f>Skills!A8</f>
        <v/>
      </c>
      <c r="B221">
        <f>Skills!B8</f>
        <v/>
      </c>
      <c r="C221">
        <f>Inputs!$B$3&gt;=100</f>
        <v/>
      </c>
      <c r="D221">
        <f>IF(Skills!C8=1,60+Inputs!$B$25+Inputs!$B$29,IF(Skills!C8=2,90+Inputs!$B$26+Inputs!$B$29,IF(Skills!C8=3,120+Inputs!$B$27+Inputs!$B$29,MAX(0,(Inputs!$B$3-100)*3)+Inputs!$B$28+Inputs!$B$29)))</f>
        <v/>
      </c>
      <c r="E221">
        <f>INDEX(FactorTable!$B$2:$Y$301, MATCH(ROUND(MIN(300,MAX(1,D221)),0), FactorTable!$A$2:$A$301,0), Skills!M8+1)</f>
        <v/>
      </c>
      <c r="F221">
        <f>IF(Skills!N8=TRUE,(Skills!L8/10)*(E221/1000),Skills!L8/10)+Skills!O8</f>
        <v/>
      </c>
      <c r="G221" t="inlineStr"/>
      <c r="H221" t="inlineStr"/>
      <c r="I221" t="inlineStr">
        <is>
          <t>1</t>
        </is>
      </c>
      <c r="J221" t="inlineStr"/>
      <c r="K221" t="inlineStr"/>
      <c r="L221" t="inlineStr"/>
      <c r="M221" t="inlineStr"/>
      <c r="N221" t="inlineStr"/>
      <c r="O221" t="inlineStr"/>
      <c r="P221" t="inlineStr"/>
      <c r="Q221" t="inlineStr"/>
      <c r="R221" t="inlineStr"/>
      <c r="S221" t="inlineStr"/>
      <c r="T221" t="inlineStr"/>
      <c r="V221" t="inlineStr"/>
    </row>
    <row r="222">
      <c r="A222">
        <f>Skills!A9</f>
        <v/>
      </c>
      <c r="B222">
        <f>Skills!B9</f>
        <v/>
      </c>
      <c r="C222">
        <f>Inputs!$B$3&gt;=103</f>
        <v/>
      </c>
      <c r="D222">
        <f>IF(Skills!C9=1,60+Inputs!$B$25+Inputs!$B$29,IF(Skills!C9=2,90+Inputs!$B$26+Inputs!$B$29,IF(Skills!C9=3,120+Inputs!$B$27+Inputs!$B$29,MAX(0,(Inputs!$B$3-100)*3)+Inputs!$B$28+Inputs!$B$29)))</f>
        <v/>
      </c>
      <c r="E222">
        <f>INDEX(FactorTable!$B$2:$Y$301, MATCH(ROUND(MIN(300,MAX(1,D222)),0), FactorTable!$A$2:$A$301,0), Skills!M9+1)</f>
        <v/>
      </c>
      <c r="F222">
        <f>IF(Skills!N9=TRUE,(Skills!L9/10)*(E222/1000),Skills!L9/10)+Skills!O9</f>
        <v/>
      </c>
      <c r="G222">
        <f>Skills!G9*IF(Skills!H9&gt;0,Skills!I9/Skills!H9,1)</f>
        <v/>
      </c>
      <c r="H222">
        <f>1-(1-Skills!J9/100)^Skills!K9</f>
        <v/>
      </c>
      <c r="I222" t="inlineStr">
        <is>
          <t>1</t>
        </is>
      </c>
      <c r="J222">
        <f>((Inputs!$B$6*(1+Inputs!$B$7/100))+(((Inputs!$B$12*(1+Inputs!$B$13/100))-(Inputs!$B$12*(1+Inputs!$B$13/100)))+0.25*(Inputs!$B$14-Inputs!$B$14))*(1+Inputs!$B$7/100))*(F222/100)</f>
        <v/>
      </c>
      <c r="K222">
        <f>J222*(1+((Inputs!$B$12*(1+Inputs!$B$13/100))*0.01+Inputs!$B$14*0.0025)/100)*(1+Inputs!$B$15/100)*(1+(Inputs!$B$16+1)/100)*(5000/(6000+Inputs!$B$42*(1-(Inputs!$B$19+0)/100)))*(1+(Inputs!$B$24+((C237=TRUE)*(F237-Calc!F24))+((C238=TRUE)*(F238-Calc!F25))+B251)/100)*(1+(IF(Skills!A9="EMPOWERED_PIERCING_ARROW",Inputs!$B$17+((C235=TRUE)*(F235-Calc!F22)),Inputs!$B$18+((C240=TRUE)*(F240-Calc!F27))))/100)*((1+(((C226=TRUE)*F226)+((C227=TRUE)*IF(Inputs!$B$38="pvp",F227,(1-Summary!$B$55)*(F227)+Summary!$B$55*(0)))+((C228=TRUE)*F228*IF(AND(Inputs!$B$38&lt;&gt;"pvp",Inputs!$B$43&gt;0),(((R228-1)*(Skills!T15*(1+Inputs!$B$34/100))+MIN((Skills!T15*(1+Inputs!$B$34/100)),MAX(0,Inputs!$B$43-((R228-1)*Skills!D15))))/Inputs!$B$43),IF(Inputs!$B$38="pvp",MIN((Skills!T15*(1+Inputs!$B$34/100)),15)/15,(Skills!T15*(1+Inputs!$B$34/100))/Skills!D15)))+((C225=TRUE)*F225)+((C242=TRUE)*(F242-Calc!F29)))/100)*I222)</f>
        <v/>
      </c>
      <c r="L222">
        <f>K222*(MIN(Inputs!$B$22+((C236=TRUE)*(F236-Calc!F23)),Inputs!$B$23+((C241=TRUE)*(F241-Calc!F28)))/100+(Inputs!$B$23+((C241=TRUE)*(F241-Calc!F28)))/100)/2</f>
        <v/>
      </c>
      <c r="M222">
        <f>L222*(1+(Inputs!$B$10+0+B250)/100)</f>
        <v/>
      </c>
      <c r="N222">
        <f>L222*(1-MIN((Inputs!$B$9+((C232=TRUE)*(F232-Calc!F19))+B245),100)/100)+M222*(MIN((Inputs!$B$9+((C232=TRUE)*(F232-Calc!F19))+B245),100)/100)</f>
        <v/>
      </c>
      <c r="O222">
        <f>(1-Summary!$B$55)*T222+Summary!$B$55*V222</f>
        <v/>
      </c>
      <c r="P222">
        <f>IF(B255=0,0,O222/B255)</f>
        <v/>
      </c>
      <c r="Q222">
        <f>IFERROR(1/IF(Inputs!$B$38="pvp",15,MAX(0.1,Skills!D9-IF(Skills!E9=TRUE,Inputs!$B$32,0))),0)</f>
        <v/>
      </c>
      <c r="R222">
        <f>IF(AND(Inputs!$B$38&lt;&gt;"pvp",Inputs!$B$43&gt;0),IF(MAX(0,Inputs!$B$43-B252)&lt;=0,0,(INT(MAX(0,Inputs!$B$43-B252)/IF(Inputs!$B$38="pvp",15,MAX(0.1,Skills!D9-IF(Skills!E9=TRUE,Inputs!$B$32,0))))+1)),0)</f>
        <v/>
      </c>
      <c r="S222">
        <f>IFERROR((H222*N222*IF(AND(Inputs!$B$38&lt;&gt;"pvp",Inputs!$B$43&gt;0),((Skills!G9*((R222-1)*IF(Skills!H9&gt;0,Skills!I9/Skills!H9,1)+IF(Skills!H9&gt;0,MIN(Skills!I9,MAX(0,MAX(0,Inputs!$B$43-B252)-((R222-1)*IF(Inputs!$B$38="pvp",15,MAX(0.1,Skills!D9-IF(Skills!E9=TRUE,Inputs!$B$32,0))))))/Skills!H9,1)))/Inputs!$B$43),G222*Q222))/N222*IF(Inputs!$B$38="pvp",1,(1-Summary!$B$55)*1+Summary!$B$55*(MIN(Skills!R9,Inputs!$B$37))),0)</f>
        <v/>
      </c>
      <c r="T222">
        <f>IF(C222,(H222*N222*IF(AND(Inputs!$B$38&lt;&gt;"pvp",Inputs!$B$43&gt;0),((Skills!G9*((R222-1)*IF(Skills!H9&gt;0,Skills!I9/Skills!H9,1)+IF(Skills!H9&gt;0,MIN(Skills!I9,MAX(0,MAX(0,Inputs!$B$43-B252)-((R222-1)*IF(Inputs!$B$38="pvp",15,MAX(0.1,Skills!D9-IF(Skills!E9=TRUE,Inputs!$B$32,0))))))/Skills!H9,1)))/Inputs!$B$43),G222*Q222))*IF(Inputs!$B$38="pvp",1,1+(Inputs!$B$20+0+Skills!P9)/100),0)</f>
        <v/>
      </c>
      <c r="V222">
        <f>IF(C222,(H222*N222*IF(AND(Inputs!$B$38&lt;&gt;"pvp",Inputs!$B$43&gt;0),((Skills!G9*((R222-1)*IF(Skills!H9&gt;0,Skills!I9/Skills!H9,1)+IF(Skills!H9&gt;0,MIN(Skills!I9,MAX(0,MAX(0,Inputs!$B$43-B252)-((R222-1)*IF(Inputs!$B$38="pvp",15,MAX(0.1,Skills!D9-IF(Skills!E9=TRUE,Inputs!$B$32,0))))))/Skills!H9,1)))/Inputs!$B$43),G222*Q222))*IF(Inputs!$B$38="pvp",1,(1+(Inputs!$B$21+Skills!Q9)/100)*(MIN(Skills!R9,Inputs!$B$37))),0)</f>
        <v/>
      </c>
    </row>
    <row r="223">
      <c r="A223">
        <f>Skills!A10</f>
        <v/>
      </c>
      <c r="B223">
        <f>Skills!B10</f>
        <v/>
      </c>
      <c r="C223">
        <f>Inputs!$B$3&gt;=107</f>
        <v/>
      </c>
      <c r="D223">
        <f>IF(Skills!C10=1,60+Inputs!$B$25+Inputs!$B$29,IF(Skills!C10=2,90+Inputs!$B$26+Inputs!$B$29,IF(Skills!C10=3,120+Inputs!$B$27+Inputs!$B$29,MAX(0,(Inputs!$B$3-100)*3)+Inputs!$B$28+Inputs!$B$29)))</f>
        <v/>
      </c>
      <c r="E223">
        <f>INDEX(FactorTable!$B$2:$Y$301, MATCH(ROUND(MIN(300,MAX(1,D223)),0), FactorTable!$A$2:$A$301,0), Skills!M10+1)</f>
        <v/>
      </c>
      <c r="F223">
        <f>IF(Skills!N10=TRUE,(Skills!L10/10)*(E223/1000),Skills!L10/10)+Skills!O10</f>
        <v/>
      </c>
      <c r="G223">
        <f>Skills!G10*IF(Skills!H10&gt;0,Skills!I10/Skills!H10,1)</f>
        <v/>
      </c>
      <c r="H223">
        <f>1-(1-Skills!J10/100)^Skills!K10</f>
        <v/>
      </c>
      <c r="I223" t="inlineStr">
        <is>
          <t>1</t>
        </is>
      </c>
      <c r="J223">
        <f>((Inputs!$B$6*(1+Inputs!$B$7/100))+(((Inputs!$B$12*(1+Inputs!$B$13/100))-(Inputs!$B$12*(1+Inputs!$B$13/100)))+0.25*(Inputs!$B$14-Inputs!$B$14))*(1+Inputs!$B$7/100))*(F223/100)</f>
        <v/>
      </c>
      <c r="K223">
        <f>J223*(1+((Inputs!$B$12*(1+Inputs!$B$13/100))*0.01+Inputs!$B$14*0.0025)/100)*(1+Inputs!$B$15/100)*(1+(Inputs!$B$16+1)/100)*(5000/(6000+Inputs!$B$42*(1-(Inputs!$B$19+0)/100)))*(1+(Inputs!$B$24+((C237=TRUE)*(F237-Calc!F24))+((C238=TRUE)*(F238-Calc!F25))+B251)/100)*(1+(IF(Skills!A10="EMPOWERED_PIERCING_ARROW",Inputs!$B$17+((C235=TRUE)*(F235-Calc!F22)),Inputs!$B$18+((C240=TRUE)*(F240-Calc!F27))))/100)*((1+(((C226=TRUE)*F226)+((C227=TRUE)*IF(Inputs!$B$38="pvp",F227,(1-Summary!$B$55)*(F227)+Summary!$B$55*(0)))+((C228=TRUE)*F228*IF(AND(Inputs!$B$38&lt;&gt;"pvp",Inputs!$B$43&gt;0),(((R228-1)*(Skills!T15*(1+Inputs!$B$34/100))+MIN((Skills!T15*(1+Inputs!$B$34/100)),MAX(0,Inputs!$B$43-((R228-1)*Skills!D15))))/Inputs!$B$43),IF(Inputs!$B$38="pvp",MIN((Skills!T15*(1+Inputs!$B$34/100)),15)/15,(Skills!T15*(1+Inputs!$B$34/100))/Skills!D15)))+((C225=TRUE)*F225)+((C242=TRUE)*(F242-Calc!F29)))/100)*I223)</f>
        <v/>
      </c>
      <c r="L223">
        <f>K223*(MIN(Inputs!$B$22+((C236=TRUE)*(F236-Calc!F23)),Inputs!$B$23+((C241=TRUE)*(F241-Calc!F28)))/100+(Inputs!$B$23+((C241=TRUE)*(F241-Calc!F28)))/100)/2</f>
        <v/>
      </c>
      <c r="M223">
        <f>L223*(1+(Inputs!$B$10+0+B250)/100)</f>
        <v/>
      </c>
      <c r="N223">
        <f>L223*(1-MIN((Inputs!$B$9+((C232=TRUE)*(F232-Calc!F19))+B245),100)/100)+M223*(MIN((Inputs!$B$9+((C232=TRUE)*(F232-Calc!F19))+B245),100)/100)</f>
        <v/>
      </c>
      <c r="O223">
        <f>(1-Summary!$B$55)*T223+Summary!$B$55*V223</f>
        <v/>
      </c>
      <c r="P223">
        <f>IF(B255=0,0,O223/B255)</f>
        <v/>
      </c>
      <c r="Q223" t="n">
        <v>0</v>
      </c>
      <c r="R223" t="n">
        <v>0</v>
      </c>
      <c r="S223" t="n">
        <v>0</v>
      </c>
      <c r="T223">
        <f>IF(C223,(0.15*SUMPRODUCT((Skills!U2:U29=TRUE)*(C215:C242=TRUE)*S215:S242)*Skills!G10*N223)*IF(Inputs!$B$38="pvp",1,1+(Inputs!$B$20+0+Skills!P10)/100),0)</f>
        <v/>
      </c>
      <c r="V223">
        <f>IF(C223,(0.15*SUMPRODUCT((Skills!U2:U29=TRUE)*(C215:C242=TRUE)*S215:S242)*Skills!G10*N223)*IF(Inputs!$B$38="pvp",1,(1+(Inputs!$B$21+Skills!Q10)/100)*(MIN(Skills!R10,Inputs!$B$37))),0)</f>
        <v/>
      </c>
    </row>
    <row r="224">
      <c r="A224">
        <f>Skills!A11</f>
        <v/>
      </c>
      <c r="B224">
        <f>Skills!B11</f>
        <v/>
      </c>
      <c r="C224">
        <f>Inputs!$B$3&gt;=110</f>
        <v/>
      </c>
      <c r="D224">
        <f>IF(Skills!C11=1,60+Inputs!$B$25+Inputs!$B$29,IF(Skills!C11=2,90+Inputs!$B$26+Inputs!$B$29,IF(Skills!C11=3,120+Inputs!$B$27+Inputs!$B$29,MAX(0,(Inputs!$B$3-100)*3)+Inputs!$B$28+Inputs!$B$29)))</f>
        <v/>
      </c>
      <c r="E224">
        <f>INDEX(FactorTable!$B$2:$Y$301, MATCH(ROUND(MIN(300,MAX(1,D224)),0), FactorTable!$A$2:$A$301,0), Skills!M11+1)</f>
        <v/>
      </c>
      <c r="F224">
        <f>IF(Skills!N11=TRUE,(Skills!L11/10)*(E224/1000),Skills!L11/10)+Skills!O11</f>
        <v/>
      </c>
      <c r="G224">
        <f>Skills!G11*IF(Skills!H11&gt;0,Skills!I11/Skills!H11,1)</f>
        <v/>
      </c>
      <c r="H224">
        <f>1-(1-Skills!J11/100)^Skills!K11</f>
        <v/>
      </c>
      <c r="I224" t="inlineStr">
        <is>
          <t>1</t>
        </is>
      </c>
      <c r="J224">
        <f>((Inputs!$B$6*(1+Inputs!$B$7/100))+(((Inputs!$B$12*(1+Inputs!$B$13/100))-(Inputs!$B$12*(1+Inputs!$B$13/100)))+0.25*(Inputs!$B$14-Inputs!$B$14))*(1+Inputs!$B$7/100))*(F224/100)</f>
        <v/>
      </c>
      <c r="K224">
        <f>J224*(1+((Inputs!$B$12*(1+Inputs!$B$13/100))*0.01+Inputs!$B$14*0.0025)/100)*(1+Inputs!$B$15/100)*(1+(Inputs!$B$16+1)/100)*(5000/(6000+Inputs!$B$42*(1-(Inputs!$B$19+0)/100)))*(1+(Inputs!$B$24+((C237=TRUE)*(F237-Calc!F24))+((C238=TRUE)*(F238-Calc!F25))+B251)/100)*(1+(IF(Skills!A11="EMPOWERED_PIERCING_ARROW",Inputs!$B$17+((C235=TRUE)*(F235-Calc!F22)),Inputs!$B$18+((C240=TRUE)*(F240-Calc!F27))))/100)*((1+(((C226=TRUE)*F226)+((C227=TRUE)*IF(Inputs!$B$38="pvp",F227,(1-Summary!$B$55)*(F227)+Summary!$B$55*(0)))+((C228=TRUE)*F228*IF(AND(Inputs!$B$38&lt;&gt;"pvp",Inputs!$B$43&gt;0),(((R228-1)*(Skills!T15*(1+Inputs!$B$34/100))+MIN((Skills!T15*(1+Inputs!$B$34/100)),MAX(0,Inputs!$B$43-((R228-1)*Skills!D15))))/Inputs!$B$43),IF(Inputs!$B$38="pvp",MIN((Skills!T15*(1+Inputs!$B$34/100)),15)/15,(Skills!T15*(1+Inputs!$B$34/100))/Skills!D15)))+((C225=TRUE)*F225)+((C242=TRUE)*(F242-Calc!F29)))/100)*I224)</f>
        <v/>
      </c>
      <c r="L224">
        <f>K224*(MIN(Inputs!$B$22+((C236=TRUE)*(F236-Calc!F23)),Inputs!$B$23+((C241=TRUE)*(F241-Calc!F28)))/100+(Inputs!$B$23+((C241=TRUE)*(F241-Calc!F28)))/100)/2</f>
        <v/>
      </c>
      <c r="M224">
        <f>L224*(1+(Inputs!$B$10+0+B250)/100)</f>
        <v/>
      </c>
      <c r="N224">
        <f>L224*(1-MIN((Inputs!$B$9+((C232=TRUE)*(F232-Calc!F19))+B245),100)/100)+M224*(MIN((Inputs!$B$9+((C232=TRUE)*(F232-Calc!F19))+B245),100)/100)</f>
        <v/>
      </c>
      <c r="O224">
        <f>(1-Summary!$B$55)*T224+Summary!$B$55*V224</f>
        <v/>
      </c>
      <c r="P224">
        <f>IF(B255=0,0,O224/B255)</f>
        <v/>
      </c>
      <c r="Q224">
        <f>IFERROR(1/IF(Inputs!$B$38="pvp",15,MAX(0.1,Skills!D11-IF(Skills!E11=TRUE,Inputs!$B$32,0))),0)</f>
        <v/>
      </c>
      <c r="R224">
        <f>IF(AND(Inputs!$B$38&lt;&gt;"pvp",Inputs!$B$43&gt;0),IF(MAX(0,Inputs!$B$43-B252)&lt;=0,0,(INT(MAX(0,Inputs!$B$43-B252)/IF(Inputs!$B$38="pvp",15,MAX(0.1,Skills!D11-IF(Skills!E11=TRUE,Inputs!$B$32,0))))+1)),0)</f>
        <v/>
      </c>
      <c r="S224">
        <f>IFERROR((H224*N224*IF(AND(Inputs!$B$38&lt;&gt;"pvp",Inputs!$B$43&gt;0),((Skills!G11*((R224-1)*IF(Skills!H11&gt;0,Skills!I11/Skills!H11,1)+IF(Skills!H11&gt;0,MIN(Skills!I11,MAX(0,MAX(0,Inputs!$B$43-B252)-((R224-1)*IF(Inputs!$B$38="pvp",15,MAX(0.1,Skills!D11-IF(Skills!E11=TRUE,Inputs!$B$32,0))))))/Skills!H11,1)))/Inputs!$B$43),G224*Q224))/N224*IF(Inputs!$B$38="pvp",1,(1-Summary!$B$55)*1+Summary!$B$55*(MIN(Skills!R11,Inputs!$B$37))),0)</f>
        <v/>
      </c>
      <c r="T224">
        <f>IF(C224,(H224*N224*IF(AND(Inputs!$B$38&lt;&gt;"pvp",Inputs!$B$43&gt;0),((Skills!G11*((R224-1)*IF(Skills!H11&gt;0,Skills!I11/Skills!H11,1)+IF(Skills!H11&gt;0,MIN(Skills!I11,MAX(0,MAX(0,Inputs!$B$43-B252)-((R224-1)*IF(Inputs!$B$38="pvp",15,MAX(0.1,Skills!D11-IF(Skills!E11=TRUE,Inputs!$B$32,0))))))/Skills!H11,1)))/Inputs!$B$43),G224*Q224))*IF(Inputs!$B$38="pvp",1,1+(Inputs!$B$20+0+Skills!P11)/100),0)</f>
        <v/>
      </c>
      <c r="V224">
        <f>IF(C224,(H224*N224*IF(AND(Inputs!$B$38&lt;&gt;"pvp",Inputs!$B$43&gt;0),((Skills!G11*((R224-1)*IF(Skills!H11&gt;0,Skills!I11/Skills!H11,1)+IF(Skills!H11&gt;0,MIN(Skills!I11,MAX(0,MAX(0,Inputs!$B$43-B252)-((R224-1)*IF(Inputs!$B$38="pvp",15,MAX(0.1,Skills!D11-IF(Skills!E11=TRUE,Inputs!$B$32,0))))))/Skills!H11,1)))/Inputs!$B$43),G224*Q224))*IF(Inputs!$B$38="pvp",1,(1+(Inputs!$B$21+Skills!Q11)/100)*(MIN(Skills!R11,Inputs!$B$37))),0)</f>
        <v/>
      </c>
    </row>
    <row r="225">
      <c r="A225">
        <f>Skills!A12</f>
        <v/>
      </c>
      <c r="B225">
        <f>Skills!B12</f>
        <v/>
      </c>
      <c r="C225">
        <f>Inputs!$B$3&gt;=60</f>
        <v/>
      </c>
      <c r="D225">
        <f>IF(Skills!C12=1,60+Inputs!$B$25+Inputs!$B$29,IF(Skills!C12=2,90+Inputs!$B$26+Inputs!$B$29,IF(Skills!C12=3,120+Inputs!$B$27+Inputs!$B$29,MAX(0,(Inputs!$B$3-100)*3)+Inputs!$B$28+Inputs!$B$29)))</f>
        <v/>
      </c>
      <c r="E225">
        <f>INDEX(FactorTable!$B$2:$Y$301, MATCH(ROUND(MIN(300,MAX(1,D225)),0), FactorTable!$A$2:$A$301,0), Skills!M12+1)</f>
        <v/>
      </c>
      <c r="F225">
        <f>IF(Skills!N12=TRUE,(Skills!L12/10)*(E225/1000),Skills!L12/10)+Skills!O12</f>
        <v/>
      </c>
      <c r="G225">
        <f>Skills!G12*IF(Skills!H12&gt;0,Skills!I12/Skills!H12,1)</f>
        <v/>
      </c>
      <c r="H225">
        <f>1-(1-Skills!J12/100)^Skills!K12</f>
        <v/>
      </c>
      <c r="I225" t="inlineStr">
        <is>
          <t>1</t>
        </is>
      </c>
      <c r="J225" t="inlineStr"/>
      <c r="K225" t="inlineStr"/>
      <c r="L225" t="inlineStr"/>
      <c r="M225" t="inlineStr"/>
      <c r="N225" t="inlineStr"/>
      <c r="O225">
        <f>(1-Summary!$B$55)*T225+Summary!$B$55*V225</f>
        <v/>
      </c>
      <c r="P225">
        <f>IF(B255=0,0,O225/B255)</f>
        <v/>
      </c>
      <c r="Q225" t="n">
        <v>0</v>
      </c>
      <c r="R225" t="n">
        <v>0</v>
      </c>
      <c r="S225" t="n">
        <v>0</v>
      </c>
      <c r="T225" t="n">
        <v>0</v>
      </c>
      <c r="V225" t="n">
        <v>0</v>
      </c>
    </row>
    <row r="226">
      <c r="A226">
        <f>Skills!A13</f>
        <v/>
      </c>
      <c r="B226">
        <f>Skills!B13</f>
        <v/>
      </c>
      <c r="C226">
        <f>Inputs!$B$3&gt;=74</f>
        <v/>
      </c>
      <c r="D226">
        <f>IF(Skills!C13=1,60+Inputs!$B$25+Inputs!$B$29,IF(Skills!C13=2,90+Inputs!$B$26+Inputs!$B$29,IF(Skills!C13=3,120+Inputs!$B$27+Inputs!$B$29,MAX(0,(Inputs!$B$3-100)*3)+Inputs!$B$28+Inputs!$B$29)))</f>
        <v/>
      </c>
      <c r="E226">
        <f>INDEX(FactorTable!$B$2:$Y$301, MATCH(ROUND(MIN(300,MAX(1,D226)),0), FactorTable!$A$2:$A$301,0), Skills!M13+1)</f>
        <v/>
      </c>
      <c r="F226">
        <f>IF(Skills!N13=TRUE,(Skills!L13/10)*(E226/1000),Skills!L13/10)+Skills!O13</f>
        <v/>
      </c>
      <c r="G226">
        <f>Skills!G13*IF(Skills!H13&gt;0,Skills!I13/Skills!H13,1)</f>
        <v/>
      </c>
      <c r="H226">
        <f>1-(1-Skills!J13/100)^Skills!K13</f>
        <v/>
      </c>
      <c r="I226" t="inlineStr">
        <is>
          <t>1</t>
        </is>
      </c>
      <c r="J226" t="inlineStr"/>
      <c r="K226" t="inlineStr"/>
      <c r="L226" t="inlineStr"/>
      <c r="M226" t="inlineStr"/>
      <c r="N226" t="inlineStr"/>
      <c r="O226">
        <f>(1-Summary!$B$55)*T226+Summary!$B$55*V226</f>
        <v/>
      </c>
      <c r="P226">
        <f>IF(B255=0,0,O226/B255)</f>
        <v/>
      </c>
      <c r="Q226" t="n">
        <v>0</v>
      </c>
      <c r="R226" t="n">
        <v>0</v>
      </c>
      <c r="S226" t="n">
        <v>0</v>
      </c>
      <c r="T226" t="n">
        <v>0</v>
      </c>
      <c r="V226" t="n">
        <v>0</v>
      </c>
    </row>
    <row r="227">
      <c r="A227">
        <f>Skills!A14</f>
        <v/>
      </c>
      <c r="B227">
        <f>Skills!B14</f>
        <v/>
      </c>
      <c r="C227">
        <f>Inputs!$B$3&gt;=74</f>
        <v/>
      </c>
      <c r="D227">
        <f>IF(Skills!C14=1,60+Inputs!$B$25+Inputs!$B$29,IF(Skills!C14=2,90+Inputs!$B$26+Inputs!$B$29,IF(Skills!C14=3,120+Inputs!$B$27+Inputs!$B$29,MAX(0,(Inputs!$B$3-100)*3)+Inputs!$B$28+Inputs!$B$29)))</f>
        <v/>
      </c>
      <c r="E227">
        <f>INDEX(FactorTable!$B$2:$Y$301, MATCH(ROUND(MIN(300,MAX(1,D227)),0), FactorTable!$A$2:$A$301,0), Skills!M14+1)</f>
        <v/>
      </c>
      <c r="F227">
        <f>IF(Skills!N14=TRUE,(Skills!L14/10)*(E227/1000),Skills!L14/10)+Skills!O14</f>
        <v/>
      </c>
      <c r="G227">
        <f>Skills!G14*IF(Skills!H14&gt;0,Skills!I14/Skills!H14,1)</f>
        <v/>
      </c>
      <c r="H227">
        <f>1-(1-Skills!J14/100)^Skills!K14</f>
        <v/>
      </c>
      <c r="I227" t="inlineStr">
        <is>
          <t>1</t>
        </is>
      </c>
      <c r="J227" t="inlineStr"/>
      <c r="K227" t="inlineStr"/>
      <c r="L227" t="inlineStr"/>
      <c r="M227" t="inlineStr"/>
      <c r="N227" t="inlineStr"/>
      <c r="O227">
        <f>(1-Summary!$B$55)*T227+Summary!$B$55*V227</f>
        <v/>
      </c>
      <c r="P227">
        <f>IF(B255=0,0,O227/B255)</f>
        <v/>
      </c>
      <c r="Q227" t="n">
        <v>0</v>
      </c>
      <c r="R227" t="n">
        <v>0</v>
      </c>
      <c r="S227" t="n">
        <v>0</v>
      </c>
      <c r="T227" t="n">
        <v>0</v>
      </c>
      <c r="V227" t="n">
        <v>0</v>
      </c>
    </row>
    <row r="228">
      <c r="A228">
        <f>Skills!A15</f>
        <v/>
      </c>
      <c r="B228">
        <f>Skills!B15</f>
        <v/>
      </c>
      <c r="C228">
        <f>Inputs!$B$3&gt;=117</f>
        <v/>
      </c>
      <c r="D228">
        <f>IF(Skills!C15=1,60+Inputs!$B$25+Inputs!$B$29,IF(Skills!C15=2,90+Inputs!$B$26+Inputs!$B$29,IF(Skills!C15=3,120+Inputs!$B$27+Inputs!$B$29,MAX(0,(Inputs!$B$3-100)*3)+Inputs!$B$28+Inputs!$B$29)))</f>
        <v/>
      </c>
      <c r="E228">
        <f>INDEX(FactorTable!$B$2:$Y$301, MATCH(ROUND(MIN(300,MAX(1,D228)),0), FactorTable!$A$2:$A$301,0), Skills!M15+1)</f>
        <v/>
      </c>
      <c r="F228">
        <f>IF(Skills!N15=TRUE,(Skills!L15/10)*(E228/1000),Skills!L15/10)+Skills!O15</f>
        <v/>
      </c>
      <c r="G228">
        <f>Skills!G15*IF(Skills!H15&gt;0,Skills!I15/Skills!H15,1)</f>
        <v/>
      </c>
      <c r="H228">
        <f>1-(1-Skills!J15/100)^Skills!K15</f>
        <v/>
      </c>
      <c r="I228" t="inlineStr">
        <is>
          <t>1</t>
        </is>
      </c>
      <c r="J228" t="inlineStr"/>
      <c r="K228" t="inlineStr"/>
      <c r="L228" t="inlineStr"/>
      <c r="M228" t="inlineStr"/>
      <c r="N228" t="inlineStr"/>
      <c r="O228">
        <f>(1-Summary!$B$55)*T228+Summary!$B$55*V228</f>
        <v/>
      </c>
      <c r="P228">
        <f>IF(B255=0,0,O228/B255)</f>
        <v/>
      </c>
      <c r="Q228">
        <f>IFERROR(1/IF(Inputs!$B$38="pvp",15,MAX(0.1,Skills!D15-IF(Skills!E15=TRUE,Inputs!$B$32,0))),0)</f>
        <v/>
      </c>
      <c r="R228">
        <f>IF(AND(Inputs!$B$38&lt;&gt;"pvp",Inputs!$B$43&gt;0),IF(Inputs!$B$43&lt;=0,0,(INT(Inputs!$B$43/IF(Inputs!$B$38="pvp",15,MAX(0.1,Skills!D15-IF(Skills!E15=TRUE,Inputs!$B$32,0))))+1)),0)</f>
        <v/>
      </c>
      <c r="S228" t="n">
        <v>0</v>
      </c>
      <c r="T228" t="n">
        <v>0</v>
      </c>
      <c r="V228" t="n">
        <v>0</v>
      </c>
    </row>
    <row r="229">
      <c r="A229">
        <f>Skills!A16</f>
        <v/>
      </c>
      <c r="B229">
        <f>Skills!B16</f>
        <v/>
      </c>
      <c r="C229">
        <f>Inputs!$B$3&gt;=115</f>
        <v/>
      </c>
      <c r="D229">
        <f>IF(Skills!C16=1,60+Inputs!$B$25+Inputs!$B$29,IF(Skills!C16=2,90+Inputs!$B$26+Inputs!$B$29,IF(Skills!C16=3,120+Inputs!$B$27+Inputs!$B$29,MAX(0,(Inputs!$B$3-100)*3)+Inputs!$B$28+Inputs!$B$29)))</f>
        <v/>
      </c>
      <c r="E229">
        <f>INDEX(FactorTable!$B$2:$Y$301, MATCH(ROUND(MIN(300,MAX(1,D229)),0), FactorTable!$A$2:$A$301,0), Skills!M16+1)</f>
        <v/>
      </c>
      <c r="F229">
        <f>IF(Skills!N16=TRUE,(Skills!L16/10)*(E229/1000),Skills!L16/10)+Skills!O16</f>
        <v/>
      </c>
      <c r="G229">
        <f>Skills!G16*IF(Skills!H16&gt;0,Skills!I16/Skills!H16,1)</f>
        <v/>
      </c>
      <c r="H229">
        <f>1-(1-Skills!J16/100)^Skills!K16</f>
        <v/>
      </c>
      <c r="I229" t="inlineStr">
        <is>
          <t>1</t>
        </is>
      </c>
      <c r="J229" t="inlineStr"/>
      <c r="K229" t="inlineStr"/>
      <c r="L229" t="inlineStr"/>
      <c r="M229" t="inlineStr"/>
      <c r="N229" t="inlineStr"/>
      <c r="O229">
        <f>(1-Summary!$B$55)*T229+Summary!$B$55*V229</f>
        <v/>
      </c>
      <c r="P229">
        <f>IF(B255=0,0,O229/B255)</f>
        <v/>
      </c>
      <c r="Q229">
        <f>IFERROR(1/IF(Inputs!$B$38="pvp",15,MAX(0.1,Skills!D16-IF(Skills!E16=TRUE,Inputs!$B$32,0))),0)</f>
        <v/>
      </c>
      <c r="R229">
        <f>IF(AND(Inputs!$B$38&lt;&gt;"pvp",Inputs!$B$43&gt;0),IF(Inputs!$B$43&lt;=0,0,(INT(Inputs!$B$43/IF(Inputs!$B$38="pvp",15,MAX(0.1,Skills!D16-IF(Skills!E16=TRUE,Inputs!$B$32,0))))+1)),0)</f>
        <v/>
      </c>
      <c r="S229" t="n">
        <v>0</v>
      </c>
      <c r="T229" t="n">
        <v>0</v>
      </c>
      <c r="V229" t="n">
        <v>0</v>
      </c>
    </row>
    <row r="230">
      <c r="A230">
        <f>Skills!A17</f>
        <v/>
      </c>
      <c r="B230">
        <f>Skills!B17</f>
        <v/>
      </c>
      <c r="C230">
        <f>Inputs!$B$3&gt;=72</f>
        <v/>
      </c>
      <c r="D230">
        <f>IF(Skills!C17=1,60+Inputs!$B$25+Inputs!$B$29,IF(Skills!C17=2,90+Inputs!$B$26+Inputs!$B$29,IF(Skills!C17=3,120+Inputs!$B$27+Inputs!$B$29,MAX(0,(Inputs!$B$3-100)*3)+Inputs!$B$28+Inputs!$B$29)))</f>
        <v/>
      </c>
      <c r="E230">
        <f>INDEX(FactorTable!$B$2:$Y$301, MATCH(ROUND(MIN(300,MAX(1,D230)),0), FactorTable!$A$2:$A$301,0), Skills!M17+1)</f>
        <v/>
      </c>
      <c r="F230">
        <f>IF(Skills!N17=TRUE,(Skills!L17/10)*(E230/1000),Skills!L17/10)+Skills!O17</f>
        <v/>
      </c>
      <c r="G230">
        <f>Skills!G17*IF(Skills!H17&gt;0,Skills!I17/Skills!H17,1)</f>
        <v/>
      </c>
      <c r="H230">
        <f>1-(1-Skills!J17/100)^Skills!K17</f>
        <v/>
      </c>
      <c r="I230" t="inlineStr">
        <is>
          <t>1</t>
        </is>
      </c>
      <c r="J230" t="inlineStr"/>
      <c r="K230" t="inlineStr"/>
      <c r="L230" t="inlineStr"/>
      <c r="M230" t="inlineStr"/>
      <c r="N230" t="inlineStr"/>
      <c r="O230">
        <f>(1-Summary!$B$55)*T230+Summary!$B$55*V230</f>
        <v/>
      </c>
      <c r="P230">
        <f>IF(B255=0,0,O230/B255)</f>
        <v/>
      </c>
      <c r="Q230" t="n">
        <v>0</v>
      </c>
      <c r="R230" t="n">
        <v>0</v>
      </c>
      <c r="S230" t="n">
        <v>0</v>
      </c>
      <c r="T230" t="n">
        <v>0</v>
      </c>
      <c r="V230" t="n">
        <v>0</v>
      </c>
    </row>
    <row r="231">
      <c r="A231">
        <f>Skills!A18</f>
        <v/>
      </c>
      <c r="B231">
        <f>Skills!B18</f>
        <v/>
      </c>
      <c r="C231">
        <f>TRUE</f>
        <v/>
      </c>
      <c r="D231">
        <f>IF(Skills!C18=1,60+Inputs!$B$25+Inputs!$B$29,IF(Skills!C18=2,90+Inputs!$B$26+Inputs!$B$29,IF(Skills!C18=3,120+Inputs!$B$27+Inputs!$B$29,MAX(0,(Inputs!$B$3-100)*3)+Inputs!$B$28+Inputs!$B$29)))</f>
        <v/>
      </c>
      <c r="E231">
        <f>INDEX(FactorTable!$B$2:$Y$301, MATCH(ROUND(MIN(300,MAX(1,D231)),0), FactorTable!$A$2:$A$301,0), Skills!M18+1)</f>
        <v/>
      </c>
      <c r="F231">
        <f>IF(Skills!N18=TRUE,(Skills!L18/10)*(E231/1000),Skills!L18/10)+Skills!O18</f>
        <v/>
      </c>
      <c r="G231">
        <f>Skills!G18*IF(Skills!H18&gt;0,Skills!I18/Skills!H18,1)</f>
        <v/>
      </c>
      <c r="H231">
        <f>1-(1-Skills!J18/100)^Skills!K18</f>
        <v/>
      </c>
      <c r="I231" t="inlineStr">
        <is>
          <t>1</t>
        </is>
      </c>
      <c r="J231" t="inlineStr"/>
      <c r="K231" t="inlineStr"/>
      <c r="L231" t="inlineStr"/>
      <c r="M231" t="inlineStr"/>
      <c r="N231" t="inlineStr"/>
      <c r="O231">
        <f>(1-Summary!$B$55)*T231+Summary!$B$55*V231</f>
        <v/>
      </c>
      <c r="P231">
        <f>IF(B255=0,0,O231/B255)</f>
        <v/>
      </c>
      <c r="Q231">
        <f>IFERROR(1/IF(Inputs!$B$38="pvp",15,MAX(0.1,Skills!D18-IF(Skills!E18=TRUE,Inputs!$B$32,0))),0)</f>
        <v/>
      </c>
      <c r="R231">
        <f>IF(AND(Inputs!$B$38&lt;&gt;"pvp",Inputs!$B$43&gt;0),IF(Inputs!$B$43&lt;=0,0,(INT(Inputs!$B$43/IF(Inputs!$B$38="pvp",15,MAX(0.1,Skills!D18-IF(Skills!E18=TRUE,Inputs!$B$32,0))))+1)),0)</f>
        <v/>
      </c>
      <c r="S231" t="n">
        <v>0</v>
      </c>
      <c r="T231" t="n">
        <v>0</v>
      </c>
      <c r="V231" t="n">
        <v>0</v>
      </c>
    </row>
    <row r="232">
      <c r="A232">
        <f>Skills!A19</f>
        <v/>
      </c>
      <c r="B232">
        <f>Skills!B19</f>
        <v/>
      </c>
      <c r="C232">
        <f>Inputs!$B$3&gt;=15</f>
        <v/>
      </c>
      <c r="D232">
        <f>IF(Skills!C19=1,60+Inputs!$B$25+Inputs!$B$29,IF(Skills!C19=2,90+Inputs!$B$26+Inputs!$B$29,IF(Skills!C19=3,120+Inputs!$B$27+Inputs!$B$29,MAX(0,(Inputs!$B$3-100)*3)+Inputs!$B$28+Inputs!$B$29)))</f>
        <v/>
      </c>
      <c r="E232">
        <f>INDEX(FactorTable!$B$2:$Y$301, MATCH(ROUND(MIN(300,MAX(1,D232)),0), FactorTable!$A$2:$A$301,0), Skills!M19+1)</f>
        <v/>
      </c>
      <c r="F232">
        <f>IF(Skills!N19=TRUE,(Skills!L19/10)*(E232/1000),Skills!L19/10)+Skills!O19</f>
        <v/>
      </c>
      <c r="G232">
        <f>Skills!G19*IF(Skills!H19&gt;0,Skills!I19/Skills!H19,1)</f>
        <v/>
      </c>
      <c r="H232">
        <f>1-(1-Skills!J19/100)^Skills!K19</f>
        <v/>
      </c>
      <c r="I232" t="inlineStr">
        <is>
          <t>1</t>
        </is>
      </c>
      <c r="J232" t="inlineStr"/>
      <c r="K232" t="inlineStr"/>
      <c r="L232" t="inlineStr"/>
      <c r="M232" t="inlineStr"/>
      <c r="N232" t="inlineStr"/>
      <c r="O232">
        <f>(1-Summary!$B$55)*T232+Summary!$B$55*V232</f>
        <v/>
      </c>
      <c r="P232">
        <f>IF(B255=0,0,O232/B255)</f>
        <v/>
      </c>
      <c r="Q232" t="n">
        <v>0</v>
      </c>
      <c r="R232" t="n">
        <v>0</v>
      </c>
      <c r="S232" t="n">
        <v>0</v>
      </c>
      <c r="T232" t="n">
        <v>0</v>
      </c>
      <c r="V232" t="n">
        <v>0</v>
      </c>
    </row>
    <row r="233">
      <c r="A233">
        <f>Skills!A20</f>
        <v/>
      </c>
      <c r="B233">
        <f>Skills!B20</f>
        <v/>
      </c>
      <c r="C233">
        <f>Inputs!$B$3&gt;=10</f>
        <v/>
      </c>
      <c r="D233">
        <f>IF(Skills!C20=1,60+Inputs!$B$25+Inputs!$B$29,IF(Skills!C20=2,90+Inputs!$B$26+Inputs!$B$29,IF(Skills!C20=3,120+Inputs!$B$27+Inputs!$B$29,MAX(0,(Inputs!$B$3-100)*3)+Inputs!$B$28+Inputs!$B$29)))</f>
        <v/>
      </c>
      <c r="E233">
        <f>INDEX(FactorTable!$B$2:$Y$301, MATCH(ROUND(MIN(300,MAX(1,D233)),0), FactorTable!$A$2:$A$301,0), Skills!M20+1)</f>
        <v/>
      </c>
      <c r="F233">
        <f>IF(Skills!N20=TRUE,(Skills!L20/10)*(E233/1000),Skills!L20/10)+Skills!O20</f>
        <v/>
      </c>
      <c r="G233">
        <f>Skills!G20*IF(Skills!H20&gt;0,Skills!I20/Skills!H20,1)</f>
        <v/>
      </c>
      <c r="H233">
        <f>1-(1-Skills!J20/100)^Skills!K20</f>
        <v/>
      </c>
      <c r="I233" t="inlineStr">
        <is>
          <t>1</t>
        </is>
      </c>
      <c r="J233" t="inlineStr"/>
      <c r="K233" t="inlineStr"/>
      <c r="L233" t="inlineStr"/>
      <c r="M233" t="inlineStr"/>
      <c r="N233" t="inlineStr"/>
      <c r="O233">
        <f>(1-Summary!$B$55)*T233+Summary!$B$55*V233</f>
        <v/>
      </c>
      <c r="P233">
        <f>IF(B255=0,0,O233/B255)</f>
        <v/>
      </c>
      <c r="Q233" t="n">
        <v>0</v>
      </c>
      <c r="R233" t="n">
        <v>0</v>
      </c>
      <c r="S233" t="n">
        <v>0</v>
      </c>
      <c r="T233" t="n">
        <v>0</v>
      </c>
      <c r="V233" t="n">
        <v>0</v>
      </c>
    </row>
    <row r="234">
      <c r="A234">
        <f>Skills!A21</f>
        <v/>
      </c>
      <c r="B234">
        <f>Skills!B21</f>
        <v/>
      </c>
      <c r="C234">
        <f>Inputs!$B$3&gt;=33</f>
        <v/>
      </c>
      <c r="D234">
        <f>IF(Skills!C21=1,60+Inputs!$B$25+Inputs!$B$29,IF(Skills!C21=2,90+Inputs!$B$26+Inputs!$B$29,IF(Skills!C21=3,120+Inputs!$B$27+Inputs!$B$29,MAX(0,(Inputs!$B$3-100)*3)+Inputs!$B$28+Inputs!$B$29)))</f>
        <v/>
      </c>
      <c r="E234">
        <f>INDEX(FactorTable!$B$2:$Y$301, MATCH(ROUND(MIN(300,MAX(1,D234)),0), FactorTable!$A$2:$A$301,0), Skills!M21+1)</f>
        <v/>
      </c>
      <c r="F234">
        <f>IF(Skills!N21=TRUE,(Skills!L21/10)*(E234/1000),Skills!L21/10)+Skills!O21</f>
        <v/>
      </c>
      <c r="G234">
        <f>Skills!G21*IF(Skills!H21&gt;0,Skills!I21/Skills!H21,1)</f>
        <v/>
      </c>
      <c r="H234">
        <f>1-(1-Skills!J21/100)^Skills!K21</f>
        <v/>
      </c>
      <c r="I234" t="inlineStr">
        <is>
          <t>1</t>
        </is>
      </c>
      <c r="J234" t="inlineStr"/>
      <c r="K234" t="inlineStr"/>
      <c r="L234" t="inlineStr"/>
      <c r="M234" t="inlineStr"/>
      <c r="N234" t="inlineStr"/>
      <c r="O234">
        <f>(1-Summary!$B$55)*T234+Summary!$B$55*V234</f>
        <v/>
      </c>
      <c r="P234">
        <f>IF(B255=0,0,O234/B255)</f>
        <v/>
      </c>
      <c r="Q234" t="n">
        <v>0</v>
      </c>
      <c r="R234" t="n">
        <v>0</v>
      </c>
      <c r="S234" t="n">
        <v>0</v>
      </c>
      <c r="T234" t="n">
        <v>0</v>
      </c>
      <c r="V234" t="n">
        <v>0</v>
      </c>
    </row>
    <row r="235">
      <c r="A235">
        <f>Skills!A22</f>
        <v/>
      </c>
      <c r="B235">
        <f>Skills!B22</f>
        <v/>
      </c>
      <c r="C235">
        <f>Inputs!$B$3&gt;=38</f>
        <v/>
      </c>
      <c r="D235">
        <f>IF(Skills!C22=1,60+Inputs!$B$25+Inputs!$B$29,IF(Skills!C22=2,90+Inputs!$B$26+Inputs!$B$29,IF(Skills!C22=3,120+Inputs!$B$27+Inputs!$B$29,MAX(0,(Inputs!$B$3-100)*3)+Inputs!$B$28+Inputs!$B$29)))</f>
        <v/>
      </c>
      <c r="E235">
        <f>INDEX(FactorTable!$B$2:$Y$301, MATCH(ROUND(MIN(300,MAX(1,D235)),0), FactorTable!$A$2:$A$301,0), Skills!M22+1)</f>
        <v/>
      </c>
      <c r="F235">
        <f>IF(Skills!N22=TRUE,(Skills!L22/10)*(E235/1000),Skills!L22/10)+Skills!O22</f>
        <v/>
      </c>
      <c r="G235">
        <f>Skills!G22*IF(Skills!H22&gt;0,Skills!I22/Skills!H22,1)</f>
        <v/>
      </c>
      <c r="H235">
        <f>1-(1-Skills!J22/100)^Skills!K22</f>
        <v/>
      </c>
      <c r="I235" t="inlineStr">
        <is>
          <t>1</t>
        </is>
      </c>
      <c r="J235" t="inlineStr"/>
      <c r="K235" t="inlineStr"/>
      <c r="L235" t="inlineStr"/>
      <c r="M235" t="inlineStr"/>
      <c r="N235" t="inlineStr"/>
      <c r="O235">
        <f>(1-Summary!$B$55)*T235+Summary!$B$55*V235</f>
        <v/>
      </c>
      <c r="P235">
        <f>IF(B255=0,0,O235/B255)</f>
        <v/>
      </c>
      <c r="Q235" t="n">
        <v>0</v>
      </c>
      <c r="R235" t="n">
        <v>0</v>
      </c>
      <c r="S235" t="n">
        <v>0</v>
      </c>
      <c r="T235" t="n">
        <v>0</v>
      </c>
      <c r="V235" t="n">
        <v>0</v>
      </c>
    </row>
    <row r="236">
      <c r="A236">
        <f>Skills!A23</f>
        <v/>
      </c>
      <c r="B236">
        <f>Skills!B23</f>
        <v/>
      </c>
      <c r="C236">
        <f>Inputs!$B$3&gt;=43</f>
        <v/>
      </c>
      <c r="D236">
        <f>IF(Skills!C23=1,60+Inputs!$B$25+Inputs!$B$29,IF(Skills!C23=2,90+Inputs!$B$26+Inputs!$B$29,IF(Skills!C23=3,120+Inputs!$B$27+Inputs!$B$29,MAX(0,(Inputs!$B$3-100)*3)+Inputs!$B$28+Inputs!$B$29)))</f>
        <v/>
      </c>
      <c r="E236">
        <f>INDEX(FactorTable!$B$2:$Y$301, MATCH(ROUND(MIN(300,MAX(1,D236)),0), FactorTable!$A$2:$A$301,0), Skills!M23+1)</f>
        <v/>
      </c>
      <c r="F236">
        <f>IF(Skills!N23=TRUE,(Skills!L23/10)*(E236/1000),Skills!L23/10)+Skills!O23</f>
        <v/>
      </c>
      <c r="G236">
        <f>Skills!G23*IF(Skills!H23&gt;0,Skills!I23/Skills!H23,1)</f>
        <v/>
      </c>
      <c r="H236">
        <f>1-(1-Skills!J23/100)^Skills!K23</f>
        <v/>
      </c>
      <c r="I236" t="inlineStr">
        <is>
          <t>1</t>
        </is>
      </c>
      <c r="J236" t="inlineStr"/>
      <c r="K236" t="inlineStr"/>
      <c r="L236" t="inlineStr"/>
      <c r="M236" t="inlineStr"/>
      <c r="N236" t="inlineStr"/>
      <c r="O236">
        <f>(1-Summary!$B$55)*T236+Summary!$B$55*V236</f>
        <v/>
      </c>
      <c r="P236">
        <f>IF(B255=0,0,O236/B255)</f>
        <v/>
      </c>
      <c r="Q236" t="n">
        <v>0</v>
      </c>
      <c r="R236" t="n">
        <v>0</v>
      </c>
      <c r="S236" t="n">
        <v>0</v>
      </c>
      <c r="T236" t="n">
        <v>0</v>
      </c>
      <c r="V236" t="n">
        <v>0</v>
      </c>
    </row>
    <row r="237">
      <c r="A237">
        <f>Skills!A24</f>
        <v/>
      </c>
      <c r="B237">
        <f>Skills!B24</f>
        <v/>
      </c>
      <c r="C237">
        <f>Inputs!$B$3&gt;=75</f>
        <v/>
      </c>
      <c r="D237">
        <f>IF(Skills!C24=1,60+Inputs!$B$25+Inputs!$B$29,IF(Skills!C24=2,90+Inputs!$B$26+Inputs!$B$29,IF(Skills!C24=3,120+Inputs!$B$27+Inputs!$B$29,MAX(0,(Inputs!$B$3-100)*3)+Inputs!$B$28+Inputs!$B$29)))</f>
        <v/>
      </c>
      <c r="E237">
        <f>INDEX(FactorTable!$B$2:$Y$301, MATCH(ROUND(MIN(300,MAX(1,D237)),0), FactorTable!$A$2:$A$301,0), Skills!M24+1)</f>
        <v/>
      </c>
      <c r="F237">
        <f>IF(Skills!N24=TRUE,(Skills!L24/10)*(E237/1000),Skills!L24/10)+Skills!O24</f>
        <v/>
      </c>
      <c r="G237">
        <f>Skills!G24*IF(Skills!H24&gt;0,Skills!I24/Skills!H24,1)</f>
        <v/>
      </c>
      <c r="H237">
        <f>1-(1-Skills!J24/100)^Skills!K24</f>
        <v/>
      </c>
      <c r="I237" t="inlineStr">
        <is>
          <t>1</t>
        </is>
      </c>
      <c r="J237" t="inlineStr"/>
      <c r="K237" t="inlineStr"/>
      <c r="L237" t="inlineStr"/>
      <c r="M237" t="inlineStr"/>
      <c r="N237" t="inlineStr"/>
      <c r="O237">
        <f>(1-Summary!$B$55)*T237+Summary!$B$55*V237</f>
        <v/>
      </c>
      <c r="P237">
        <f>IF(B255=0,0,O237/B255)</f>
        <v/>
      </c>
      <c r="Q237" t="n">
        <v>0</v>
      </c>
      <c r="R237" t="n">
        <v>0</v>
      </c>
      <c r="S237" t="n">
        <v>0</v>
      </c>
      <c r="T237" t="n">
        <v>0</v>
      </c>
      <c r="V237" t="n">
        <v>0</v>
      </c>
    </row>
    <row r="238">
      <c r="A238">
        <f>Skills!A25</f>
        <v/>
      </c>
      <c r="B238">
        <f>Skills!B25</f>
        <v/>
      </c>
      <c r="C238">
        <f>Inputs!$B$3&gt;=125</f>
        <v/>
      </c>
      <c r="D238">
        <f>IF(Skills!C25=1,60+Inputs!$B$25+Inputs!$B$29,IF(Skills!C25=2,90+Inputs!$B$26+Inputs!$B$29,IF(Skills!C25=3,120+Inputs!$B$27+Inputs!$B$29,MAX(0,(Inputs!$B$3-100)*3)+Inputs!$B$28+Inputs!$B$29)))</f>
        <v/>
      </c>
      <c r="E238">
        <f>INDEX(FactorTable!$B$2:$Y$301, MATCH(ROUND(MIN(300,MAX(1,D238)),0), FactorTable!$A$2:$A$301,0), Skills!M25+1)</f>
        <v/>
      </c>
      <c r="F238">
        <f>IF(Skills!N25=TRUE,(Skills!L25/10)*(E238/1000),Skills!L25/10)+Skills!O25</f>
        <v/>
      </c>
      <c r="G238">
        <f>Skills!G25*IF(Skills!H25&gt;0,Skills!I25/Skills!H25,1)</f>
        <v/>
      </c>
      <c r="H238">
        <f>1-(1-Skills!J25/100)^Skills!K25</f>
        <v/>
      </c>
      <c r="I238" t="inlineStr">
        <is>
          <t>1</t>
        </is>
      </c>
      <c r="J238" t="inlineStr"/>
      <c r="K238" t="inlineStr"/>
      <c r="L238" t="inlineStr"/>
      <c r="M238" t="inlineStr"/>
      <c r="N238" t="inlineStr"/>
      <c r="O238">
        <f>(1-Summary!$B$55)*T238+Summary!$B$55*V238</f>
        <v/>
      </c>
      <c r="P238">
        <f>IF(B255=0,0,O238/B255)</f>
        <v/>
      </c>
      <c r="Q238" t="n">
        <v>0</v>
      </c>
      <c r="R238" t="n">
        <v>0</v>
      </c>
      <c r="S238" t="n">
        <v>0</v>
      </c>
      <c r="T238" t="n">
        <v>0</v>
      </c>
      <c r="V238" t="n">
        <v>0</v>
      </c>
    </row>
    <row r="239">
      <c r="A239">
        <f>Skills!A26</f>
        <v/>
      </c>
      <c r="B239">
        <f>Skills!B26</f>
        <v/>
      </c>
      <c r="C239">
        <f>Inputs!$B$3&gt;=125</f>
        <v/>
      </c>
      <c r="D239">
        <f>IF(Skills!C26=1,60+Inputs!$B$25+Inputs!$B$29,IF(Skills!C26=2,90+Inputs!$B$26+Inputs!$B$29,IF(Skills!C26=3,120+Inputs!$B$27+Inputs!$B$29,MAX(0,(Inputs!$B$3-100)*3)+Inputs!$B$28+Inputs!$B$29)))</f>
        <v/>
      </c>
      <c r="E239">
        <f>INDEX(FactorTable!$B$2:$Y$301, MATCH(ROUND(MIN(300,MAX(1,D239)),0), FactorTable!$A$2:$A$301,0), Skills!M26+1)</f>
        <v/>
      </c>
      <c r="F239">
        <f>IF(Skills!N26=TRUE,(Skills!L26/10)*(E239/1000),Skills!L26/10)+Skills!O26</f>
        <v/>
      </c>
      <c r="G239">
        <f>Skills!G26*IF(Skills!H26&gt;0,Skills!I26/Skills!H26,1)</f>
        <v/>
      </c>
      <c r="H239">
        <f>1-(1-Skills!J26/100)^Skills!K26</f>
        <v/>
      </c>
      <c r="I239" t="inlineStr">
        <is>
          <t>1</t>
        </is>
      </c>
      <c r="J239" t="inlineStr"/>
      <c r="K239" t="inlineStr"/>
      <c r="L239" t="inlineStr"/>
      <c r="M239" t="inlineStr"/>
      <c r="N239" t="inlineStr"/>
      <c r="O239">
        <f>(1-Summary!$B$55)*T239+Summary!$B$55*V239</f>
        <v/>
      </c>
      <c r="P239">
        <f>IF(B255=0,0,O239/B255)</f>
        <v/>
      </c>
      <c r="Q239" t="n">
        <v>0</v>
      </c>
      <c r="R239" t="n">
        <v>0</v>
      </c>
      <c r="S239" t="n">
        <v>0</v>
      </c>
      <c r="T239" t="n">
        <v>0</v>
      </c>
      <c r="V239" t="n">
        <v>0</v>
      </c>
    </row>
    <row r="240">
      <c r="A240">
        <f>Skills!A27</f>
        <v/>
      </c>
      <c r="B240">
        <f>Skills!B27</f>
        <v/>
      </c>
      <c r="C240">
        <f>Inputs!$B$3&gt;=120</f>
        <v/>
      </c>
      <c r="D240">
        <f>IF(Skills!C27=1,60+Inputs!$B$25+Inputs!$B$29,IF(Skills!C27=2,90+Inputs!$B$26+Inputs!$B$29,IF(Skills!C27=3,120+Inputs!$B$27+Inputs!$B$29,MAX(0,(Inputs!$B$3-100)*3)+Inputs!$B$28+Inputs!$B$29)))</f>
        <v/>
      </c>
      <c r="E240">
        <f>INDEX(FactorTable!$B$2:$Y$301, MATCH(ROUND(MIN(300,MAX(1,D240)),0), FactorTable!$A$2:$A$301,0), Skills!M27+1)</f>
        <v/>
      </c>
      <c r="F240">
        <f>IF(Skills!N27=TRUE,(Skills!L27/10)*(E240/1000),Skills!L27/10)+Skills!O27</f>
        <v/>
      </c>
      <c r="G240">
        <f>Skills!G27*IF(Skills!H27&gt;0,Skills!I27/Skills!H27,1)</f>
        <v/>
      </c>
      <c r="H240">
        <f>1-(1-Skills!J27/100)^Skills!K27</f>
        <v/>
      </c>
      <c r="I240" t="inlineStr">
        <is>
          <t>1</t>
        </is>
      </c>
      <c r="J240" t="inlineStr"/>
      <c r="K240" t="inlineStr"/>
      <c r="L240" t="inlineStr"/>
      <c r="M240" t="inlineStr"/>
      <c r="N240" t="inlineStr"/>
      <c r="O240">
        <f>(1-Summary!$B$55)*T240+Summary!$B$55*V240</f>
        <v/>
      </c>
      <c r="P240">
        <f>IF(B255=0,0,O240/B255)</f>
        <v/>
      </c>
      <c r="Q240" t="n">
        <v>0</v>
      </c>
      <c r="R240" t="n">
        <v>0</v>
      </c>
      <c r="S240" t="n">
        <v>0</v>
      </c>
      <c r="T240" t="n">
        <v>0</v>
      </c>
      <c r="V240" t="n">
        <v>0</v>
      </c>
    </row>
    <row r="241">
      <c r="A241">
        <f>Skills!A28</f>
        <v/>
      </c>
      <c r="B241">
        <f>Skills!B28</f>
        <v/>
      </c>
      <c r="C241">
        <f>Inputs!$B$3&gt;=120</f>
        <v/>
      </c>
      <c r="D241">
        <f>IF(Skills!C28=1,60+Inputs!$B$25+Inputs!$B$29,IF(Skills!C28=2,90+Inputs!$B$26+Inputs!$B$29,IF(Skills!C28=3,120+Inputs!$B$27+Inputs!$B$29,MAX(0,(Inputs!$B$3-100)*3)+Inputs!$B$28+Inputs!$B$29)))</f>
        <v/>
      </c>
      <c r="E241">
        <f>INDEX(FactorTable!$B$2:$Y$301, MATCH(ROUND(MIN(300,MAX(1,D241)),0), FactorTable!$A$2:$A$301,0), Skills!M28+1)</f>
        <v/>
      </c>
      <c r="F241">
        <f>IF(Skills!N28=TRUE,(Skills!L28/10)*(E241/1000),Skills!L28/10)+Skills!O28</f>
        <v/>
      </c>
      <c r="G241">
        <f>Skills!G28*IF(Skills!H28&gt;0,Skills!I28/Skills!H28,1)</f>
        <v/>
      </c>
      <c r="H241">
        <f>1-(1-Skills!J28/100)^Skills!K28</f>
        <v/>
      </c>
      <c r="I241" t="inlineStr">
        <is>
          <t>1</t>
        </is>
      </c>
      <c r="J241" t="inlineStr"/>
      <c r="K241" t="inlineStr"/>
      <c r="L241" t="inlineStr"/>
      <c r="M241" t="inlineStr"/>
      <c r="N241" t="inlineStr"/>
      <c r="O241">
        <f>(1-Summary!$B$55)*T241+Summary!$B$55*V241</f>
        <v/>
      </c>
      <c r="P241">
        <f>IF(B255=0,0,O241/B255)</f>
        <v/>
      </c>
      <c r="Q241" t="n">
        <v>0</v>
      </c>
      <c r="R241" t="n">
        <v>0</v>
      </c>
      <c r="S241" t="n">
        <v>0</v>
      </c>
      <c r="T241" t="n">
        <v>0</v>
      </c>
      <c r="V241" t="n">
        <v>0</v>
      </c>
    </row>
    <row r="242">
      <c r="A242">
        <f>Skills!A29</f>
        <v/>
      </c>
      <c r="B242">
        <f>Skills!B29</f>
        <v/>
      </c>
      <c r="C242">
        <f>Inputs!$B$3&gt;=45</f>
        <v/>
      </c>
      <c r="D242">
        <f>IF(Skills!C29=1,60+Inputs!$B$25+Inputs!$B$29,IF(Skills!C29=2,90+Inputs!$B$26+Inputs!$B$29,IF(Skills!C29=3,120+Inputs!$B$27+Inputs!$B$29,MAX(0,(Inputs!$B$3-100)*3)+Inputs!$B$28+Inputs!$B$29)))</f>
        <v/>
      </c>
      <c r="E242">
        <f>INDEX(FactorTable!$B$2:$Y$301, MATCH(ROUND(MIN(300,MAX(1,D242)),0), FactorTable!$A$2:$A$301,0), Skills!M29+1)</f>
        <v/>
      </c>
      <c r="F242">
        <f>IF(Skills!N29=TRUE,(Skills!L29/10)*(E242/1000),Skills!L29/10)+Skills!O29</f>
        <v/>
      </c>
      <c r="G242">
        <f>Skills!G29*IF(Skills!H29&gt;0,Skills!I29/Skills!H29,1)</f>
        <v/>
      </c>
      <c r="H242">
        <f>1-(1-Skills!J29/100)^Skills!K29</f>
        <v/>
      </c>
      <c r="I242" t="inlineStr">
        <is>
          <t>1</t>
        </is>
      </c>
      <c r="J242" t="inlineStr"/>
      <c r="K242" t="inlineStr"/>
      <c r="L242" t="inlineStr"/>
      <c r="M242" t="inlineStr"/>
      <c r="N242" t="inlineStr"/>
      <c r="O242">
        <f>(1-Summary!$B$55)*T242+Summary!$B$55*V242</f>
        <v/>
      </c>
      <c r="P242">
        <f>IF(B255=0,0,O242/B255)</f>
        <v/>
      </c>
      <c r="Q242" t="n">
        <v>0</v>
      </c>
      <c r="R242" t="n">
        <v>0</v>
      </c>
      <c r="S242" t="n">
        <v>0</v>
      </c>
      <c r="T242" t="n">
        <v>0</v>
      </c>
      <c r="V242" t="n">
        <v>0</v>
      </c>
    </row>
    <row r="244">
      <c r="A244" t="inlineStr">
        <is>
          <t>Attack% Bucket Multiplier</t>
        </is>
      </c>
      <c r="B244">
        <f>(1+(((C226=TRUE)*F226)+((C227=TRUE)*IF(Inputs!$B$38="pvp",F227,(1-Summary!$B$55)*(F227)+Summary!$B$55*(0)))+((C228=TRUE)*F228*IF(AND(Inputs!$B$38&lt;&gt;"pvp",Inputs!$B$43&gt;0),(((R228-1)*(Skills!T15*(1+Inputs!$B$34/100))+MIN((Skills!T15*(1+Inputs!$B$34/100)),MAX(0,Inputs!$B$43-((R228-1)*Skills!D15))))/Inputs!$B$43),IF(Inputs!$B$38="pvp",MIN((Skills!T15*(1+Inputs!$B$34/100)),15)/15,(Skills!T15*(1+Inputs!$B$34/100))/Skills!D15)))+((C225=TRUE)*F225)+((C242=TRUE)*(F242-Calc!F29)))/100)</f>
        <v/>
      </c>
    </row>
    <row r="245">
      <c r="A245" t="inlineStr">
        <is>
          <t>Global Crit Rate Bonus %</t>
        </is>
      </c>
      <c r="B245">
        <f>(C229=TRUE)*20*IF(AND(Inputs!$B$38&lt;&gt;"pvp",Inputs!$B$43&gt;0),(((R229-1)*(Skills!T16*(1+Inputs!$B$34/100))+MIN((Skills!T16*(1+Inputs!$B$34/100)),MAX(0,Inputs!$B$43-((R229-1)*Skills!D16))))/Inputs!$B$43),IF(Inputs!$B$38="pvp",MIN((Skills!T16*(1+Inputs!$B$34/100)),15)/15,(Skills!T16*(1+Inputs!$B$34/100))/Skills!D16))</f>
        <v/>
      </c>
    </row>
    <row r="246">
      <c r="A246" t="inlineStr">
        <is>
          <t>Attack Speed Buff Bonus %</t>
        </is>
      </c>
      <c r="B246">
        <f>((C231=TRUE)*F231*IF(AND(Inputs!$B$38&lt;&gt;"pvp",Inputs!$B$43&gt;0),(((R231-1)*(Skills!T18*(1+Inputs!$B$34/100))+MIN((Skills!T18*(1+Inputs!$B$34/100)),MAX(0,Inputs!$B$43-((R231-1)*Skills!D18))))/Inputs!$B$43),IF(Inputs!$B$38="pvp",MIN((Skills!T18*(1+Inputs!$B$34/100)),15)/15,(Skills!T18*(1+Inputs!$B$34/100))/Skills!D18)))</f>
        <v/>
      </c>
    </row>
    <row r="247">
      <c r="A247" t="inlineStr">
        <is>
          <t>Actions Per Second</t>
        </is>
      </c>
      <c r="B247">
        <f>1+MIN(150,150*(1-(1-(Inputs!$B$11+((C233=TRUE)*(F233-Calc!F20))+((C234=TRUE)*(F234-Calc!F21)))/150)*(1-B246/150)))/100</f>
        <v/>
      </c>
    </row>
    <row r="248">
      <c r="A248" t="inlineStr">
        <is>
          <t>Skill + Buff Cast Rate</t>
        </is>
      </c>
      <c r="B248">
        <f>IF(AND(Inputs!$B$38&lt;&gt;"pvp",Inputs!$B$43&gt;0),SUMPRODUCT((Skills!E2:E29=TRUE)*(C215:C242=TRUE)*R215:R242*Skills!F2:F29)/Inputs!$B$43,SUMPRODUCT((Skills!E2:E29=TRUE)*(C215:C242=TRUE)*Q215:Q242*Skills!F2:F29))</f>
        <v/>
      </c>
    </row>
    <row r="249">
      <c r="A249" t="inlineStr">
        <is>
          <t>Empowered Piercing Arrow Casts Per Second</t>
        </is>
      </c>
      <c r="B249">
        <f>MAX(0,B247-B248)</f>
        <v/>
      </c>
    </row>
    <row r="250">
      <c r="A250" t="inlineStr">
        <is>
          <t>Global Critical Damage Bonus % (Sharp Eyes)</t>
        </is>
      </c>
      <c r="B250">
        <f>(C229=TRUE)*F229*IF(AND(Inputs!$B$38&lt;&gt;"pvp",Inputs!$B$43&gt;0),(((R229-1)*(Skills!T16*(1+Inputs!$B$34/100))+MIN((Skills!T16*(1+Inputs!$B$34/100)),MAX(0,Inputs!$B$43-((R229-1)*Skills!D16))))/Inputs!$B$43),IF(Inputs!$B$38="pvp",MIN((Skills!T16*(1+Inputs!$B$34/100)),15)/15,(Skills!T16*(1+Inputs!$B$34/100))/Skills!D16))</f>
        <v/>
      </c>
    </row>
    <row r="251">
      <c r="A251" t="inlineStr">
        <is>
          <t>Global Final Damage Bonus % (Mortal Blow + Last Man Standing conditional half)</t>
        </is>
      </c>
      <c r="B251">
        <f>(C230=TRUE)*F230+((C239=TRUE)*IF(Inputs!$B$38="pvp",F239,(1-Summary!$B$55)*(F239)+Summary!$B$55*(0)))</f>
        <v/>
      </c>
    </row>
    <row r="252">
      <c r="A252" t="inlineStr">
        <is>
          <t>Buff-Casting Startup Delay (s, fixed-duration only)</t>
        </is>
      </c>
      <c r="B252">
        <f>IF(AND(Inputs!$B$38&lt;&gt;"pvp",Inputs!$B$43&gt;0),SUMPRODUCT((Skills!T2:T29&gt;0)*(Skills!E2:E29=TRUE)*(C215:C242=TRUE))/B247,0)</f>
        <v/>
      </c>
    </row>
    <row r="253">
      <c r="A253" t="inlineStr">
        <is>
          <t>Boss-Only Total DPS (this block's swept value)</t>
        </is>
      </c>
      <c r="B253">
        <f>SUM(T215:T242)</f>
        <v/>
      </c>
    </row>
    <row r="254">
      <c r="A254" t="inlineStr">
        <is>
          <t>Normal-Only Total DPS (this block's swept value)</t>
        </is>
      </c>
      <c r="B254">
        <f>SUM(V215:V242)</f>
        <v/>
      </c>
    </row>
    <row r="255">
      <c r="A255" s="5" t="inlineStr">
        <is>
          <t>TOTAL DPS</t>
        </is>
      </c>
      <c r="B255" s="5">
        <f>SUM(O215:O242)</f>
        <v/>
      </c>
    </row>
    <row r="258">
      <c r="A258" s="5" t="inlineStr">
        <is>
          <t>Stat: BOSS_DAMAGE %</t>
        </is>
      </c>
    </row>
    <row r="259">
      <c r="A259" s="9" t="inlineStr">
        <is>
          <t>Key</t>
        </is>
      </c>
      <c r="B259" s="9" t="inlineStr">
        <is>
          <t>Name</t>
        </is>
      </c>
      <c r="C259" s="9" t="inlineStr">
        <is>
          <t>Unlocked</t>
        </is>
      </c>
      <c r="D259" s="9" t="inlineStr">
        <is>
          <t>InputLevel</t>
        </is>
      </c>
      <c r="E259" s="9" t="inlineStr">
        <is>
          <t>Factor</t>
        </is>
      </c>
      <c r="F259" s="9" t="inlineStr">
        <is>
          <t>CoefficientPercent</t>
        </is>
      </c>
      <c r="G259" s="9" t="inlineStr">
        <is>
          <t>EffectiveHits</t>
        </is>
      </c>
      <c r="H259" s="9" t="inlineStr">
        <is>
          <t>ProcProbability</t>
        </is>
      </c>
      <c r="I259" s="9" t="inlineStr">
        <is>
          <t>MapleHeroMultiplier</t>
        </is>
      </c>
      <c r="J259" s="9" t="inlineStr">
        <is>
          <t>BaseDamage</t>
        </is>
      </c>
      <c r="K259" s="9" t="inlineStr">
        <is>
          <t>BaseHitDamage</t>
        </is>
      </c>
      <c r="L259" s="9" t="inlineStr">
        <is>
          <t>NonCritAvg</t>
        </is>
      </c>
      <c r="M259" s="9" t="inlineStr">
        <is>
          <t>CritAvg</t>
        </is>
      </c>
      <c r="N259" s="9" t="inlineStr">
        <is>
          <t>ExpectedDamage(perHit)</t>
        </is>
      </c>
      <c r="O259" s="9" t="inlineStr">
        <is>
          <t>DPS</t>
        </is>
      </c>
      <c r="P259" s="9" t="inlineStr">
        <is>
          <t>% of Total</t>
        </is>
      </c>
      <c r="Q259" s="9" t="inlineStr">
        <is>
          <t>InvCooldown</t>
        </is>
      </c>
      <c r="R259" s="9" t="inlineStr">
        <is>
          <t>CastsInFight</t>
        </is>
      </c>
      <c r="S259" s="9" t="inlineStr">
        <is>
          <t>HitRate(perSec)</t>
        </is>
      </c>
      <c r="U259" t="inlineStr">
        <is>
          <t>helpers</t>
        </is>
      </c>
    </row>
    <row r="260">
      <c r="A260">
        <f>Skills!A2</f>
        <v/>
      </c>
      <c r="B260">
        <f>Skills!B2</f>
        <v/>
      </c>
      <c r="C260">
        <f>Inputs!$B$3&gt;=100</f>
        <v/>
      </c>
      <c r="D260" t="inlineStr"/>
      <c r="E260" t="inlineStr"/>
      <c r="F260">
        <f>U262+Skills!O2</f>
        <v/>
      </c>
      <c r="G260">
        <f>Skills!G2*IF(Skills!H2&gt;0,Skills!I2/Skills!H2,1)</f>
        <v/>
      </c>
      <c r="H260">
        <f>1-(1-Skills!J2/100)^Skills!K2</f>
        <v/>
      </c>
      <c r="I260" t="inlineStr">
        <is>
          <t>1</t>
        </is>
      </c>
      <c r="J260">
        <f>((Inputs!$B$6*(1+Inputs!$B$7/100))+(((Inputs!$B$12*(1+Inputs!$B$13/100))-(Inputs!$B$12*(1+Inputs!$B$13/100)))+0.25*(Inputs!$B$14-Inputs!$B$14))*(1+Inputs!$B$7/100))*(F260/100)</f>
        <v/>
      </c>
      <c r="K260">
        <f>J260*(1+((Inputs!$B$12*(1+Inputs!$B$13/100))*0.01+Inputs!$B$14*0.0025)/100)*(1+Inputs!$B$15/100)*(1+Inputs!$B$16/100)*(5000/(6000+Inputs!$B$42*(1-(Inputs!$B$19+0)/100)))*(1+(Inputs!$B$24+((C282=TRUE)*(F282-Calc!F24))+((C283=TRUE)*(F283-Calc!F25))+B296)/100)*(1+(IF(Skills!A2="EMPOWERED_PIERCING_ARROW",Inputs!$B$17+((C280=TRUE)*(F280-Calc!F22)),Inputs!$B$18+((C285=TRUE)*(F285-Calc!F27))))/100)*((1+(((C271=TRUE)*F271)+((C272=TRUE)*IF(Inputs!$B$38="pvp",F272,(1-Summary!$B$55)*(F272)+Summary!$B$55*(0)))+((C273=TRUE)*F273*IF(AND(Inputs!$B$38&lt;&gt;"pvp",Inputs!$B$43&gt;0),(((R273-1)*(Skills!T15*(1+Inputs!$B$34/100))+MIN((Skills!T15*(1+Inputs!$B$34/100)),MAX(0,Inputs!$B$43-((R273-1)*Skills!D15))))/Inputs!$B$43),IF(Inputs!$B$38="pvp",MIN((Skills!T15*(1+Inputs!$B$34/100)),15)/15,(Skills!T15*(1+Inputs!$B$34/100))/Skills!D15)))+((C270=TRUE)*F270)+((C287=TRUE)*(F287-Calc!F29)))/100)*I260)</f>
        <v/>
      </c>
      <c r="L260">
        <f>K260*(MIN(Inputs!$B$22+((C281=TRUE)*(F281-Calc!F23)),Inputs!$B$23+((C286=TRUE)*(F286-Calc!F28)))/100+(Inputs!$B$23+((C286=TRUE)*(F286-Calc!F28)))/100)/2</f>
        <v/>
      </c>
      <c r="M260">
        <f>L260*(1+(Inputs!$B$10+0+B295)/100)</f>
        <v/>
      </c>
      <c r="N260">
        <f>L260*(1-MIN((Inputs!$B$9+((C277=TRUE)*(F277-Calc!F19))+B290),100)/100)+M260*(MIN((Inputs!$B$9+((C277=TRUE)*(F277-Calc!F19))+B290),100)/100)</f>
        <v/>
      </c>
      <c r="O260">
        <f>(1-Summary!$B$55)*T260+Summary!$B$55*V260</f>
        <v/>
      </c>
      <c r="P260">
        <f>IF(B300=0,0,O260/B300)</f>
        <v/>
      </c>
      <c r="Q260" t="n">
        <v>0</v>
      </c>
      <c r="R260" t="n">
        <v>0</v>
      </c>
      <c r="S260">
        <f>IFERROR((Skills!G2*N260*B294)/N260*IF(Inputs!$B$38="pvp",1,(1-Summary!$B$55)*1+Summary!$B$55*(MIN((6+Inputs!$B$33),Inputs!$B$37))),0)</f>
        <v/>
      </c>
      <c r="T260">
        <f>IF(C260,(Skills!G2*N260*B294)*IF(Inputs!$B$38="pvp",1,1+((Inputs!$B$20+1)+0+Skills!P2)/100),0)</f>
        <v/>
      </c>
      <c r="U260">
        <f>MAX(0,(Inputs!$B$3-100)*3)+Inputs!$B$28+Inputs!$B$29</f>
        <v/>
      </c>
      <c r="V260">
        <f>IF(C260,(Skills!G2*N260*B294)*IF(Inputs!$B$38="pvp",1,(1+(Inputs!$B$21+Skills!Q2)/100)*(MIN((6+Inputs!$B$33),Inputs!$B$37))),0)</f>
        <v/>
      </c>
    </row>
    <row r="261">
      <c r="A261">
        <f>Skills!A3</f>
        <v/>
      </c>
      <c r="B261">
        <f>Skills!B3</f>
        <v/>
      </c>
      <c r="C261">
        <f>Inputs!$B$3&gt;=50</f>
        <v/>
      </c>
      <c r="D261">
        <f>IF(Skills!C3=1,60+Inputs!$B$25+Inputs!$B$29,IF(Skills!C3=2,90+Inputs!$B$26+Inputs!$B$29,IF(Skills!C3=3,120+Inputs!$B$27+Inputs!$B$29,MAX(0,(Inputs!$B$3-100)*3)+Inputs!$B$28+Inputs!$B$29)))</f>
        <v/>
      </c>
      <c r="E261">
        <f>INDEX(FactorTable!$B$2:$Y$301, MATCH(ROUND(MIN(300,MAX(1,D261)),0), FactorTable!$A$2:$A$301,0), Skills!M3+1)</f>
        <v/>
      </c>
      <c r="F261">
        <f>IF(Skills!N3=TRUE,(Skills!L3/10)*(E261/1000),Skills!L3/10)+Skills!O3</f>
        <v/>
      </c>
      <c r="G261" t="inlineStr"/>
      <c r="H261" t="inlineStr"/>
      <c r="I261" t="inlineStr">
        <is>
          <t>1</t>
        </is>
      </c>
      <c r="J261" t="inlineStr"/>
      <c r="K261" t="inlineStr"/>
      <c r="L261" t="inlineStr"/>
      <c r="M261" t="inlineStr"/>
      <c r="N261" t="inlineStr"/>
      <c r="O261" t="inlineStr"/>
      <c r="P261" t="inlineStr"/>
      <c r="Q261" t="inlineStr"/>
      <c r="R261" t="inlineStr"/>
      <c r="S261" t="inlineStr"/>
      <c r="T261" t="inlineStr"/>
      <c r="U261">
        <f>INDEX(FactorTable!$B$2:$Y$301, MATCH(ROUND(MIN(300,MAX(1,U260)),0), FactorTable!$A$2:$A$301,0), 22)</f>
        <v/>
      </c>
      <c r="V261" t="inlineStr"/>
    </row>
    <row r="262">
      <c r="A262">
        <f>Skills!A4</f>
        <v/>
      </c>
      <c r="B262">
        <f>Skills!B4</f>
        <v/>
      </c>
      <c r="C262">
        <f>Inputs!$B$3&gt;=105</f>
        <v/>
      </c>
      <c r="D262">
        <f>IF(Skills!C4=1,60+Inputs!$B$25+Inputs!$B$29,IF(Skills!C4=2,90+Inputs!$B$26+Inputs!$B$29,IF(Skills!C4=3,120+Inputs!$B$27+Inputs!$B$29,MAX(0,(Inputs!$B$3-100)*3)+Inputs!$B$28+Inputs!$B$29)))</f>
        <v/>
      </c>
      <c r="E262">
        <f>INDEX(FactorTable!$B$2:$Y$301, MATCH(ROUND(MIN(300,MAX(1,D262)),0), FactorTable!$A$2:$A$301,0), Skills!M4+1)</f>
        <v/>
      </c>
      <c r="F262">
        <f>IF(Skills!N4=TRUE,(Skills!L4/10)*(E262/1000),Skills!L4/10)+Skills!O4</f>
        <v/>
      </c>
      <c r="G262" t="inlineStr"/>
      <c r="H262" t="inlineStr"/>
      <c r="I262" t="inlineStr">
        <is>
          <t>1</t>
        </is>
      </c>
      <c r="J262" t="inlineStr"/>
      <c r="K262" t="inlineStr"/>
      <c r="L262" t="inlineStr"/>
      <c r="M262" t="inlineStr"/>
      <c r="N262" t="inlineStr"/>
      <c r="O262" t="inlineStr"/>
      <c r="P262" t="inlineStr"/>
      <c r="Q262" t="inlineStr"/>
      <c r="R262" t="inlineStr"/>
      <c r="S262" t="inlineStr"/>
      <c r="T262" t="inlineStr"/>
      <c r="U262">
        <f>290*U261/1000</f>
        <v/>
      </c>
      <c r="V262" t="inlineStr"/>
    </row>
    <row r="263">
      <c r="A263">
        <f>Skills!A5</f>
        <v/>
      </c>
      <c r="B263">
        <f>Skills!B5</f>
        <v/>
      </c>
      <c r="C263">
        <f>Inputs!$B$3&gt;=35</f>
        <v/>
      </c>
      <c r="D263">
        <f>IF(Skills!C5=1,60+Inputs!$B$25+Inputs!$B$29,IF(Skills!C5=2,90+Inputs!$B$26+Inputs!$B$29,IF(Skills!C5=3,120+Inputs!$B$27+Inputs!$B$29,MAX(0,(Inputs!$B$3-100)*3)+Inputs!$B$28+Inputs!$B$29)))</f>
        <v/>
      </c>
      <c r="E263">
        <f>INDEX(FactorTable!$B$2:$Y$301, MATCH(ROUND(MIN(300,MAX(1,D263)),0), FactorTable!$A$2:$A$301,0), Skills!M5+1)</f>
        <v/>
      </c>
      <c r="F263">
        <f>IF(Skills!N5=TRUE,(Skills!L5/10)*(E263/1000),Skills!L5/10)+Skills!O5</f>
        <v/>
      </c>
      <c r="G263">
        <f>Skills!G5*IF(Skills!H5&gt;0,Skills!I5/Skills!H5,1)</f>
        <v/>
      </c>
      <c r="H263">
        <f>1-(1-Skills!J5/100)^Skills!K5</f>
        <v/>
      </c>
      <c r="I263" t="inlineStr">
        <is>
          <t>1</t>
        </is>
      </c>
      <c r="J263">
        <f>((Inputs!$B$6*(1+Inputs!$B$7/100))+(((Inputs!$B$12*(1+Inputs!$B$13/100))-(Inputs!$B$12*(1+Inputs!$B$13/100)))+0.25*(Inputs!$B$14-Inputs!$B$14))*(1+Inputs!$B$7/100))*(F263/100)</f>
        <v/>
      </c>
      <c r="K263">
        <f>J263*(1+((Inputs!$B$12*(1+Inputs!$B$13/100))*0.01+Inputs!$B$14*0.0025)/100)*(1+Inputs!$B$15/100)*(1+Inputs!$B$16/100)*(5000/(6000+Inputs!$B$42*(1-(Inputs!$B$19+0)/100)))*(1+(Inputs!$B$24+((C282=TRUE)*(F282-Calc!F24))+((C283=TRUE)*(F283-Calc!F25))+B296)/100)*(1+4.0*IF(C266=TRUE,F266,0)/100)*(1+(IF(Skills!A5="EMPOWERED_PIERCING_ARROW",Inputs!$B$17+((C280=TRUE)*(F280-Calc!F22)),Inputs!$B$18+((C285=TRUE)*(F285-Calc!F27))))/100)*((1+(((C271=TRUE)*F271)+((C272=TRUE)*IF(Inputs!$B$38="pvp",F272,(1-Summary!$B$55)*(F272)+Summary!$B$55*(0)))+((C273=TRUE)*F273*IF(AND(Inputs!$B$38&lt;&gt;"pvp",Inputs!$B$43&gt;0),(((R273-1)*(Skills!T15*(1+Inputs!$B$34/100))+MIN((Skills!T15*(1+Inputs!$B$34/100)),MAX(0,Inputs!$B$43-((R273-1)*Skills!D15))))/Inputs!$B$43),IF(Inputs!$B$38="pvp",MIN((Skills!T15*(1+Inputs!$B$34/100)),15)/15,(Skills!T15*(1+Inputs!$B$34/100))/Skills!D15)))+((C270=TRUE)*F270)+((C287=TRUE)*(F287-Calc!F29)))/100)*I263)</f>
        <v/>
      </c>
      <c r="L263">
        <f>K263*(MIN(Inputs!$B$22+((C281=TRUE)*(F281-Calc!F23)),Inputs!$B$23+((C286=TRUE)*(F286-Calc!F28)))/100+(Inputs!$B$23+((C286=TRUE)*(F286-Calc!F28)))/100)/2</f>
        <v/>
      </c>
      <c r="M263">
        <f>L263*(1+(Inputs!$B$10+0+B295)/100)</f>
        <v/>
      </c>
      <c r="N263">
        <f>L263*(1-MIN((Inputs!$B$9+((C277=TRUE)*(F277-Calc!F19))+B290),100)/100)+M263*(MIN((Inputs!$B$9+((C277=TRUE)*(F277-Calc!F19))+B290),100)/100)</f>
        <v/>
      </c>
      <c r="O263">
        <f>(1-Summary!$B$55)*T263+Summary!$B$55*V263</f>
        <v/>
      </c>
      <c r="P263">
        <f>IF(B300=0,0,O263/B300)</f>
        <v/>
      </c>
      <c r="Q263">
        <f>IFERROR(1/IF(Inputs!$B$38="pvp",15,MAX(0.1,Skills!D5-IF(Skills!E5=TRUE,Inputs!$B$32,0))),0)</f>
        <v/>
      </c>
      <c r="R263">
        <f>IF(AND(Inputs!$B$38&lt;&gt;"pvp",Inputs!$B$43&gt;0),IF(MAX(0,Inputs!$B$43-B297)&lt;=0,0,(INT(MAX(0,Inputs!$B$43-B297)/IF(Inputs!$B$38="pvp",15,MAX(0.1,Skills!D5-IF(Skills!E5=TRUE,Inputs!$B$32,0))))+1)),0)</f>
        <v/>
      </c>
      <c r="S263">
        <f>IFERROR((H263*N263*IF(AND(Inputs!$B$38&lt;&gt;"pvp",Inputs!$B$43&gt;0),((Skills!G5*((R263-1)*IF(Skills!H5&gt;0,Skills!I5/Skills!H5,1)+IF(Skills!H5&gt;0,MIN(Skills!I5,MAX(0,MAX(0,Inputs!$B$43-B297)-((R263-1)*IF(Inputs!$B$38="pvp",15,MAX(0.1,Skills!D5-IF(Skills!E5=TRUE,Inputs!$B$32,0))))))/Skills!H5,1)))/Inputs!$B$43),G263*Q263))/N263*IF(Inputs!$B$38="pvp",1,(1-Summary!$B$55)*1+Summary!$B$55*(MIN(Skills!R5,Inputs!$B$37))),0)</f>
        <v/>
      </c>
      <c r="T263">
        <f>IF(C263,(H263*N263*IF(AND(Inputs!$B$38&lt;&gt;"pvp",Inputs!$B$43&gt;0),((Skills!G5*((R263-1)*IF(Skills!H5&gt;0,Skills!I5/Skills!H5,1)+IF(Skills!H5&gt;0,MIN(Skills!I5,MAX(0,MAX(0,Inputs!$B$43-B297)-((R263-1)*IF(Inputs!$B$38="pvp",15,MAX(0.1,Skills!D5-IF(Skills!E5=TRUE,Inputs!$B$32,0))))))/Skills!H5,1)))/Inputs!$B$43),G263*Q263))*IF(Inputs!$B$38="pvp",1,1+((Inputs!$B$20+1)+0+Skills!P5)/100),0)</f>
        <v/>
      </c>
      <c r="V263">
        <f>IF(C263,(H263*N263*IF(AND(Inputs!$B$38&lt;&gt;"pvp",Inputs!$B$43&gt;0),((Skills!G5*((R263-1)*IF(Skills!H5&gt;0,Skills!I5/Skills!H5,1)+IF(Skills!H5&gt;0,MIN(Skills!I5,MAX(0,MAX(0,Inputs!$B$43-B297)-((R263-1)*IF(Inputs!$B$38="pvp",15,MAX(0.1,Skills!D5-IF(Skills!E5=TRUE,Inputs!$B$32,0))))))/Skills!H5,1)))/Inputs!$B$43),G263*Q263))*IF(Inputs!$B$38="pvp",1,(1+(Inputs!$B$21+Skills!Q5)/100)*(MIN(Skills!R5,Inputs!$B$37))),0)</f>
        <v/>
      </c>
    </row>
    <row r="264">
      <c r="A264">
        <f>Skills!A6</f>
        <v/>
      </c>
      <c r="B264">
        <f>Skills!B6</f>
        <v/>
      </c>
      <c r="C264">
        <f>Inputs!$B$3&gt;=63</f>
        <v/>
      </c>
      <c r="D264">
        <f>IF(Skills!C6=1,60+Inputs!$B$25+Inputs!$B$29,IF(Skills!C6=2,90+Inputs!$B$26+Inputs!$B$29,IF(Skills!C6=3,120+Inputs!$B$27+Inputs!$B$29,MAX(0,(Inputs!$B$3-100)*3)+Inputs!$B$28+Inputs!$B$29)))</f>
        <v/>
      </c>
      <c r="E264">
        <f>INDEX(FactorTable!$B$2:$Y$301, MATCH(ROUND(MIN(300,MAX(1,D264)),0), FactorTable!$A$2:$A$301,0), Skills!M6+1)</f>
        <v/>
      </c>
      <c r="F264">
        <f>IF(Skills!N6=TRUE,(Skills!L6/10)*(E264/1000),Skills!L6/10)+Skills!O6</f>
        <v/>
      </c>
      <c r="G264">
        <f>Skills!G6*IF(Skills!H6&gt;0,Skills!I6/Skills!H6,1)</f>
        <v/>
      </c>
      <c r="H264">
        <f>1-(1-Skills!J6/100)^Skills!K6</f>
        <v/>
      </c>
      <c r="I264" t="inlineStr">
        <is>
          <t>1</t>
        </is>
      </c>
      <c r="J264">
        <f>((Inputs!$B$6*(1+Inputs!$B$7/100))+(((Inputs!$B$12*(1+Inputs!$B$13/100))-(Inputs!$B$12*(1+Inputs!$B$13/100)))+0.25*(Inputs!$B$14-Inputs!$B$14))*(1+Inputs!$B$7/100))*(F264/100)</f>
        <v/>
      </c>
      <c r="K264">
        <f>J264*(1+((Inputs!$B$12*(1+Inputs!$B$13/100))*0.01+Inputs!$B$14*0.0025)/100)*(1+Inputs!$B$15/100)*(1+Inputs!$B$16/100)*(5000/(6000+Inputs!$B$42*(1-(Inputs!$B$19+0)/100)))*(1+(Inputs!$B$24+((C282=TRUE)*(F282-Calc!F24))+((C283=TRUE)*(F283-Calc!F25))+B296)/100)*(1+1.0*IF(C266=TRUE,F266,0)/100)*(1+(IF(Skills!A6="EMPOWERED_PIERCING_ARROW",Inputs!$B$17+((C280=TRUE)*(F280-Calc!F22)),Inputs!$B$18+((C285=TRUE)*(F285-Calc!F27))))/100)*((1+(((C271=TRUE)*F271)+((C272=TRUE)*IF(Inputs!$B$38="pvp",F272,(1-Summary!$B$55)*(F272)+Summary!$B$55*(0)))+((C273=TRUE)*F273*IF(AND(Inputs!$B$38&lt;&gt;"pvp",Inputs!$B$43&gt;0),(((R273-1)*(Skills!T15*(1+Inputs!$B$34/100))+MIN((Skills!T15*(1+Inputs!$B$34/100)),MAX(0,Inputs!$B$43-((R273-1)*Skills!D15))))/Inputs!$B$43),IF(Inputs!$B$38="pvp",MIN((Skills!T15*(1+Inputs!$B$34/100)),15)/15,(Skills!T15*(1+Inputs!$B$34/100))/Skills!D15)))+((C270=TRUE)*F270)+((C287=TRUE)*(F287-Calc!F29)))/100)*I264)</f>
        <v/>
      </c>
      <c r="L264">
        <f>K264*(MIN(Inputs!$B$22+((C281=TRUE)*(F281-Calc!F23)),Inputs!$B$23+((C286=TRUE)*(F286-Calc!F28)))/100+(Inputs!$B$23+((C286=TRUE)*(F286-Calc!F28)))/100)/2</f>
        <v/>
      </c>
      <c r="M264">
        <f>L264*(1+(Inputs!$B$10+0+B295)/100)</f>
        <v/>
      </c>
      <c r="N264">
        <f>L264*(1-MIN((Inputs!$B$9+((C277=TRUE)*(F277-Calc!F19))+B290),100)/100)+M264*(MIN((Inputs!$B$9+((C277=TRUE)*(F277-Calc!F19))+B290),100)/100)</f>
        <v/>
      </c>
      <c r="O264">
        <f>(1-Summary!$B$55)*T264+Summary!$B$55*V264</f>
        <v/>
      </c>
      <c r="P264">
        <f>IF(B300=0,0,O264/B300)</f>
        <v/>
      </c>
      <c r="Q264">
        <f>IFERROR(1/IF(Inputs!$B$38="pvp",15,MAX(0.1,Skills!D6-IF(Skills!E6=TRUE,Inputs!$B$32,0))),0)</f>
        <v/>
      </c>
      <c r="R264">
        <f>IF(AND(Inputs!$B$38&lt;&gt;"pvp",Inputs!$B$43&gt;0),IF(MAX(0,Inputs!$B$43-B297)&lt;=0,0,(INT(MAX(0,Inputs!$B$43-B297)/IF(Inputs!$B$38="pvp",15,MAX(0.1,Skills!D6-IF(Skills!E6=TRUE,Inputs!$B$32,0))))+1)),0)</f>
        <v/>
      </c>
      <c r="S264">
        <f>IFERROR((H264*N264*IF(AND(Inputs!$B$38&lt;&gt;"pvp",Inputs!$B$43&gt;0),((Skills!G6*((R264-1)*IF(Skills!H6&gt;0,Skills!I6/Skills!H6,1)+IF(Skills!H6&gt;0,MIN(Skills!I6,MAX(0,MAX(0,Inputs!$B$43-B297)-((R264-1)*IF(Inputs!$B$38="pvp",15,MAX(0.1,Skills!D6-IF(Skills!E6=TRUE,Inputs!$B$32,0))))))/Skills!H6,1)))/Inputs!$B$43),G264*Q264))/N264*IF(Inputs!$B$38="pvp",1,(1-Summary!$B$55)*1+Summary!$B$55*(MIN(Skills!R6,Inputs!$B$37))),0)</f>
        <v/>
      </c>
      <c r="T264">
        <f>IF(C264,(H264*N264*IF(AND(Inputs!$B$38&lt;&gt;"pvp",Inputs!$B$43&gt;0),((Skills!G6*((R264-1)*IF(Skills!H6&gt;0,Skills!I6/Skills!H6,1)+IF(Skills!H6&gt;0,MIN(Skills!I6,MAX(0,MAX(0,Inputs!$B$43-B297)-((R264-1)*IF(Inputs!$B$38="pvp",15,MAX(0.1,Skills!D6-IF(Skills!E6=TRUE,Inputs!$B$32,0))))))/Skills!H6,1)))/Inputs!$B$43),G264*Q264))*IF(Inputs!$B$38="pvp",1,1+((Inputs!$B$20+1)+0+Skills!P6)/100),0)</f>
        <v/>
      </c>
      <c r="V264">
        <f>IF(C264,(H264*N264*IF(AND(Inputs!$B$38&lt;&gt;"pvp",Inputs!$B$43&gt;0),((Skills!G6*((R264-1)*IF(Skills!H6&gt;0,Skills!I6/Skills!H6,1)+IF(Skills!H6&gt;0,MIN(Skills!I6,MAX(0,MAX(0,Inputs!$B$43-B297)-((R264-1)*IF(Inputs!$B$38="pvp",15,MAX(0.1,Skills!D6-IF(Skills!E6=TRUE,Inputs!$B$32,0))))))/Skills!H6,1)))/Inputs!$B$43),G264*Q264))*IF(Inputs!$B$38="pvp",1,(1+(Inputs!$B$21+Skills!Q6)/100)*(MIN(Skills!R6,Inputs!$B$37))),0)</f>
        <v/>
      </c>
    </row>
    <row r="265">
      <c r="A265">
        <f>Skills!A7</f>
        <v/>
      </c>
      <c r="B265">
        <f>Skills!B7</f>
        <v/>
      </c>
      <c r="C265">
        <f>Inputs!$B$3&gt;=69</f>
        <v/>
      </c>
      <c r="D265">
        <f>IF(Skills!C7=1,60+Inputs!$B$25+Inputs!$B$29,IF(Skills!C7=2,90+Inputs!$B$26+Inputs!$B$29,IF(Skills!C7=3,120+Inputs!$B$27+Inputs!$B$29,MAX(0,(Inputs!$B$3-100)*3)+Inputs!$B$28+Inputs!$B$29)))</f>
        <v/>
      </c>
      <c r="E265">
        <f>INDEX(FactorTable!$B$2:$Y$301, MATCH(ROUND(MIN(300,MAX(1,D265)),0), FactorTable!$A$2:$A$301,0), Skills!M7+1)</f>
        <v/>
      </c>
      <c r="F265">
        <f>IF(Skills!N7=TRUE,(Skills!L7/10)*(E265/1000),Skills!L7/10)+Skills!O7</f>
        <v/>
      </c>
      <c r="G265">
        <f>Skills!G7*IF(Skills!H7&gt;0,Skills!I7/Skills!H7,1)</f>
        <v/>
      </c>
      <c r="H265">
        <f>1-(1-Skills!J7/100)^Skills!K7</f>
        <v/>
      </c>
      <c r="I265" t="inlineStr">
        <is>
          <t>1</t>
        </is>
      </c>
      <c r="J265">
        <f>((Inputs!$B$6*(1+Inputs!$B$7/100))+(((Inputs!$B$12*(1+Inputs!$B$13/100))-(Inputs!$B$12*(1+Inputs!$B$13/100)))+0.25*(Inputs!$B$14-Inputs!$B$14))*(1+Inputs!$B$7/100))*(F265/100)</f>
        <v/>
      </c>
      <c r="K265">
        <f>J265*(1+((Inputs!$B$12*(1+Inputs!$B$13/100))*0.01+Inputs!$B$14*0.0025)/100)*(1+Inputs!$B$15/100)*(1+Inputs!$B$16/100)*(5000/(6000+Inputs!$B$42*(1-(Inputs!$B$19+0)/100)))*(1+(Inputs!$B$24+((C282=TRUE)*(F282-Calc!F24))+((C283=TRUE)*(F283-Calc!F25))+B296)/100)*(1+1.2*IF(C266=TRUE,F266,0)/100)*(1+(IF(Skills!A7="EMPOWERED_PIERCING_ARROW",Inputs!$B$17+((C280=TRUE)*(F280-Calc!F22)),Inputs!$B$18+((C285=TRUE)*(F285-Calc!F27))))/100)*((1+(((C271=TRUE)*F271)+((C272=TRUE)*IF(Inputs!$B$38="pvp",F272,(1-Summary!$B$55)*(F272)+Summary!$B$55*(0)))+((C273=TRUE)*F273*IF(AND(Inputs!$B$38&lt;&gt;"pvp",Inputs!$B$43&gt;0),(((R273-1)*(Skills!T15*(1+Inputs!$B$34/100))+MIN((Skills!T15*(1+Inputs!$B$34/100)),MAX(0,Inputs!$B$43-((R273-1)*Skills!D15))))/Inputs!$B$43),IF(Inputs!$B$38="pvp",MIN((Skills!T15*(1+Inputs!$B$34/100)),15)/15,(Skills!T15*(1+Inputs!$B$34/100))/Skills!D15)))+((C270=TRUE)*F270)+((C287=TRUE)*(F287-Calc!F29)))/100)*I265)</f>
        <v/>
      </c>
      <c r="L265">
        <f>K265*(MIN(Inputs!$B$22+((C281=TRUE)*(F281-Calc!F23)),Inputs!$B$23+((C286=TRUE)*(F286-Calc!F28)))/100+(Inputs!$B$23+((C286=TRUE)*(F286-Calc!F28)))/100)/2</f>
        <v/>
      </c>
      <c r="M265">
        <f>L265*(1+(Inputs!$B$10+0+B295)/100)</f>
        <v/>
      </c>
      <c r="N265">
        <f>L265*(1-MIN((Inputs!$B$9+((C277=TRUE)*(F277-Calc!F19))+B290),100)/100)+M265*(MIN((Inputs!$B$9+((C277=TRUE)*(F277-Calc!F19))+B290),100)/100)</f>
        <v/>
      </c>
      <c r="O265">
        <f>(1-Summary!$B$55)*T265+Summary!$B$55*V265</f>
        <v/>
      </c>
      <c r="P265">
        <f>IF(B300=0,0,O265/B300)</f>
        <v/>
      </c>
      <c r="Q265">
        <f>IFERROR(1/IF(Inputs!$B$38="pvp",15,MAX(0.1,Skills!D7-IF(Skills!E7=TRUE,Inputs!$B$32,0))),0)</f>
        <v/>
      </c>
      <c r="R265">
        <f>IF(AND(Inputs!$B$38&lt;&gt;"pvp",Inputs!$B$43&gt;0),IF(MAX(0,Inputs!$B$43-B297)&lt;=0,0,(INT(MAX(0,Inputs!$B$43-B297)/IF(Inputs!$B$38="pvp",15,MAX(0.1,Skills!D7-IF(Skills!E7=TRUE,Inputs!$B$32,0))))+1)),0)</f>
        <v/>
      </c>
      <c r="S265">
        <f>IFERROR((H265*N265*IF(AND(Inputs!$B$38&lt;&gt;"pvp",Inputs!$B$43&gt;0),((Skills!G7*((R265-1)*IF(Skills!H7&gt;0,Skills!I7/Skills!H7,1)+IF(Skills!H7&gt;0,MIN(Skills!I7,MAX(0,MAX(0,Inputs!$B$43-B297)-((R265-1)*IF(Inputs!$B$38="pvp",15,MAX(0.1,Skills!D7-IF(Skills!E7=TRUE,Inputs!$B$32,0))))))/Skills!H7,1)))/Inputs!$B$43),G265*Q265))/N265*IF(Inputs!$B$38="pvp",1,(1-Summary!$B$55)*1+Summary!$B$55*(MIN(Skills!R7,Inputs!$B$37))),0)</f>
        <v/>
      </c>
      <c r="T265">
        <f>IF(C265,(H265*N265*IF(AND(Inputs!$B$38&lt;&gt;"pvp",Inputs!$B$43&gt;0),((Skills!G7*((R265-1)*IF(Skills!H7&gt;0,Skills!I7/Skills!H7,1)+IF(Skills!H7&gt;0,MIN(Skills!I7,MAX(0,MAX(0,Inputs!$B$43-B297)-((R265-1)*IF(Inputs!$B$38="pvp",15,MAX(0.1,Skills!D7-IF(Skills!E7=TRUE,Inputs!$B$32,0))))))/Skills!H7,1)))/Inputs!$B$43),G265*Q265))*IF(Inputs!$B$38="pvp",1,1+((Inputs!$B$20+1)+0+Skills!P7)/100),0)</f>
        <v/>
      </c>
      <c r="V265">
        <f>IF(C265,(H265*N265*IF(AND(Inputs!$B$38&lt;&gt;"pvp",Inputs!$B$43&gt;0),((Skills!G7*((R265-1)*IF(Skills!H7&gt;0,Skills!I7/Skills!H7,1)+IF(Skills!H7&gt;0,MIN(Skills!I7,MAX(0,MAX(0,Inputs!$B$43-B297)-((R265-1)*IF(Inputs!$B$38="pvp",15,MAX(0.1,Skills!D7-IF(Skills!E7=TRUE,Inputs!$B$32,0))))))/Skills!H7,1)))/Inputs!$B$43),G265*Q265))*IF(Inputs!$B$38="pvp",1,(1+(Inputs!$B$21+Skills!Q7)/100)*(MIN(Skills!R7,Inputs!$B$37))),0)</f>
        <v/>
      </c>
    </row>
    <row r="266">
      <c r="A266">
        <f>Skills!A8</f>
        <v/>
      </c>
      <c r="B266">
        <f>Skills!B8</f>
        <v/>
      </c>
      <c r="C266">
        <f>Inputs!$B$3&gt;=100</f>
        <v/>
      </c>
      <c r="D266">
        <f>IF(Skills!C8=1,60+Inputs!$B$25+Inputs!$B$29,IF(Skills!C8=2,90+Inputs!$B$26+Inputs!$B$29,IF(Skills!C8=3,120+Inputs!$B$27+Inputs!$B$29,MAX(0,(Inputs!$B$3-100)*3)+Inputs!$B$28+Inputs!$B$29)))</f>
        <v/>
      </c>
      <c r="E266">
        <f>INDEX(FactorTable!$B$2:$Y$301, MATCH(ROUND(MIN(300,MAX(1,D266)),0), FactorTable!$A$2:$A$301,0), Skills!M8+1)</f>
        <v/>
      </c>
      <c r="F266">
        <f>IF(Skills!N8=TRUE,(Skills!L8/10)*(E266/1000),Skills!L8/10)+Skills!O8</f>
        <v/>
      </c>
      <c r="G266" t="inlineStr"/>
      <c r="H266" t="inlineStr"/>
      <c r="I266" t="inlineStr">
        <is>
          <t>1</t>
        </is>
      </c>
      <c r="J266" t="inlineStr"/>
      <c r="K266" t="inlineStr"/>
      <c r="L266" t="inlineStr"/>
      <c r="M266" t="inlineStr"/>
      <c r="N266" t="inlineStr"/>
      <c r="O266" t="inlineStr"/>
      <c r="P266" t="inlineStr"/>
      <c r="Q266" t="inlineStr"/>
      <c r="R266" t="inlineStr"/>
      <c r="S266" t="inlineStr"/>
      <c r="T266" t="inlineStr"/>
      <c r="V266" t="inlineStr"/>
    </row>
    <row r="267">
      <c r="A267">
        <f>Skills!A9</f>
        <v/>
      </c>
      <c r="B267">
        <f>Skills!B9</f>
        <v/>
      </c>
      <c r="C267">
        <f>Inputs!$B$3&gt;=103</f>
        <v/>
      </c>
      <c r="D267">
        <f>IF(Skills!C9=1,60+Inputs!$B$25+Inputs!$B$29,IF(Skills!C9=2,90+Inputs!$B$26+Inputs!$B$29,IF(Skills!C9=3,120+Inputs!$B$27+Inputs!$B$29,MAX(0,(Inputs!$B$3-100)*3)+Inputs!$B$28+Inputs!$B$29)))</f>
        <v/>
      </c>
      <c r="E267">
        <f>INDEX(FactorTable!$B$2:$Y$301, MATCH(ROUND(MIN(300,MAX(1,D267)),0), FactorTable!$A$2:$A$301,0), Skills!M9+1)</f>
        <v/>
      </c>
      <c r="F267">
        <f>IF(Skills!N9=TRUE,(Skills!L9/10)*(E267/1000),Skills!L9/10)+Skills!O9</f>
        <v/>
      </c>
      <c r="G267">
        <f>Skills!G9*IF(Skills!H9&gt;0,Skills!I9/Skills!H9,1)</f>
        <v/>
      </c>
      <c r="H267">
        <f>1-(1-Skills!J9/100)^Skills!K9</f>
        <v/>
      </c>
      <c r="I267" t="inlineStr">
        <is>
          <t>1</t>
        </is>
      </c>
      <c r="J267">
        <f>((Inputs!$B$6*(1+Inputs!$B$7/100))+(((Inputs!$B$12*(1+Inputs!$B$13/100))-(Inputs!$B$12*(1+Inputs!$B$13/100)))+0.25*(Inputs!$B$14-Inputs!$B$14))*(1+Inputs!$B$7/100))*(F267/100)</f>
        <v/>
      </c>
      <c r="K267">
        <f>J267*(1+((Inputs!$B$12*(1+Inputs!$B$13/100))*0.01+Inputs!$B$14*0.0025)/100)*(1+Inputs!$B$15/100)*(1+Inputs!$B$16/100)*(5000/(6000+Inputs!$B$42*(1-(Inputs!$B$19+0)/100)))*(1+(Inputs!$B$24+((C282=TRUE)*(F282-Calc!F24))+((C283=TRUE)*(F283-Calc!F25))+B296)/100)*(1+(IF(Skills!A9="EMPOWERED_PIERCING_ARROW",Inputs!$B$17+((C280=TRUE)*(F280-Calc!F22)),Inputs!$B$18+((C285=TRUE)*(F285-Calc!F27))))/100)*((1+(((C271=TRUE)*F271)+((C272=TRUE)*IF(Inputs!$B$38="pvp",F272,(1-Summary!$B$55)*(F272)+Summary!$B$55*(0)))+((C273=TRUE)*F273*IF(AND(Inputs!$B$38&lt;&gt;"pvp",Inputs!$B$43&gt;0),(((R273-1)*(Skills!T15*(1+Inputs!$B$34/100))+MIN((Skills!T15*(1+Inputs!$B$34/100)),MAX(0,Inputs!$B$43-((R273-1)*Skills!D15))))/Inputs!$B$43),IF(Inputs!$B$38="pvp",MIN((Skills!T15*(1+Inputs!$B$34/100)),15)/15,(Skills!T15*(1+Inputs!$B$34/100))/Skills!D15)))+((C270=TRUE)*F270)+((C287=TRUE)*(F287-Calc!F29)))/100)*I267)</f>
        <v/>
      </c>
      <c r="L267">
        <f>K267*(MIN(Inputs!$B$22+((C281=TRUE)*(F281-Calc!F23)),Inputs!$B$23+((C286=TRUE)*(F286-Calc!F28)))/100+(Inputs!$B$23+((C286=TRUE)*(F286-Calc!F28)))/100)/2</f>
        <v/>
      </c>
      <c r="M267">
        <f>L267*(1+(Inputs!$B$10+0+B295)/100)</f>
        <v/>
      </c>
      <c r="N267">
        <f>L267*(1-MIN((Inputs!$B$9+((C277=TRUE)*(F277-Calc!F19))+B290),100)/100)+M267*(MIN((Inputs!$B$9+((C277=TRUE)*(F277-Calc!F19))+B290),100)/100)</f>
        <v/>
      </c>
      <c r="O267">
        <f>(1-Summary!$B$55)*T267+Summary!$B$55*V267</f>
        <v/>
      </c>
      <c r="P267">
        <f>IF(B300=0,0,O267/B300)</f>
        <v/>
      </c>
      <c r="Q267">
        <f>IFERROR(1/IF(Inputs!$B$38="pvp",15,MAX(0.1,Skills!D9-IF(Skills!E9=TRUE,Inputs!$B$32,0))),0)</f>
        <v/>
      </c>
      <c r="R267">
        <f>IF(AND(Inputs!$B$38&lt;&gt;"pvp",Inputs!$B$43&gt;0),IF(MAX(0,Inputs!$B$43-B297)&lt;=0,0,(INT(MAX(0,Inputs!$B$43-B297)/IF(Inputs!$B$38="pvp",15,MAX(0.1,Skills!D9-IF(Skills!E9=TRUE,Inputs!$B$32,0))))+1)),0)</f>
        <v/>
      </c>
      <c r="S267">
        <f>IFERROR((H267*N267*IF(AND(Inputs!$B$38&lt;&gt;"pvp",Inputs!$B$43&gt;0),((Skills!G9*((R267-1)*IF(Skills!H9&gt;0,Skills!I9/Skills!H9,1)+IF(Skills!H9&gt;0,MIN(Skills!I9,MAX(0,MAX(0,Inputs!$B$43-B297)-((R267-1)*IF(Inputs!$B$38="pvp",15,MAX(0.1,Skills!D9-IF(Skills!E9=TRUE,Inputs!$B$32,0))))))/Skills!H9,1)))/Inputs!$B$43),G267*Q267))/N267*IF(Inputs!$B$38="pvp",1,(1-Summary!$B$55)*1+Summary!$B$55*(MIN(Skills!R9,Inputs!$B$37))),0)</f>
        <v/>
      </c>
      <c r="T267">
        <f>IF(C267,(H267*N267*IF(AND(Inputs!$B$38&lt;&gt;"pvp",Inputs!$B$43&gt;0),((Skills!G9*((R267-1)*IF(Skills!H9&gt;0,Skills!I9/Skills!H9,1)+IF(Skills!H9&gt;0,MIN(Skills!I9,MAX(0,MAX(0,Inputs!$B$43-B297)-((R267-1)*IF(Inputs!$B$38="pvp",15,MAX(0.1,Skills!D9-IF(Skills!E9=TRUE,Inputs!$B$32,0))))))/Skills!H9,1)))/Inputs!$B$43),G267*Q267))*IF(Inputs!$B$38="pvp",1,1+((Inputs!$B$20+1)+0+Skills!P9)/100),0)</f>
        <v/>
      </c>
      <c r="V267">
        <f>IF(C267,(H267*N267*IF(AND(Inputs!$B$38&lt;&gt;"pvp",Inputs!$B$43&gt;0),((Skills!G9*((R267-1)*IF(Skills!H9&gt;0,Skills!I9/Skills!H9,1)+IF(Skills!H9&gt;0,MIN(Skills!I9,MAX(0,MAX(0,Inputs!$B$43-B297)-((R267-1)*IF(Inputs!$B$38="pvp",15,MAX(0.1,Skills!D9-IF(Skills!E9=TRUE,Inputs!$B$32,0))))))/Skills!H9,1)))/Inputs!$B$43),G267*Q267))*IF(Inputs!$B$38="pvp",1,(1+(Inputs!$B$21+Skills!Q9)/100)*(MIN(Skills!R9,Inputs!$B$37))),0)</f>
        <v/>
      </c>
    </row>
    <row r="268">
      <c r="A268">
        <f>Skills!A10</f>
        <v/>
      </c>
      <c r="B268">
        <f>Skills!B10</f>
        <v/>
      </c>
      <c r="C268">
        <f>Inputs!$B$3&gt;=107</f>
        <v/>
      </c>
      <c r="D268">
        <f>IF(Skills!C10=1,60+Inputs!$B$25+Inputs!$B$29,IF(Skills!C10=2,90+Inputs!$B$26+Inputs!$B$29,IF(Skills!C10=3,120+Inputs!$B$27+Inputs!$B$29,MAX(0,(Inputs!$B$3-100)*3)+Inputs!$B$28+Inputs!$B$29)))</f>
        <v/>
      </c>
      <c r="E268">
        <f>INDEX(FactorTable!$B$2:$Y$301, MATCH(ROUND(MIN(300,MAX(1,D268)),0), FactorTable!$A$2:$A$301,0), Skills!M10+1)</f>
        <v/>
      </c>
      <c r="F268">
        <f>IF(Skills!N10=TRUE,(Skills!L10/10)*(E268/1000),Skills!L10/10)+Skills!O10</f>
        <v/>
      </c>
      <c r="G268">
        <f>Skills!G10*IF(Skills!H10&gt;0,Skills!I10/Skills!H10,1)</f>
        <v/>
      </c>
      <c r="H268">
        <f>1-(1-Skills!J10/100)^Skills!K10</f>
        <v/>
      </c>
      <c r="I268" t="inlineStr">
        <is>
          <t>1</t>
        </is>
      </c>
      <c r="J268">
        <f>((Inputs!$B$6*(1+Inputs!$B$7/100))+(((Inputs!$B$12*(1+Inputs!$B$13/100))-(Inputs!$B$12*(1+Inputs!$B$13/100)))+0.25*(Inputs!$B$14-Inputs!$B$14))*(1+Inputs!$B$7/100))*(F268/100)</f>
        <v/>
      </c>
      <c r="K268">
        <f>J268*(1+((Inputs!$B$12*(1+Inputs!$B$13/100))*0.01+Inputs!$B$14*0.0025)/100)*(1+Inputs!$B$15/100)*(1+Inputs!$B$16/100)*(5000/(6000+Inputs!$B$42*(1-(Inputs!$B$19+0)/100)))*(1+(Inputs!$B$24+((C282=TRUE)*(F282-Calc!F24))+((C283=TRUE)*(F283-Calc!F25))+B296)/100)*(1+(IF(Skills!A10="EMPOWERED_PIERCING_ARROW",Inputs!$B$17+((C280=TRUE)*(F280-Calc!F22)),Inputs!$B$18+((C285=TRUE)*(F285-Calc!F27))))/100)*((1+(((C271=TRUE)*F271)+((C272=TRUE)*IF(Inputs!$B$38="pvp",F272,(1-Summary!$B$55)*(F272)+Summary!$B$55*(0)))+((C273=TRUE)*F273*IF(AND(Inputs!$B$38&lt;&gt;"pvp",Inputs!$B$43&gt;0),(((R273-1)*(Skills!T15*(1+Inputs!$B$34/100))+MIN((Skills!T15*(1+Inputs!$B$34/100)),MAX(0,Inputs!$B$43-((R273-1)*Skills!D15))))/Inputs!$B$43),IF(Inputs!$B$38="pvp",MIN((Skills!T15*(1+Inputs!$B$34/100)),15)/15,(Skills!T15*(1+Inputs!$B$34/100))/Skills!D15)))+((C270=TRUE)*F270)+((C287=TRUE)*(F287-Calc!F29)))/100)*I268)</f>
        <v/>
      </c>
      <c r="L268">
        <f>K268*(MIN(Inputs!$B$22+((C281=TRUE)*(F281-Calc!F23)),Inputs!$B$23+((C286=TRUE)*(F286-Calc!F28)))/100+(Inputs!$B$23+((C286=TRUE)*(F286-Calc!F28)))/100)/2</f>
        <v/>
      </c>
      <c r="M268">
        <f>L268*(1+(Inputs!$B$10+0+B295)/100)</f>
        <v/>
      </c>
      <c r="N268">
        <f>L268*(1-MIN((Inputs!$B$9+((C277=TRUE)*(F277-Calc!F19))+B290),100)/100)+M268*(MIN((Inputs!$B$9+((C277=TRUE)*(F277-Calc!F19))+B290),100)/100)</f>
        <v/>
      </c>
      <c r="O268">
        <f>(1-Summary!$B$55)*T268+Summary!$B$55*V268</f>
        <v/>
      </c>
      <c r="P268">
        <f>IF(B300=0,0,O268/B300)</f>
        <v/>
      </c>
      <c r="Q268" t="n">
        <v>0</v>
      </c>
      <c r="R268" t="n">
        <v>0</v>
      </c>
      <c r="S268" t="n">
        <v>0</v>
      </c>
      <c r="T268">
        <f>IF(C268,(0.15*SUMPRODUCT((Skills!U2:U29=TRUE)*(C260:C287=TRUE)*S260:S287)*Skills!G10*N268)*IF(Inputs!$B$38="pvp",1,1+((Inputs!$B$20+1)+0+Skills!P10)/100),0)</f>
        <v/>
      </c>
      <c r="V268">
        <f>IF(C268,(0.15*SUMPRODUCT((Skills!U2:U29=TRUE)*(C260:C287=TRUE)*S260:S287)*Skills!G10*N268)*IF(Inputs!$B$38="pvp",1,(1+(Inputs!$B$21+Skills!Q10)/100)*(MIN(Skills!R10,Inputs!$B$37))),0)</f>
        <v/>
      </c>
    </row>
    <row r="269">
      <c r="A269">
        <f>Skills!A11</f>
        <v/>
      </c>
      <c r="B269">
        <f>Skills!B11</f>
        <v/>
      </c>
      <c r="C269">
        <f>Inputs!$B$3&gt;=110</f>
        <v/>
      </c>
      <c r="D269">
        <f>IF(Skills!C11=1,60+Inputs!$B$25+Inputs!$B$29,IF(Skills!C11=2,90+Inputs!$B$26+Inputs!$B$29,IF(Skills!C11=3,120+Inputs!$B$27+Inputs!$B$29,MAX(0,(Inputs!$B$3-100)*3)+Inputs!$B$28+Inputs!$B$29)))</f>
        <v/>
      </c>
      <c r="E269">
        <f>INDEX(FactorTable!$B$2:$Y$301, MATCH(ROUND(MIN(300,MAX(1,D269)),0), FactorTable!$A$2:$A$301,0), Skills!M11+1)</f>
        <v/>
      </c>
      <c r="F269">
        <f>IF(Skills!N11=TRUE,(Skills!L11/10)*(E269/1000),Skills!L11/10)+Skills!O11</f>
        <v/>
      </c>
      <c r="G269">
        <f>Skills!G11*IF(Skills!H11&gt;0,Skills!I11/Skills!H11,1)</f>
        <v/>
      </c>
      <c r="H269">
        <f>1-(1-Skills!J11/100)^Skills!K11</f>
        <v/>
      </c>
      <c r="I269" t="inlineStr">
        <is>
          <t>1</t>
        </is>
      </c>
      <c r="J269">
        <f>((Inputs!$B$6*(1+Inputs!$B$7/100))+(((Inputs!$B$12*(1+Inputs!$B$13/100))-(Inputs!$B$12*(1+Inputs!$B$13/100)))+0.25*(Inputs!$B$14-Inputs!$B$14))*(1+Inputs!$B$7/100))*(F269/100)</f>
        <v/>
      </c>
      <c r="K269">
        <f>J269*(1+((Inputs!$B$12*(1+Inputs!$B$13/100))*0.01+Inputs!$B$14*0.0025)/100)*(1+Inputs!$B$15/100)*(1+Inputs!$B$16/100)*(5000/(6000+Inputs!$B$42*(1-(Inputs!$B$19+0)/100)))*(1+(Inputs!$B$24+((C282=TRUE)*(F282-Calc!F24))+((C283=TRUE)*(F283-Calc!F25))+B296)/100)*(1+(IF(Skills!A11="EMPOWERED_PIERCING_ARROW",Inputs!$B$17+((C280=TRUE)*(F280-Calc!F22)),Inputs!$B$18+((C285=TRUE)*(F285-Calc!F27))))/100)*((1+(((C271=TRUE)*F271)+((C272=TRUE)*IF(Inputs!$B$38="pvp",F272,(1-Summary!$B$55)*(F272)+Summary!$B$55*(0)))+((C273=TRUE)*F273*IF(AND(Inputs!$B$38&lt;&gt;"pvp",Inputs!$B$43&gt;0),(((R273-1)*(Skills!T15*(1+Inputs!$B$34/100))+MIN((Skills!T15*(1+Inputs!$B$34/100)),MAX(0,Inputs!$B$43-((R273-1)*Skills!D15))))/Inputs!$B$43),IF(Inputs!$B$38="pvp",MIN((Skills!T15*(1+Inputs!$B$34/100)),15)/15,(Skills!T15*(1+Inputs!$B$34/100))/Skills!D15)))+((C270=TRUE)*F270)+((C287=TRUE)*(F287-Calc!F29)))/100)*I269)</f>
        <v/>
      </c>
      <c r="L269">
        <f>K269*(MIN(Inputs!$B$22+((C281=TRUE)*(F281-Calc!F23)),Inputs!$B$23+((C286=TRUE)*(F286-Calc!F28)))/100+(Inputs!$B$23+((C286=TRUE)*(F286-Calc!F28)))/100)/2</f>
        <v/>
      </c>
      <c r="M269">
        <f>L269*(1+(Inputs!$B$10+0+B295)/100)</f>
        <v/>
      </c>
      <c r="N269">
        <f>L269*(1-MIN((Inputs!$B$9+((C277=TRUE)*(F277-Calc!F19))+B290),100)/100)+M269*(MIN((Inputs!$B$9+((C277=TRUE)*(F277-Calc!F19))+B290),100)/100)</f>
        <v/>
      </c>
      <c r="O269">
        <f>(1-Summary!$B$55)*T269+Summary!$B$55*V269</f>
        <v/>
      </c>
      <c r="P269">
        <f>IF(B300=0,0,O269/B300)</f>
        <v/>
      </c>
      <c r="Q269">
        <f>IFERROR(1/IF(Inputs!$B$38="pvp",15,MAX(0.1,Skills!D11-IF(Skills!E11=TRUE,Inputs!$B$32,0))),0)</f>
        <v/>
      </c>
      <c r="R269">
        <f>IF(AND(Inputs!$B$38&lt;&gt;"pvp",Inputs!$B$43&gt;0),IF(MAX(0,Inputs!$B$43-B297)&lt;=0,0,(INT(MAX(0,Inputs!$B$43-B297)/IF(Inputs!$B$38="pvp",15,MAX(0.1,Skills!D11-IF(Skills!E11=TRUE,Inputs!$B$32,0))))+1)),0)</f>
        <v/>
      </c>
      <c r="S269">
        <f>IFERROR((H269*N269*IF(AND(Inputs!$B$38&lt;&gt;"pvp",Inputs!$B$43&gt;0),((Skills!G11*((R269-1)*IF(Skills!H11&gt;0,Skills!I11/Skills!H11,1)+IF(Skills!H11&gt;0,MIN(Skills!I11,MAX(0,MAX(0,Inputs!$B$43-B297)-((R269-1)*IF(Inputs!$B$38="pvp",15,MAX(0.1,Skills!D11-IF(Skills!E11=TRUE,Inputs!$B$32,0))))))/Skills!H11,1)))/Inputs!$B$43),G269*Q269))/N269*IF(Inputs!$B$38="pvp",1,(1-Summary!$B$55)*1+Summary!$B$55*(MIN(Skills!R11,Inputs!$B$37))),0)</f>
        <v/>
      </c>
      <c r="T269">
        <f>IF(C269,(H269*N269*IF(AND(Inputs!$B$38&lt;&gt;"pvp",Inputs!$B$43&gt;0),((Skills!G11*((R269-1)*IF(Skills!H11&gt;0,Skills!I11/Skills!H11,1)+IF(Skills!H11&gt;0,MIN(Skills!I11,MAX(0,MAX(0,Inputs!$B$43-B297)-((R269-1)*IF(Inputs!$B$38="pvp",15,MAX(0.1,Skills!D11-IF(Skills!E11=TRUE,Inputs!$B$32,0))))))/Skills!H11,1)))/Inputs!$B$43),G269*Q269))*IF(Inputs!$B$38="pvp",1,1+((Inputs!$B$20+1)+0+Skills!P11)/100),0)</f>
        <v/>
      </c>
      <c r="V269">
        <f>IF(C269,(H269*N269*IF(AND(Inputs!$B$38&lt;&gt;"pvp",Inputs!$B$43&gt;0),((Skills!G11*((R269-1)*IF(Skills!H11&gt;0,Skills!I11/Skills!H11,1)+IF(Skills!H11&gt;0,MIN(Skills!I11,MAX(0,MAX(0,Inputs!$B$43-B297)-((R269-1)*IF(Inputs!$B$38="pvp",15,MAX(0.1,Skills!D11-IF(Skills!E11=TRUE,Inputs!$B$32,0))))))/Skills!H11,1)))/Inputs!$B$43),G269*Q269))*IF(Inputs!$B$38="pvp",1,(1+(Inputs!$B$21+Skills!Q11)/100)*(MIN(Skills!R11,Inputs!$B$37))),0)</f>
        <v/>
      </c>
    </row>
    <row r="270">
      <c r="A270">
        <f>Skills!A12</f>
        <v/>
      </c>
      <c r="B270">
        <f>Skills!B12</f>
        <v/>
      </c>
      <c r="C270">
        <f>Inputs!$B$3&gt;=60</f>
        <v/>
      </c>
      <c r="D270">
        <f>IF(Skills!C12=1,60+Inputs!$B$25+Inputs!$B$29,IF(Skills!C12=2,90+Inputs!$B$26+Inputs!$B$29,IF(Skills!C12=3,120+Inputs!$B$27+Inputs!$B$29,MAX(0,(Inputs!$B$3-100)*3)+Inputs!$B$28+Inputs!$B$29)))</f>
        <v/>
      </c>
      <c r="E270">
        <f>INDEX(FactorTable!$B$2:$Y$301, MATCH(ROUND(MIN(300,MAX(1,D270)),0), FactorTable!$A$2:$A$301,0), Skills!M12+1)</f>
        <v/>
      </c>
      <c r="F270">
        <f>IF(Skills!N12=TRUE,(Skills!L12/10)*(E270/1000),Skills!L12/10)+Skills!O12</f>
        <v/>
      </c>
      <c r="G270">
        <f>Skills!G12*IF(Skills!H12&gt;0,Skills!I12/Skills!H12,1)</f>
        <v/>
      </c>
      <c r="H270">
        <f>1-(1-Skills!J12/100)^Skills!K12</f>
        <v/>
      </c>
      <c r="I270" t="inlineStr">
        <is>
          <t>1</t>
        </is>
      </c>
      <c r="J270" t="inlineStr"/>
      <c r="K270" t="inlineStr"/>
      <c r="L270" t="inlineStr"/>
      <c r="M270" t="inlineStr"/>
      <c r="N270" t="inlineStr"/>
      <c r="O270">
        <f>(1-Summary!$B$55)*T270+Summary!$B$55*V270</f>
        <v/>
      </c>
      <c r="P270">
        <f>IF(B300=0,0,O270/B300)</f>
        <v/>
      </c>
      <c r="Q270" t="n">
        <v>0</v>
      </c>
      <c r="R270" t="n">
        <v>0</v>
      </c>
      <c r="S270" t="n">
        <v>0</v>
      </c>
      <c r="T270" t="n">
        <v>0</v>
      </c>
      <c r="V270" t="n">
        <v>0</v>
      </c>
    </row>
    <row r="271">
      <c r="A271">
        <f>Skills!A13</f>
        <v/>
      </c>
      <c r="B271">
        <f>Skills!B13</f>
        <v/>
      </c>
      <c r="C271">
        <f>Inputs!$B$3&gt;=74</f>
        <v/>
      </c>
      <c r="D271">
        <f>IF(Skills!C13=1,60+Inputs!$B$25+Inputs!$B$29,IF(Skills!C13=2,90+Inputs!$B$26+Inputs!$B$29,IF(Skills!C13=3,120+Inputs!$B$27+Inputs!$B$29,MAX(0,(Inputs!$B$3-100)*3)+Inputs!$B$28+Inputs!$B$29)))</f>
        <v/>
      </c>
      <c r="E271">
        <f>INDEX(FactorTable!$B$2:$Y$301, MATCH(ROUND(MIN(300,MAX(1,D271)),0), FactorTable!$A$2:$A$301,0), Skills!M13+1)</f>
        <v/>
      </c>
      <c r="F271">
        <f>IF(Skills!N13=TRUE,(Skills!L13/10)*(E271/1000),Skills!L13/10)+Skills!O13</f>
        <v/>
      </c>
      <c r="G271">
        <f>Skills!G13*IF(Skills!H13&gt;0,Skills!I13/Skills!H13,1)</f>
        <v/>
      </c>
      <c r="H271">
        <f>1-(1-Skills!J13/100)^Skills!K13</f>
        <v/>
      </c>
      <c r="I271" t="inlineStr">
        <is>
          <t>1</t>
        </is>
      </c>
      <c r="J271" t="inlineStr"/>
      <c r="K271" t="inlineStr"/>
      <c r="L271" t="inlineStr"/>
      <c r="M271" t="inlineStr"/>
      <c r="N271" t="inlineStr"/>
      <c r="O271">
        <f>(1-Summary!$B$55)*T271+Summary!$B$55*V271</f>
        <v/>
      </c>
      <c r="P271">
        <f>IF(B300=0,0,O271/B300)</f>
        <v/>
      </c>
      <c r="Q271" t="n">
        <v>0</v>
      </c>
      <c r="R271" t="n">
        <v>0</v>
      </c>
      <c r="S271" t="n">
        <v>0</v>
      </c>
      <c r="T271" t="n">
        <v>0</v>
      </c>
      <c r="V271" t="n">
        <v>0</v>
      </c>
    </row>
    <row r="272">
      <c r="A272">
        <f>Skills!A14</f>
        <v/>
      </c>
      <c r="B272">
        <f>Skills!B14</f>
        <v/>
      </c>
      <c r="C272">
        <f>Inputs!$B$3&gt;=74</f>
        <v/>
      </c>
      <c r="D272">
        <f>IF(Skills!C14=1,60+Inputs!$B$25+Inputs!$B$29,IF(Skills!C14=2,90+Inputs!$B$26+Inputs!$B$29,IF(Skills!C14=3,120+Inputs!$B$27+Inputs!$B$29,MAX(0,(Inputs!$B$3-100)*3)+Inputs!$B$28+Inputs!$B$29)))</f>
        <v/>
      </c>
      <c r="E272">
        <f>INDEX(FactorTable!$B$2:$Y$301, MATCH(ROUND(MIN(300,MAX(1,D272)),0), FactorTable!$A$2:$A$301,0), Skills!M14+1)</f>
        <v/>
      </c>
      <c r="F272">
        <f>IF(Skills!N14=TRUE,(Skills!L14/10)*(E272/1000),Skills!L14/10)+Skills!O14</f>
        <v/>
      </c>
      <c r="G272">
        <f>Skills!G14*IF(Skills!H14&gt;0,Skills!I14/Skills!H14,1)</f>
        <v/>
      </c>
      <c r="H272">
        <f>1-(1-Skills!J14/100)^Skills!K14</f>
        <v/>
      </c>
      <c r="I272" t="inlineStr">
        <is>
          <t>1</t>
        </is>
      </c>
      <c r="J272" t="inlineStr"/>
      <c r="K272" t="inlineStr"/>
      <c r="L272" t="inlineStr"/>
      <c r="M272" t="inlineStr"/>
      <c r="N272" t="inlineStr"/>
      <c r="O272">
        <f>(1-Summary!$B$55)*T272+Summary!$B$55*V272</f>
        <v/>
      </c>
      <c r="P272">
        <f>IF(B300=0,0,O272/B300)</f>
        <v/>
      </c>
      <c r="Q272" t="n">
        <v>0</v>
      </c>
      <c r="R272" t="n">
        <v>0</v>
      </c>
      <c r="S272" t="n">
        <v>0</v>
      </c>
      <c r="T272" t="n">
        <v>0</v>
      </c>
      <c r="V272" t="n">
        <v>0</v>
      </c>
    </row>
    <row r="273">
      <c r="A273">
        <f>Skills!A15</f>
        <v/>
      </c>
      <c r="B273">
        <f>Skills!B15</f>
        <v/>
      </c>
      <c r="C273">
        <f>Inputs!$B$3&gt;=117</f>
        <v/>
      </c>
      <c r="D273">
        <f>IF(Skills!C15=1,60+Inputs!$B$25+Inputs!$B$29,IF(Skills!C15=2,90+Inputs!$B$26+Inputs!$B$29,IF(Skills!C15=3,120+Inputs!$B$27+Inputs!$B$29,MAX(0,(Inputs!$B$3-100)*3)+Inputs!$B$28+Inputs!$B$29)))</f>
        <v/>
      </c>
      <c r="E273">
        <f>INDEX(FactorTable!$B$2:$Y$301, MATCH(ROUND(MIN(300,MAX(1,D273)),0), FactorTable!$A$2:$A$301,0), Skills!M15+1)</f>
        <v/>
      </c>
      <c r="F273">
        <f>IF(Skills!N15=TRUE,(Skills!L15/10)*(E273/1000),Skills!L15/10)+Skills!O15</f>
        <v/>
      </c>
      <c r="G273">
        <f>Skills!G15*IF(Skills!H15&gt;0,Skills!I15/Skills!H15,1)</f>
        <v/>
      </c>
      <c r="H273">
        <f>1-(1-Skills!J15/100)^Skills!K15</f>
        <v/>
      </c>
      <c r="I273" t="inlineStr">
        <is>
          <t>1</t>
        </is>
      </c>
      <c r="J273" t="inlineStr"/>
      <c r="K273" t="inlineStr"/>
      <c r="L273" t="inlineStr"/>
      <c r="M273" t="inlineStr"/>
      <c r="N273" t="inlineStr"/>
      <c r="O273">
        <f>(1-Summary!$B$55)*T273+Summary!$B$55*V273</f>
        <v/>
      </c>
      <c r="P273">
        <f>IF(B300=0,0,O273/B300)</f>
        <v/>
      </c>
      <c r="Q273">
        <f>IFERROR(1/IF(Inputs!$B$38="pvp",15,MAX(0.1,Skills!D15-IF(Skills!E15=TRUE,Inputs!$B$32,0))),0)</f>
        <v/>
      </c>
      <c r="R273">
        <f>IF(AND(Inputs!$B$38&lt;&gt;"pvp",Inputs!$B$43&gt;0),IF(Inputs!$B$43&lt;=0,0,(INT(Inputs!$B$43/IF(Inputs!$B$38="pvp",15,MAX(0.1,Skills!D15-IF(Skills!E15=TRUE,Inputs!$B$32,0))))+1)),0)</f>
        <v/>
      </c>
      <c r="S273" t="n">
        <v>0</v>
      </c>
      <c r="T273" t="n">
        <v>0</v>
      </c>
      <c r="V273" t="n">
        <v>0</v>
      </c>
    </row>
    <row r="274">
      <c r="A274">
        <f>Skills!A16</f>
        <v/>
      </c>
      <c r="B274">
        <f>Skills!B16</f>
        <v/>
      </c>
      <c r="C274">
        <f>Inputs!$B$3&gt;=115</f>
        <v/>
      </c>
      <c r="D274">
        <f>IF(Skills!C16=1,60+Inputs!$B$25+Inputs!$B$29,IF(Skills!C16=2,90+Inputs!$B$26+Inputs!$B$29,IF(Skills!C16=3,120+Inputs!$B$27+Inputs!$B$29,MAX(0,(Inputs!$B$3-100)*3)+Inputs!$B$28+Inputs!$B$29)))</f>
        <v/>
      </c>
      <c r="E274">
        <f>INDEX(FactorTable!$B$2:$Y$301, MATCH(ROUND(MIN(300,MAX(1,D274)),0), FactorTable!$A$2:$A$301,0), Skills!M16+1)</f>
        <v/>
      </c>
      <c r="F274">
        <f>IF(Skills!N16=TRUE,(Skills!L16/10)*(E274/1000),Skills!L16/10)+Skills!O16</f>
        <v/>
      </c>
      <c r="G274">
        <f>Skills!G16*IF(Skills!H16&gt;0,Skills!I16/Skills!H16,1)</f>
        <v/>
      </c>
      <c r="H274">
        <f>1-(1-Skills!J16/100)^Skills!K16</f>
        <v/>
      </c>
      <c r="I274" t="inlineStr">
        <is>
          <t>1</t>
        </is>
      </c>
      <c r="J274" t="inlineStr"/>
      <c r="K274" t="inlineStr"/>
      <c r="L274" t="inlineStr"/>
      <c r="M274" t="inlineStr"/>
      <c r="N274" t="inlineStr"/>
      <c r="O274">
        <f>(1-Summary!$B$55)*T274+Summary!$B$55*V274</f>
        <v/>
      </c>
      <c r="P274">
        <f>IF(B300=0,0,O274/B300)</f>
        <v/>
      </c>
      <c r="Q274">
        <f>IFERROR(1/IF(Inputs!$B$38="pvp",15,MAX(0.1,Skills!D16-IF(Skills!E16=TRUE,Inputs!$B$32,0))),0)</f>
        <v/>
      </c>
      <c r="R274">
        <f>IF(AND(Inputs!$B$38&lt;&gt;"pvp",Inputs!$B$43&gt;0),IF(Inputs!$B$43&lt;=0,0,(INT(Inputs!$B$43/IF(Inputs!$B$38="pvp",15,MAX(0.1,Skills!D16-IF(Skills!E16=TRUE,Inputs!$B$32,0))))+1)),0)</f>
        <v/>
      </c>
      <c r="S274" t="n">
        <v>0</v>
      </c>
      <c r="T274" t="n">
        <v>0</v>
      </c>
      <c r="V274" t="n">
        <v>0</v>
      </c>
    </row>
    <row r="275">
      <c r="A275">
        <f>Skills!A17</f>
        <v/>
      </c>
      <c r="B275">
        <f>Skills!B17</f>
        <v/>
      </c>
      <c r="C275">
        <f>Inputs!$B$3&gt;=72</f>
        <v/>
      </c>
      <c r="D275">
        <f>IF(Skills!C17=1,60+Inputs!$B$25+Inputs!$B$29,IF(Skills!C17=2,90+Inputs!$B$26+Inputs!$B$29,IF(Skills!C17=3,120+Inputs!$B$27+Inputs!$B$29,MAX(0,(Inputs!$B$3-100)*3)+Inputs!$B$28+Inputs!$B$29)))</f>
        <v/>
      </c>
      <c r="E275">
        <f>INDEX(FactorTable!$B$2:$Y$301, MATCH(ROUND(MIN(300,MAX(1,D275)),0), FactorTable!$A$2:$A$301,0), Skills!M17+1)</f>
        <v/>
      </c>
      <c r="F275">
        <f>IF(Skills!N17=TRUE,(Skills!L17/10)*(E275/1000),Skills!L17/10)+Skills!O17</f>
        <v/>
      </c>
      <c r="G275">
        <f>Skills!G17*IF(Skills!H17&gt;0,Skills!I17/Skills!H17,1)</f>
        <v/>
      </c>
      <c r="H275">
        <f>1-(1-Skills!J17/100)^Skills!K17</f>
        <v/>
      </c>
      <c r="I275" t="inlineStr">
        <is>
          <t>1</t>
        </is>
      </c>
      <c r="J275" t="inlineStr"/>
      <c r="K275" t="inlineStr"/>
      <c r="L275" t="inlineStr"/>
      <c r="M275" t="inlineStr"/>
      <c r="N275" t="inlineStr"/>
      <c r="O275">
        <f>(1-Summary!$B$55)*T275+Summary!$B$55*V275</f>
        <v/>
      </c>
      <c r="P275">
        <f>IF(B300=0,0,O275/B300)</f>
        <v/>
      </c>
      <c r="Q275" t="n">
        <v>0</v>
      </c>
      <c r="R275" t="n">
        <v>0</v>
      </c>
      <c r="S275" t="n">
        <v>0</v>
      </c>
      <c r="T275" t="n">
        <v>0</v>
      </c>
      <c r="V275" t="n">
        <v>0</v>
      </c>
    </row>
    <row r="276">
      <c r="A276">
        <f>Skills!A18</f>
        <v/>
      </c>
      <c r="B276">
        <f>Skills!B18</f>
        <v/>
      </c>
      <c r="C276">
        <f>TRUE</f>
        <v/>
      </c>
      <c r="D276">
        <f>IF(Skills!C18=1,60+Inputs!$B$25+Inputs!$B$29,IF(Skills!C18=2,90+Inputs!$B$26+Inputs!$B$29,IF(Skills!C18=3,120+Inputs!$B$27+Inputs!$B$29,MAX(0,(Inputs!$B$3-100)*3)+Inputs!$B$28+Inputs!$B$29)))</f>
        <v/>
      </c>
      <c r="E276">
        <f>INDEX(FactorTable!$B$2:$Y$301, MATCH(ROUND(MIN(300,MAX(1,D276)),0), FactorTable!$A$2:$A$301,0), Skills!M18+1)</f>
        <v/>
      </c>
      <c r="F276">
        <f>IF(Skills!N18=TRUE,(Skills!L18/10)*(E276/1000),Skills!L18/10)+Skills!O18</f>
        <v/>
      </c>
      <c r="G276">
        <f>Skills!G18*IF(Skills!H18&gt;0,Skills!I18/Skills!H18,1)</f>
        <v/>
      </c>
      <c r="H276">
        <f>1-(1-Skills!J18/100)^Skills!K18</f>
        <v/>
      </c>
      <c r="I276" t="inlineStr">
        <is>
          <t>1</t>
        </is>
      </c>
      <c r="J276" t="inlineStr"/>
      <c r="K276" t="inlineStr"/>
      <c r="L276" t="inlineStr"/>
      <c r="M276" t="inlineStr"/>
      <c r="N276" t="inlineStr"/>
      <c r="O276">
        <f>(1-Summary!$B$55)*T276+Summary!$B$55*V276</f>
        <v/>
      </c>
      <c r="P276">
        <f>IF(B300=0,0,O276/B300)</f>
        <v/>
      </c>
      <c r="Q276">
        <f>IFERROR(1/IF(Inputs!$B$38="pvp",15,MAX(0.1,Skills!D18-IF(Skills!E18=TRUE,Inputs!$B$32,0))),0)</f>
        <v/>
      </c>
      <c r="R276">
        <f>IF(AND(Inputs!$B$38&lt;&gt;"pvp",Inputs!$B$43&gt;0),IF(Inputs!$B$43&lt;=0,0,(INT(Inputs!$B$43/IF(Inputs!$B$38="pvp",15,MAX(0.1,Skills!D18-IF(Skills!E18=TRUE,Inputs!$B$32,0))))+1)),0)</f>
        <v/>
      </c>
      <c r="S276" t="n">
        <v>0</v>
      </c>
      <c r="T276" t="n">
        <v>0</v>
      </c>
      <c r="V276" t="n">
        <v>0</v>
      </c>
    </row>
    <row r="277">
      <c r="A277">
        <f>Skills!A19</f>
        <v/>
      </c>
      <c r="B277">
        <f>Skills!B19</f>
        <v/>
      </c>
      <c r="C277">
        <f>Inputs!$B$3&gt;=15</f>
        <v/>
      </c>
      <c r="D277">
        <f>IF(Skills!C19=1,60+Inputs!$B$25+Inputs!$B$29,IF(Skills!C19=2,90+Inputs!$B$26+Inputs!$B$29,IF(Skills!C19=3,120+Inputs!$B$27+Inputs!$B$29,MAX(0,(Inputs!$B$3-100)*3)+Inputs!$B$28+Inputs!$B$29)))</f>
        <v/>
      </c>
      <c r="E277">
        <f>INDEX(FactorTable!$B$2:$Y$301, MATCH(ROUND(MIN(300,MAX(1,D277)),0), FactorTable!$A$2:$A$301,0), Skills!M19+1)</f>
        <v/>
      </c>
      <c r="F277">
        <f>IF(Skills!N19=TRUE,(Skills!L19/10)*(E277/1000),Skills!L19/10)+Skills!O19</f>
        <v/>
      </c>
      <c r="G277">
        <f>Skills!G19*IF(Skills!H19&gt;0,Skills!I19/Skills!H19,1)</f>
        <v/>
      </c>
      <c r="H277">
        <f>1-(1-Skills!J19/100)^Skills!K19</f>
        <v/>
      </c>
      <c r="I277" t="inlineStr">
        <is>
          <t>1</t>
        </is>
      </c>
      <c r="J277" t="inlineStr"/>
      <c r="K277" t="inlineStr"/>
      <c r="L277" t="inlineStr"/>
      <c r="M277" t="inlineStr"/>
      <c r="N277" t="inlineStr"/>
      <c r="O277">
        <f>(1-Summary!$B$55)*T277+Summary!$B$55*V277</f>
        <v/>
      </c>
      <c r="P277">
        <f>IF(B300=0,0,O277/B300)</f>
        <v/>
      </c>
      <c r="Q277" t="n">
        <v>0</v>
      </c>
      <c r="R277" t="n">
        <v>0</v>
      </c>
      <c r="S277" t="n">
        <v>0</v>
      </c>
      <c r="T277" t="n">
        <v>0</v>
      </c>
      <c r="V277" t="n">
        <v>0</v>
      </c>
    </row>
    <row r="278">
      <c r="A278">
        <f>Skills!A20</f>
        <v/>
      </c>
      <c r="B278">
        <f>Skills!B20</f>
        <v/>
      </c>
      <c r="C278">
        <f>Inputs!$B$3&gt;=10</f>
        <v/>
      </c>
      <c r="D278">
        <f>IF(Skills!C20=1,60+Inputs!$B$25+Inputs!$B$29,IF(Skills!C20=2,90+Inputs!$B$26+Inputs!$B$29,IF(Skills!C20=3,120+Inputs!$B$27+Inputs!$B$29,MAX(0,(Inputs!$B$3-100)*3)+Inputs!$B$28+Inputs!$B$29)))</f>
        <v/>
      </c>
      <c r="E278">
        <f>INDEX(FactorTable!$B$2:$Y$301, MATCH(ROUND(MIN(300,MAX(1,D278)),0), FactorTable!$A$2:$A$301,0), Skills!M20+1)</f>
        <v/>
      </c>
      <c r="F278">
        <f>IF(Skills!N20=TRUE,(Skills!L20/10)*(E278/1000),Skills!L20/10)+Skills!O20</f>
        <v/>
      </c>
      <c r="G278">
        <f>Skills!G20*IF(Skills!H20&gt;0,Skills!I20/Skills!H20,1)</f>
        <v/>
      </c>
      <c r="H278">
        <f>1-(1-Skills!J20/100)^Skills!K20</f>
        <v/>
      </c>
      <c r="I278" t="inlineStr">
        <is>
          <t>1</t>
        </is>
      </c>
      <c r="J278" t="inlineStr"/>
      <c r="K278" t="inlineStr"/>
      <c r="L278" t="inlineStr"/>
      <c r="M278" t="inlineStr"/>
      <c r="N278" t="inlineStr"/>
      <c r="O278">
        <f>(1-Summary!$B$55)*T278+Summary!$B$55*V278</f>
        <v/>
      </c>
      <c r="P278">
        <f>IF(B300=0,0,O278/B300)</f>
        <v/>
      </c>
      <c r="Q278" t="n">
        <v>0</v>
      </c>
      <c r="R278" t="n">
        <v>0</v>
      </c>
      <c r="S278" t="n">
        <v>0</v>
      </c>
      <c r="T278" t="n">
        <v>0</v>
      </c>
      <c r="V278" t="n">
        <v>0</v>
      </c>
    </row>
    <row r="279">
      <c r="A279">
        <f>Skills!A21</f>
        <v/>
      </c>
      <c r="B279">
        <f>Skills!B21</f>
        <v/>
      </c>
      <c r="C279">
        <f>Inputs!$B$3&gt;=33</f>
        <v/>
      </c>
      <c r="D279">
        <f>IF(Skills!C21=1,60+Inputs!$B$25+Inputs!$B$29,IF(Skills!C21=2,90+Inputs!$B$26+Inputs!$B$29,IF(Skills!C21=3,120+Inputs!$B$27+Inputs!$B$29,MAX(0,(Inputs!$B$3-100)*3)+Inputs!$B$28+Inputs!$B$29)))</f>
        <v/>
      </c>
      <c r="E279">
        <f>INDEX(FactorTable!$B$2:$Y$301, MATCH(ROUND(MIN(300,MAX(1,D279)),0), FactorTable!$A$2:$A$301,0), Skills!M21+1)</f>
        <v/>
      </c>
      <c r="F279">
        <f>IF(Skills!N21=TRUE,(Skills!L21/10)*(E279/1000),Skills!L21/10)+Skills!O21</f>
        <v/>
      </c>
      <c r="G279">
        <f>Skills!G21*IF(Skills!H21&gt;0,Skills!I21/Skills!H21,1)</f>
        <v/>
      </c>
      <c r="H279">
        <f>1-(1-Skills!J21/100)^Skills!K21</f>
        <v/>
      </c>
      <c r="I279" t="inlineStr">
        <is>
          <t>1</t>
        </is>
      </c>
      <c r="J279" t="inlineStr"/>
      <c r="K279" t="inlineStr"/>
      <c r="L279" t="inlineStr"/>
      <c r="M279" t="inlineStr"/>
      <c r="N279" t="inlineStr"/>
      <c r="O279">
        <f>(1-Summary!$B$55)*T279+Summary!$B$55*V279</f>
        <v/>
      </c>
      <c r="P279">
        <f>IF(B300=0,0,O279/B300)</f>
        <v/>
      </c>
      <c r="Q279" t="n">
        <v>0</v>
      </c>
      <c r="R279" t="n">
        <v>0</v>
      </c>
      <c r="S279" t="n">
        <v>0</v>
      </c>
      <c r="T279" t="n">
        <v>0</v>
      </c>
      <c r="V279" t="n">
        <v>0</v>
      </c>
    </row>
    <row r="280">
      <c r="A280">
        <f>Skills!A22</f>
        <v/>
      </c>
      <c r="B280">
        <f>Skills!B22</f>
        <v/>
      </c>
      <c r="C280">
        <f>Inputs!$B$3&gt;=38</f>
        <v/>
      </c>
      <c r="D280">
        <f>IF(Skills!C22=1,60+Inputs!$B$25+Inputs!$B$29,IF(Skills!C22=2,90+Inputs!$B$26+Inputs!$B$29,IF(Skills!C22=3,120+Inputs!$B$27+Inputs!$B$29,MAX(0,(Inputs!$B$3-100)*3)+Inputs!$B$28+Inputs!$B$29)))</f>
        <v/>
      </c>
      <c r="E280">
        <f>INDEX(FactorTable!$B$2:$Y$301, MATCH(ROUND(MIN(300,MAX(1,D280)),0), FactorTable!$A$2:$A$301,0), Skills!M22+1)</f>
        <v/>
      </c>
      <c r="F280">
        <f>IF(Skills!N22=TRUE,(Skills!L22/10)*(E280/1000),Skills!L22/10)+Skills!O22</f>
        <v/>
      </c>
      <c r="G280">
        <f>Skills!G22*IF(Skills!H22&gt;0,Skills!I22/Skills!H22,1)</f>
        <v/>
      </c>
      <c r="H280">
        <f>1-(1-Skills!J22/100)^Skills!K22</f>
        <v/>
      </c>
      <c r="I280" t="inlineStr">
        <is>
          <t>1</t>
        </is>
      </c>
      <c r="J280" t="inlineStr"/>
      <c r="K280" t="inlineStr"/>
      <c r="L280" t="inlineStr"/>
      <c r="M280" t="inlineStr"/>
      <c r="N280" t="inlineStr"/>
      <c r="O280">
        <f>(1-Summary!$B$55)*T280+Summary!$B$55*V280</f>
        <v/>
      </c>
      <c r="P280">
        <f>IF(B300=0,0,O280/B300)</f>
        <v/>
      </c>
      <c r="Q280" t="n">
        <v>0</v>
      </c>
      <c r="R280" t="n">
        <v>0</v>
      </c>
      <c r="S280" t="n">
        <v>0</v>
      </c>
      <c r="T280" t="n">
        <v>0</v>
      </c>
      <c r="V280" t="n">
        <v>0</v>
      </c>
    </row>
    <row r="281">
      <c r="A281">
        <f>Skills!A23</f>
        <v/>
      </c>
      <c r="B281">
        <f>Skills!B23</f>
        <v/>
      </c>
      <c r="C281">
        <f>Inputs!$B$3&gt;=43</f>
        <v/>
      </c>
      <c r="D281">
        <f>IF(Skills!C23=1,60+Inputs!$B$25+Inputs!$B$29,IF(Skills!C23=2,90+Inputs!$B$26+Inputs!$B$29,IF(Skills!C23=3,120+Inputs!$B$27+Inputs!$B$29,MAX(0,(Inputs!$B$3-100)*3)+Inputs!$B$28+Inputs!$B$29)))</f>
        <v/>
      </c>
      <c r="E281">
        <f>INDEX(FactorTable!$B$2:$Y$301, MATCH(ROUND(MIN(300,MAX(1,D281)),0), FactorTable!$A$2:$A$301,0), Skills!M23+1)</f>
        <v/>
      </c>
      <c r="F281">
        <f>IF(Skills!N23=TRUE,(Skills!L23/10)*(E281/1000),Skills!L23/10)+Skills!O23</f>
        <v/>
      </c>
      <c r="G281">
        <f>Skills!G23*IF(Skills!H23&gt;0,Skills!I23/Skills!H23,1)</f>
        <v/>
      </c>
      <c r="H281">
        <f>1-(1-Skills!J23/100)^Skills!K23</f>
        <v/>
      </c>
      <c r="I281" t="inlineStr">
        <is>
          <t>1</t>
        </is>
      </c>
      <c r="J281" t="inlineStr"/>
      <c r="K281" t="inlineStr"/>
      <c r="L281" t="inlineStr"/>
      <c r="M281" t="inlineStr"/>
      <c r="N281" t="inlineStr"/>
      <c r="O281">
        <f>(1-Summary!$B$55)*T281+Summary!$B$55*V281</f>
        <v/>
      </c>
      <c r="P281">
        <f>IF(B300=0,0,O281/B300)</f>
        <v/>
      </c>
      <c r="Q281" t="n">
        <v>0</v>
      </c>
      <c r="R281" t="n">
        <v>0</v>
      </c>
      <c r="S281" t="n">
        <v>0</v>
      </c>
      <c r="T281" t="n">
        <v>0</v>
      </c>
      <c r="V281" t="n">
        <v>0</v>
      </c>
    </row>
    <row r="282">
      <c r="A282">
        <f>Skills!A24</f>
        <v/>
      </c>
      <c r="B282">
        <f>Skills!B24</f>
        <v/>
      </c>
      <c r="C282">
        <f>Inputs!$B$3&gt;=75</f>
        <v/>
      </c>
      <c r="D282">
        <f>IF(Skills!C24=1,60+Inputs!$B$25+Inputs!$B$29,IF(Skills!C24=2,90+Inputs!$B$26+Inputs!$B$29,IF(Skills!C24=3,120+Inputs!$B$27+Inputs!$B$29,MAX(0,(Inputs!$B$3-100)*3)+Inputs!$B$28+Inputs!$B$29)))</f>
        <v/>
      </c>
      <c r="E282">
        <f>INDEX(FactorTable!$B$2:$Y$301, MATCH(ROUND(MIN(300,MAX(1,D282)),0), FactorTable!$A$2:$A$301,0), Skills!M24+1)</f>
        <v/>
      </c>
      <c r="F282">
        <f>IF(Skills!N24=TRUE,(Skills!L24/10)*(E282/1000),Skills!L24/10)+Skills!O24</f>
        <v/>
      </c>
      <c r="G282">
        <f>Skills!G24*IF(Skills!H24&gt;0,Skills!I24/Skills!H24,1)</f>
        <v/>
      </c>
      <c r="H282">
        <f>1-(1-Skills!J24/100)^Skills!K24</f>
        <v/>
      </c>
      <c r="I282" t="inlineStr">
        <is>
          <t>1</t>
        </is>
      </c>
      <c r="J282" t="inlineStr"/>
      <c r="K282" t="inlineStr"/>
      <c r="L282" t="inlineStr"/>
      <c r="M282" t="inlineStr"/>
      <c r="N282" t="inlineStr"/>
      <c r="O282">
        <f>(1-Summary!$B$55)*T282+Summary!$B$55*V282</f>
        <v/>
      </c>
      <c r="P282">
        <f>IF(B300=0,0,O282/B300)</f>
        <v/>
      </c>
      <c r="Q282" t="n">
        <v>0</v>
      </c>
      <c r="R282" t="n">
        <v>0</v>
      </c>
      <c r="S282" t="n">
        <v>0</v>
      </c>
      <c r="T282" t="n">
        <v>0</v>
      </c>
      <c r="V282" t="n">
        <v>0</v>
      </c>
    </row>
    <row r="283">
      <c r="A283">
        <f>Skills!A25</f>
        <v/>
      </c>
      <c r="B283">
        <f>Skills!B25</f>
        <v/>
      </c>
      <c r="C283">
        <f>Inputs!$B$3&gt;=125</f>
        <v/>
      </c>
      <c r="D283">
        <f>IF(Skills!C25=1,60+Inputs!$B$25+Inputs!$B$29,IF(Skills!C25=2,90+Inputs!$B$26+Inputs!$B$29,IF(Skills!C25=3,120+Inputs!$B$27+Inputs!$B$29,MAX(0,(Inputs!$B$3-100)*3)+Inputs!$B$28+Inputs!$B$29)))</f>
        <v/>
      </c>
      <c r="E283">
        <f>INDEX(FactorTable!$B$2:$Y$301, MATCH(ROUND(MIN(300,MAX(1,D283)),0), FactorTable!$A$2:$A$301,0), Skills!M25+1)</f>
        <v/>
      </c>
      <c r="F283">
        <f>IF(Skills!N25=TRUE,(Skills!L25/10)*(E283/1000),Skills!L25/10)+Skills!O25</f>
        <v/>
      </c>
      <c r="G283">
        <f>Skills!G25*IF(Skills!H25&gt;0,Skills!I25/Skills!H25,1)</f>
        <v/>
      </c>
      <c r="H283">
        <f>1-(1-Skills!J25/100)^Skills!K25</f>
        <v/>
      </c>
      <c r="I283" t="inlineStr">
        <is>
          <t>1</t>
        </is>
      </c>
      <c r="J283" t="inlineStr"/>
      <c r="K283" t="inlineStr"/>
      <c r="L283" t="inlineStr"/>
      <c r="M283" t="inlineStr"/>
      <c r="N283" t="inlineStr"/>
      <c r="O283">
        <f>(1-Summary!$B$55)*T283+Summary!$B$55*V283</f>
        <v/>
      </c>
      <c r="P283">
        <f>IF(B300=0,0,O283/B300)</f>
        <v/>
      </c>
      <c r="Q283" t="n">
        <v>0</v>
      </c>
      <c r="R283" t="n">
        <v>0</v>
      </c>
      <c r="S283" t="n">
        <v>0</v>
      </c>
      <c r="T283" t="n">
        <v>0</v>
      </c>
      <c r="V283" t="n">
        <v>0</v>
      </c>
    </row>
    <row r="284">
      <c r="A284">
        <f>Skills!A26</f>
        <v/>
      </c>
      <c r="B284">
        <f>Skills!B26</f>
        <v/>
      </c>
      <c r="C284">
        <f>Inputs!$B$3&gt;=125</f>
        <v/>
      </c>
      <c r="D284">
        <f>IF(Skills!C26=1,60+Inputs!$B$25+Inputs!$B$29,IF(Skills!C26=2,90+Inputs!$B$26+Inputs!$B$29,IF(Skills!C26=3,120+Inputs!$B$27+Inputs!$B$29,MAX(0,(Inputs!$B$3-100)*3)+Inputs!$B$28+Inputs!$B$29)))</f>
        <v/>
      </c>
      <c r="E284">
        <f>INDEX(FactorTable!$B$2:$Y$301, MATCH(ROUND(MIN(300,MAX(1,D284)),0), FactorTable!$A$2:$A$301,0), Skills!M26+1)</f>
        <v/>
      </c>
      <c r="F284">
        <f>IF(Skills!N26=TRUE,(Skills!L26/10)*(E284/1000),Skills!L26/10)+Skills!O26</f>
        <v/>
      </c>
      <c r="G284">
        <f>Skills!G26*IF(Skills!H26&gt;0,Skills!I26/Skills!H26,1)</f>
        <v/>
      </c>
      <c r="H284">
        <f>1-(1-Skills!J26/100)^Skills!K26</f>
        <v/>
      </c>
      <c r="I284" t="inlineStr">
        <is>
          <t>1</t>
        </is>
      </c>
      <c r="J284" t="inlineStr"/>
      <c r="K284" t="inlineStr"/>
      <c r="L284" t="inlineStr"/>
      <c r="M284" t="inlineStr"/>
      <c r="N284" t="inlineStr"/>
      <c r="O284">
        <f>(1-Summary!$B$55)*T284+Summary!$B$55*V284</f>
        <v/>
      </c>
      <c r="P284">
        <f>IF(B300=0,0,O284/B300)</f>
        <v/>
      </c>
      <c r="Q284" t="n">
        <v>0</v>
      </c>
      <c r="R284" t="n">
        <v>0</v>
      </c>
      <c r="S284" t="n">
        <v>0</v>
      </c>
      <c r="T284" t="n">
        <v>0</v>
      </c>
      <c r="V284" t="n">
        <v>0</v>
      </c>
    </row>
    <row r="285">
      <c r="A285">
        <f>Skills!A27</f>
        <v/>
      </c>
      <c r="B285">
        <f>Skills!B27</f>
        <v/>
      </c>
      <c r="C285">
        <f>Inputs!$B$3&gt;=120</f>
        <v/>
      </c>
      <c r="D285">
        <f>IF(Skills!C27=1,60+Inputs!$B$25+Inputs!$B$29,IF(Skills!C27=2,90+Inputs!$B$26+Inputs!$B$29,IF(Skills!C27=3,120+Inputs!$B$27+Inputs!$B$29,MAX(0,(Inputs!$B$3-100)*3)+Inputs!$B$28+Inputs!$B$29)))</f>
        <v/>
      </c>
      <c r="E285">
        <f>INDEX(FactorTable!$B$2:$Y$301, MATCH(ROUND(MIN(300,MAX(1,D285)),0), FactorTable!$A$2:$A$301,0), Skills!M27+1)</f>
        <v/>
      </c>
      <c r="F285">
        <f>IF(Skills!N27=TRUE,(Skills!L27/10)*(E285/1000),Skills!L27/10)+Skills!O27</f>
        <v/>
      </c>
      <c r="G285">
        <f>Skills!G27*IF(Skills!H27&gt;0,Skills!I27/Skills!H27,1)</f>
        <v/>
      </c>
      <c r="H285">
        <f>1-(1-Skills!J27/100)^Skills!K27</f>
        <v/>
      </c>
      <c r="I285" t="inlineStr">
        <is>
          <t>1</t>
        </is>
      </c>
      <c r="J285" t="inlineStr"/>
      <c r="K285" t="inlineStr"/>
      <c r="L285" t="inlineStr"/>
      <c r="M285" t="inlineStr"/>
      <c r="N285" t="inlineStr"/>
      <c r="O285">
        <f>(1-Summary!$B$55)*T285+Summary!$B$55*V285</f>
        <v/>
      </c>
      <c r="P285">
        <f>IF(B300=0,0,O285/B300)</f>
        <v/>
      </c>
      <c r="Q285" t="n">
        <v>0</v>
      </c>
      <c r="R285" t="n">
        <v>0</v>
      </c>
      <c r="S285" t="n">
        <v>0</v>
      </c>
      <c r="T285" t="n">
        <v>0</v>
      </c>
      <c r="V285" t="n">
        <v>0</v>
      </c>
    </row>
    <row r="286">
      <c r="A286">
        <f>Skills!A28</f>
        <v/>
      </c>
      <c r="B286">
        <f>Skills!B28</f>
        <v/>
      </c>
      <c r="C286">
        <f>Inputs!$B$3&gt;=120</f>
        <v/>
      </c>
      <c r="D286">
        <f>IF(Skills!C28=1,60+Inputs!$B$25+Inputs!$B$29,IF(Skills!C28=2,90+Inputs!$B$26+Inputs!$B$29,IF(Skills!C28=3,120+Inputs!$B$27+Inputs!$B$29,MAX(0,(Inputs!$B$3-100)*3)+Inputs!$B$28+Inputs!$B$29)))</f>
        <v/>
      </c>
      <c r="E286">
        <f>INDEX(FactorTable!$B$2:$Y$301, MATCH(ROUND(MIN(300,MAX(1,D286)),0), FactorTable!$A$2:$A$301,0), Skills!M28+1)</f>
        <v/>
      </c>
      <c r="F286">
        <f>IF(Skills!N28=TRUE,(Skills!L28/10)*(E286/1000),Skills!L28/10)+Skills!O28</f>
        <v/>
      </c>
      <c r="G286">
        <f>Skills!G28*IF(Skills!H28&gt;0,Skills!I28/Skills!H28,1)</f>
        <v/>
      </c>
      <c r="H286">
        <f>1-(1-Skills!J28/100)^Skills!K28</f>
        <v/>
      </c>
      <c r="I286" t="inlineStr">
        <is>
          <t>1</t>
        </is>
      </c>
      <c r="J286" t="inlineStr"/>
      <c r="K286" t="inlineStr"/>
      <c r="L286" t="inlineStr"/>
      <c r="M286" t="inlineStr"/>
      <c r="N286" t="inlineStr"/>
      <c r="O286">
        <f>(1-Summary!$B$55)*T286+Summary!$B$55*V286</f>
        <v/>
      </c>
      <c r="P286">
        <f>IF(B300=0,0,O286/B300)</f>
        <v/>
      </c>
      <c r="Q286" t="n">
        <v>0</v>
      </c>
      <c r="R286" t="n">
        <v>0</v>
      </c>
      <c r="S286" t="n">
        <v>0</v>
      </c>
      <c r="T286" t="n">
        <v>0</v>
      </c>
      <c r="V286" t="n">
        <v>0</v>
      </c>
    </row>
    <row r="287">
      <c r="A287">
        <f>Skills!A29</f>
        <v/>
      </c>
      <c r="B287">
        <f>Skills!B29</f>
        <v/>
      </c>
      <c r="C287">
        <f>Inputs!$B$3&gt;=45</f>
        <v/>
      </c>
      <c r="D287">
        <f>IF(Skills!C29=1,60+Inputs!$B$25+Inputs!$B$29,IF(Skills!C29=2,90+Inputs!$B$26+Inputs!$B$29,IF(Skills!C29=3,120+Inputs!$B$27+Inputs!$B$29,MAX(0,(Inputs!$B$3-100)*3)+Inputs!$B$28+Inputs!$B$29)))</f>
        <v/>
      </c>
      <c r="E287">
        <f>INDEX(FactorTable!$B$2:$Y$301, MATCH(ROUND(MIN(300,MAX(1,D287)),0), FactorTable!$A$2:$A$301,0), Skills!M29+1)</f>
        <v/>
      </c>
      <c r="F287">
        <f>IF(Skills!N29=TRUE,(Skills!L29/10)*(E287/1000),Skills!L29/10)+Skills!O29</f>
        <v/>
      </c>
      <c r="G287">
        <f>Skills!G29*IF(Skills!H29&gt;0,Skills!I29/Skills!H29,1)</f>
        <v/>
      </c>
      <c r="H287">
        <f>1-(1-Skills!J29/100)^Skills!K29</f>
        <v/>
      </c>
      <c r="I287" t="inlineStr">
        <is>
          <t>1</t>
        </is>
      </c>
      <c r="J287" t="inlineStr"/>
      <c r="K287" t="inlineStr"/>
      <c r="L287" t="inlineStr"/>
      <c r="M287" t="inlineStr"/>
      <c r="N287" t="inlineStr"/>
      <c r="O287">
        <f>(1-Summary!$B$55)*T287+Summary!$B$55*V287</f>
        <v/>
      </c>
      <c r="P287">
        <f>IF(B300=0,0,O287/B300)</f>
        <v/>
      </c>
      <c r="Q287" t="n">
        <v>0</v>
      </c>
      <c r="R287" t="n">
        <v>0</v>
      </c>
      <c r="S287" t="n">
        <v>0</v>
      </c>
      <c r="T287" t="n">
        <v>0</v>
      </c>
      <c r="V287" t="n">
        <v>0</v>
      </c>
    </row>
    <row r="289">
      <c r="A289" t="inlineStr">
        <is>
          <t>Attack% Bucket Multiplier</t>
        </is>
      </c>
      <c r="B289">
        <f>(1+(((C271=TRUE)*F271)+((C272=TRUE)*IF(Inputs!$B$38="pvp",F272,(1-Summary!$B$55)*(F272)+Summary!$B$55*(0)))+((C273=TRUE)*F273*IF(AND(Inputs!$B$38&lt;&gt;"pvp",Inputs!$B$43&gt;0),(((R273-1)*(Skills!T15*(1+Inputs!$B$34/100))+MIN((Skills!T15*(1+Inputs!$B$34/100)),MAX(0,Inputs!$B$43-((R273-1)*Skills!D15))))/Inputs!$B$43),IF(Inputs!$B$38="pvp",MIN((Skills!T15*(1+Inputs!$B$34/100)),15)/15,(Skills!T15*(1+Inputs!$B$34/100))/Skills!D15)))+((C270=TRUE)*F270)+((C287=TRUE)*(F287-Calc!F29)))/100)</f>
        <v/>
      </c>
    </row>
    <row r="290">
      <c r="A290" t="inlineStr">
        <is>
          <t>Global Crit Rate Bonus %</t>
        </is>
      </c>
      <c r="B290">
        <f>(C274=TRUE)*20*IF(AND(Inputs!$B$38&lt;&gt;"pvp",Inputs!$B$43&gt;0),(((R274-1)*(Skills!T16*(1+Inputs!$B$34/100))+MIN((Skills!T16*(1+Inputs!$B$34/100)),MAX(0,Inputs!$B$43-((R274-1)*Skills!D16))))/Inputs!$B$43),IF(Inputs!$B$38="pvp",MIN((Skills!T16*(1+Inputs!$B$34/100)),15)/15,(Skills!T16*(1+Inputs!$B$34/100))/Skills!D16))</f>
        <v/>
      </c>
    </row>
    <row r="291">
      <c r="A291" t="inlineStr">
        <is>
          <t>Attack Speed Buff Bonus %</t>
        </is>
      </c>
      <c r="B291">
        <f>((C276=TRUE)*F276*IF(AND(Inputs!$B$38&lt;&gt;"pvp",Inputs!$B$43&gt;0),(((R276-1)*(Skills!T18*(1+Inputs!$B$34/100))+MIN((Skills!T18*(1+Inputs!$B$34/100)),MAX(0,Inputs!$B$43-((R276-1)*Skills!D18))))/Inputs!$B$43),IF(Inputs!$B$38="pvp",MIN((Skills!T18*(1+Inputs!$B$34/100)),15)/15,(Skills!T18*(1+Inputs!$B$34/100))/Skills!D18)))</f>
        <v/>
      </c>
    </row>
    <row r="292">
      <c r="A292" t="inlineStr">
        <is>
          <t>Actions Per Second</t>
        </is>
      </c>
      <c r="B292">
        <f>1+MIN(150,150*(1-(1-(Inputs!$B$11+((C278=TRUE)*(F278-Calc!F20))+((C279=TRUE)*(F279-Calc!F21)))/150)*(1-B291/150)))/100</f>
        <v/>
      </c>
    </row>
    <row r="293">
      <c r="A293" t="inlineStr">
        <is>
          <t>Skill + Buff Cast Rate</t>
        </is>
      </c>
      <c r="B293">
        <f>IF(AND(Inputs!$B$38&lt;&gt;"pvp",Inputs!$B$43&gt;0),SUMPRODUCT((Skills!E2:E29=TRUE)*(C260:C287=TRUE)*R260:R287*Skills!F2:F29)/Inputs!$B$43,SUMPRODUCT((Skills!E2:E29=TRUE)*(C260:C287=TRUE)*Q260:Q287*Skills!F2:F29))</f>
        <v/>
      </c>
    </row>
    <row r="294">
      <c r="A294" t="inlineStr">
        <is>
          <t>Empowered Piercing Arrow Casts Per Second</t>
        </is>
      </c>
      <c r="B294">
        <f>MAX(0,B292-B293)</f>
        <v/>
      </c>
    </row>
    <row r="295">
      <c r="A295" t="inlineStr">
        <is>
          <t>Global Critical Damage Bonus % (Sharp Eyes)</t>
        </is>
      </c>
      <c r="B295">
        <f>(C274=TRUE)*F274*IF(AND(Inputs!$B$38&lt;&gt;"pvp",Inputs!$B$43&gt;0),(((R274-1)*(Skills!T16*(1+Inputs!$B$34/100))+MIN((Skills!T16*(1+Inputs!$B$34/100)),MAX(0,Inputs!$B$43-((R274-1)*Skills!D16))))/Inputs!$B$43),IF(Inputs!$B$38="pvp",MIN((Skills!T16*(1+Inputs!$B$34/100)),15)/15,(Skills!T16*(1+Inputs!$B$34/100))/Skills!D16))</f>
        <v/>
      </c>
    </row>
    <row r="296">
      <c r="A296" t="inlineStr">
        <is>
          <t>Global Final Damage Bonus % (Mortal Blow + Last Man Standing conditional half)</t>
        </is>
      </c>
      <c r="B296">
        <f>(C275=TRUE)*F275+((C284=TRUE)*IF(Inputs!$B$38="pvp",F284,(1-Summary!$B$55)*(F284)+Summary!$B$55*(0)))</f>
        <v/>
      </c>
    </row>
    <row r="297">
      <c r="A297" t="inlineStr">
        <is>
          <t>Buff-Casting Startup Delay (s, fixed-duration only)</t>
        </is>
      </c>
      <c r="B297">
        <f>IF(AND(Inputs!$B$38&lt;&gt;"pvp",Inputs!$B$43&gt;0),SUMPRODUCT((Skills!T2:T29&gt;0)*(Skills!E2:E29=TRUE)*(C260:C287=TRUE))/B292,0)</f>
        <v/>
      </c>
    </row>
    <row r="298">
      <c r="A298" t="inlineStr">
        <is>
          <t>Boss-Only Total DPS (this block's swept value)</t>
        </is>
      </c>
      <c r="B298">
        <f>SUM(T260:T287)</f>
        <v/>
      </c>
    </row>
    <row r="299">
      <c r="A299" t="inlineStr">
        <is>
          <t>Normal-Only Total DPS (this block's swept value)</t>
        </is>
      </c>
      <c r="B299">
        <f>SUM(V260:V287)</f>
        <v/>
      </c>
    </row>
    <row r="300">
      <c r="A300" s="5" t="inlineStr">
        <is>
          <t>TOTAL DPS</t>
        </is>
      </c>
      <c r="B300" s="5">
        <f>SUM(O260:O287)</f>
        <v/>
      </c>
    </row>
    <row r="303">
      <c r="A303" s="5" t="inlineStr">
        <is>
          <t>Stat: NORMAL_DAMAGE %</t>
        </is>
      </c>
    </row>
    <row r="304">
      <c r="A304" s="9" t="inlineStr">
        <is>
          <t>Key</t>
        </is>
      </c>
      <c r="B304" s="9" t="inlineStr">
        <is>
          <t>Name</t>
        </is>
      </c>
      <c r="C304" s="9" t="inlineStr">
        <is>
          <t>Unlocked</t>
        </is>
      </c>
      <c r="D304" s="9" t="inlineStr">
        <is>
          <t>InputLevel</t>
        </is>
      </c>
      <c r="E304" s="9" t="inlineStr">
        <is>
          <t>Factor</t>
        </is>
      </c>
      <c r="F304" s="9" t="inlineStr">
        <is>
          <t>CoefficientPercent</t>
        </is>
      </c>
      <c r="G304" s="9" t="inlineStr">
        <is>
          <t>EffectiveHits</t>
        </is>
      </c>
      <c r="H304" s="9" t="inlineStr">
        <is>
          <t>ProcProbability</t>
        </is>
      </c>
      <c r="I304" s="9" t="inlineStr">
        <is>
          <t>MapleHeroMultiplier</t>
        </is>
      </c>
      <c r="J304" s="9" t="inlineStr">
        <is>
          <t>BaseDamage</t>
        </is>
      </c>
      <c r="K304" s="9" t="inlineStr">
        <is>
          <t>BaseHitDamage</t>
        </is>
      </c>
      <c r="L304" s="9" t="inlineStr">
        <is>
          <t>NonCritAvg</t>
        </is>
      </c>
      <c r="M304" s="9" t="inlineStr">
        <is>
          <t>CritAvg</t>
        </is>
      </c>
      <c r="N304" s="9" t="inlineStr">
        <is>
          <t>ExpectedDamage(perHit)</t>
        </is>
      </c>
      <c r="O304" s="9" t="inlineStr">
        <is>
          <t>DPS</t>
        </is>
      </c>
      <c r="P304" s="9" t="inlineStr">
        <is>
          <t>% of Total</t>
        </is>
      </c>
      <c r="Q304" s="9" t="inlineStr">
        <is>
          <t>InvCooldown</t>
        </is>
      </c>
      <c r="R304" s="9" t="inlineStr">
        <is>
          <t>CastsInFight</t>
        </is>
      </c>
      <c r="S304" s="9" t="inlineStr">
        <is>
          <t>HitRate(perSec)</t>
        </is>
      </c>
      <c r="U304" t="inlineStr">
        <is>
          <t>helpers</t>
        </is>
      </c>
    </row>
    <row r="305">
      <c r="A305">
        <f>Skills!A2</f>
        <v/>
      </c>
      <c r="B305">
        <f>Skills!B2</f>
        <v/>
      </c>
      <c r="C305">
        <f>Inputs!$B$3&gt;=100</f>
        <v/>
      </c>
      <c r="D305" t="inlineStr"/>
      <c r="E305" t="inlineStr"/>
      <c r="F305">
        <f>U307+Skills!O2</f>
        <v/>
      </c>
      <c r="G305">
        <f>Skills!G2*IF(Skills!H2&gt;0,Skills!I2/Skills!H2,1)</f>
        <v/>
      </c>
      <c r="H305">
        <f>1-(1-Skills!J2/100)^Skills!K2</f>
        <v/>
      </c>
      <c r="I305" t="inlineStr">
        <is>
          <t>1</t>
        </is>
      </c>
      <c r="J305">
        <f>((Inputs!$B$6*(1+Inputs!$B$7/100))+(((Inputs!$B$12*(1+Inputs!$B$13/100))-(Inputs!$B$12*(1+Inputs!$B$13/100)))+0.25*(Inputs!$B$14-Inputs!$B$14))*(1+Inputs!$B$7/100))*(F305/100)</f>
        <v/>
      </c>
      <c r="K305">
        <f>J305*(1+((Inputs!$B$12*(1+Inputs!$B$13/100))*0.01+Inputs!$B$14*0.0025)/100)*(1+Inputs!$B$15/100)*(1+Inputs!$B$16/100)*(5000/(6000+Inputs!$B$42*(1-(Inputs!$B$19+0)/100)))*(1+(Inputs!$B$24+((C327=TRUE)*(F327-Calc!F24))+((C328=TRUE)*(F328-Calc!F25))+B341)/100)*(1+(IF(Skills!A2="EMPOWERED_PIERCING_ARROW",Inputs!$B$17+((C325=TRUE)*(F325-Calc!F22)),Inputs!$B$18+((C330=TRUE)*(F330-Calc!F27))))/100)*((1+(((C316=TRUE)*F316)+((C317=TRUE)*IF(Inputs!$B$38="pvp",F317,(1-Summary!$B$55)*(F317)+Summary!$B$55*(0)))+((C318=TRUE)*F318*IF(AND(Inputs!$B$38&lt;&gt;"pvp",Inputs!$B$43&gt;0),(((R318-1)*(Skills!T15*(1+Inputs!$B$34/100))+MIN((Skills!T15*(1+Inputs!$B$34/100)),MAX(0,Inputs!$B$43-((R318-1)*Skills!D15))))/Inputs!$B$43),IF(Inputs!$B$38="pvp",MIN((Skills!T15*(1+Inputs!$B$34/100)),15)/15,(Skills!T15*(1+Inputs!$B$34/100))/Skills!D15)))+((C315=TRUE)*F315)+((C332=TRUE)*(F332-Calc!F29)))/100)*I305)</f>
        <v/>
      </c>
      <c r="L305">
        <f>K305*(MIN(Inputs!$B$22+((C326=TRUE)*(F326-Calc!F23)),Inputs!$B$23+((C331=TRUE)*(F331-Calc!F28)))/100+(Inputs!$B$23+((C331=TRUE)*(F331-Calc!F28)))/100)/2</f>
        <v/>
      </c>
      <c r="M305">
        <f>L305*(1+(Inputs!$B$10+0+B340)/100)</f>
        <v/>
      </c>
      <c r="N305">
        <f>L305*(1-MIN((Inputs!$B$9+((C322=TRUE)*(F322-Calc!F19))+B335),100)/100)+M305*(MIN((Inputs!$B$9+((C322=TRUE)*(F322-Calc!F19))+B335),100)/100)</f>
        <v/>
      </c>
      <c r="O305">
        <f>(1-Summary!$B$55)*T305+Summary!$B$55*V305</f>
        <v/>
      </c>
      <c r="P305">
        <f>IF(B345=0,0,O305/B345)</f>
        <v/>
      </c>
      <c r="Q305" t="n">
        <v>0</v>
      </c>
      <c r="R305" t="n">
        <v>0</v>
      </c>
      <c r="S305">
        <f>IFERROR((Skills!G2*N305*B339)/N305*IF(Inputs!$B$38="pvp",1,(1-Summary!$B$55)*1+Summary!$B$55*(MIN((6+Inputs!$B$33),Inputs!$B$37))),0)</f>
        <v/>
      </c>
      <c r="T305">
        <f>IF(C305,(Skills!G2*N305*B339)*IF(Inputs!$B$38="pvp",1,1+(Inputs!$B$20+0+Skills!P2)/100),0)</f>
        <v/>
      </c>
      <c r="U305">
        <f>MAX(0,(Inputs!$B$3-100)*3)+Inputs!$B$28+Inputs!$B$29</f>
        <v/>
      </c>
      <c r="V305">
        <f>IF(C305,(Skills!G2*N305*B339)*IF(Inputs!$B$38="pvp",1,(1+((Inputs!$B$21+1)+Skills!Q2)/100)*(MIN((6+Inputs!$B$33),Inputs!$B$37))),0)</f>
        <v/>
      </c>
    </row>
    <row r="306">
      <c r="A306">
        <f>Skills!A3</f>
        <v/>
      </c>
      <c r="B306">
        <f>Skills!B3</f>
        <v/>
      </c>
      <c r="C306">
        <f>Inputs!$B$3&gt;=50</f>
        <v/>
      </c>
      <c r="D306">
        <f>IF(Skills!C3=1,60+Inputs!$B$25+Inputs!$B$29,IF(Skills!C3=2,90+Inputs!$B$26+Inputs!$B$29,IF(Skills!C3=3,120+Inputs!$B$27+Inputs!$B$29,MAX(0,(Inputs!$B$3-100)*3)+Inputs!$B$28+Inputs!$B$29)))</f>
        <v/>
      </c>
      <c r="E306">
        <f>INDEX(FactorTable!$B$2:$Y$301, MATCH(ROUND(MIN(300,MAX(1,D306)),0), FactorTable!$A$2:$A$301,0), Skills!M3+1)</f>
        <v/>
      </c>
      <c r="F306">
        <f>IF(Skills!N3=TRUE,(Skills!L3/10)*(E306/1000),Skills!L3/10)+Skills!O3</f>
        <v/>
      </c>
      <c r="G306" t="inlineStr"/>
      <c r="H306" t="inlineStr"/>
      <c r="I306" t="inlineStr">
        <is>
          <t>1</t>
        </is>
      </c>
      <c r="J306" t="inlineStr"/>
      <c r="K306" t="inlineStr"/>
      <c r="L306" t="inlineStr"/>
      <c r="M306" t="inlineStr"/>
      <c r="N306" t="inlineStr"/>
      <c r="O306" t="inlineStr"/>
      <c r="P306" t="inlineStr"/>
      <c r="Q306" t="inlineStr"/>
      <c r="R306" t="inlineStr"/>
      <c r="S306" t="inlineStr"/>
      <c r="T306" t="inlineStr"/>
      <c r="U306">
        <f>INDEX(FactorTable!$B$2:$Y$301, MATCH(ROUND(MIN(300,MAX(1,U305)),0), FactorTable!$A$2:$A$301,0), 22)</f>
        <v/>
      </c>
      <c r="V306" t="inlineStr"/>
    </row>
    <row r="307">
      <c r="A307">
        <f>Skills!A4</f>
        <v/>
      </c>
      <c r="B307">
        <f>Skills!B4</f>
        <v/>
      </c>
      <c r="C307">
        <f>Inputs!$B$3&gt;=105</f>
        <v/>
      </c>
      <c r="D307">
        <f>IF(Skills!C4=1,60+Inputs!$B$25+Inputs!$B$29,IF(Skills!C4=2,90+Inputs!$B$26+Inputs!$B$29,IF(Skills!C4=3,120+Inputs!$B$27+Inputs!$B$29,MAX(0,(Inputs!$B$3-100)*3)+Inputs!$B$28+Inputs!$B$29)))</f>
        <v/>
      </c>
      <c r="E307">
        <f>INDEX(FactorTable!$B$2:$Y$301, MATCH(ROUND(MIN(300,MAX(1,D307)),0), FactorTable!$A$2:$A$301,0), Skills!M4+1)</f>
        <v/>
      </c>
      <c r="F307">
        <f>IF(Skills!N4=TRUE,(Skills!L4/10)*(E307/1000),Skills!L4/10)+Skills!O4</f>
        <v/>
      </c>
      <c r="G307" t="inlineStr"/>
      <c r="H307" t="inlineStr"/>
      <c r="I307" t="inlineStr">
        <is>
          <t>1</t>
        </is>
      </c>
      <c r="J307" t="inlineStr"/>
      <c r="K307" t="inlineStr"/>
      <c r="L307" t="inlineStr"/>
      <c r="M307" t="inlineStr"/>
      <c r="N307" t="inlineStr"/>
      <c r="O307" t="inlineStr"/>
      <c r="P307" t="inlineStr"/>
      <c r="Q307" t="inlineStr"/>
      <c r="R307" t="inlineStr"/>
      <c r="S307" t="inlineStr"/>
      <c r="T307" t="inlineStr"/>
      <c r="U307">
        <f>290*U306/1000</f>
        <v/>
      </c>
      <c r="V307" t="inlineStr"/>
    </row>
    <row r="308">
      <c r="A308">
        <f>Skills!A5</f>
        <v/>
      </c>
      <c r="B308">
        <f>Skills!B5</f>
        <v/>
      </c>
      <c r="C308">
        <f>Inputs!$B$3&gt;=35</f>
        <v/>
      </c>
      <c r="D308">
        <f>IF(Skills!C5=1,60+Inputs!$B$25+Inputs!$B$29,IF(Skills!C5=2,90+Inputs!$B$26+Inputs!$B$29,IF(Skills!C5=3,120+Inputs!$B$27+Inputs!$B$29,MAX(0,(Inputs!$B$3-100)*3)+Inputs!$B$28+Inputs!$B$29)))</f>
        <v/>
      </c>
      <c r="E308">
        <f>INDEX(FactorTable!$B$2:$Y$301, MATCH(ROUND(MIN(300,MAX(1,D308)),0), FactorTable!$A$2:$A$301,0), Skills!M5+1)</f>
        <v/>
      </c>
      <c r="F308">
        <f>IF(Skills!N5=TRUE,(Skills!L5/10)*(E308/1000),Skills!L5/10)+Skills!O5</f>
        <v/>
      </c>
      <c r="G308">
        <f>Skills!G5*IF(Skills!H5&gt;0,Skills!I5/Skills!H5,1)</f>
        <v/>
      </c>
      <c r="H308">
        <f>1-(1-Skills!J5/100)^Skills!K5</f>
        <v/>
      </c>
      <c r="I308" t="inlineStr">
        <is>
          <t>1</t>
        </is>
      </c>
      <c r="J308">
        <f>((Inputs!$B$6*(1+Inputs!$B$7/100))+(((Inputs!$B$12*(1+Inputs!$B$13/100))-(Inputs!$B$12*(1+Inputs!$B$13/100)))+0.25*(Inputs!$B$14-Inputs!$B$14))*(1+Inputs!$B$7/100))*(F308/100)</f>
        <v/>
      </c>
      <c r="K308">
        <f>J308*(1+((Inputs!$B$12*(1+Inputs!$B$13/100))*0.01+Inputs!$B$14*0.0025)/100)*(1+Inputs!$B$15/100)*(1+Inputs!$B$16/100)*(5000/(6000+Inputs!$B$42*(1-(Inputs!$B$19+0)/100)))*(1+(Inputs!$B$24+((C327=TRUE)*(F327-Calc!F24))+((C328=TRUE)*(F328-Calc!F25))+B341)/100)*(1+4.0*IF(C311=TRUE,F311,0)/100)*(1+(IF(Skills!A5="EMPOWERED_PIERCING_ARROW",Inputs!$B$17+((C325=TRUE)*(F325-Calc!F22)),Inputs!$B$18+((C330=TRUE)*(F330-Calc!F27))))/100)*((1+(((C316=TRUE)*F316)+((C317=TRUE)*IF(Inputs!$B$38="pvp",F317,(1-Summary!$B$55)*(F317)+Summary!$B$55*(0)))+((C318=TRUE)*F318*IF(AND(Inputs!$B$38&lt;&gt;"pvp",Inputs!$B$43&gt;0),(((R318-1)*(Skills!T15*(1+Inputs!$B$34/100))+MIN((Skills!T15*(1+Inputs!$B$34/100)),MAX(0,Inputs!$B$43-((R318-1)*Skills!D15))))/Inputs!$B$43),IF(Inputs!$B$38="pvp",MIN((Skills!T15*(1+Inputs!$B$34/100)),15)/15,(Skills!T15*(1+Inputs!$B$34/100))/Skills!D15)))+((C315=TRUE)*F315)+((C332=TRUE)*(F332-Calc!F29)))/100)*I308)</f>
        <v/>
      </c>
      <c r="L308">
        <f>K308*(MIN(Inputs!$B$22+((C326=TRUE)*(F326-Calc!F23)),Inputs!$B$23+((C331=TRUE)*(F331-Calc!F28)))/100+(Inputs!$B$23+((C331=TRUE)*(F331-Calc!F28)))/100)/2</f>
        <v/>
      </c>
      <c r="M308">
        <f>L308*(1+(Inputs!$B$10+0+B340)/100)</f>
        <v/>
      </c>
      <c r="N308">
        <f>L308*(1-MIN((Inputs!$B$9+((C322=TRUE)*(F322-Calc!F19))+B335),100)/100)+M308*(MIN((Inputs!$B$9+((C322=TRUE)*(F322-Calc!F19))+B335),100)/100)</f>
        <v/>
      </c>
      <c r="O308">
        <f>(1-Summary!$B$55)*T308+Summary!$B$55*V308</f>
        <v/>
      </c>
      <c r="P308">
        <f>IF(B345=0,0,O308/B345)</f>
        <v/>
      </c>
      <c r="Q308">
        <f>IFERROR(1/IF(Inputs!$B$38="pvp",15,MAX(0.1,Skills!D5-IF(Skills!E5=TRUE,Inputs!$B$32,0))),0)</f>
        <v/>
      </c>
      <c r="R308">
        <f>IF(AND(Inputs!$B$38&lt;&gt;"pvp",Inputs!$B$43&gt;0),IF(MAX(0,Inputs!$B$43-B342)&lt;=0,0,(INT(MAX(0,Inputs!$B$43-B342)/IF(Inputs!$B$38="pvp",15,MAX(0.1,Skills!D5-IF(Skills!E5=TRUE,Inputs!$B$32,0))))+1)),0)</f>
        <v/>
      </c>
      <c r="S308">
        <f>IFERROR((H308*N308*IF(AND(Inputs!$B$38&lt;&gt;"pvp",Inputs!$B$43&gt;0),((Skills!G5*((R308-1)*IF(Skills!H5&gt;0,Skills!I5/Skills!H5,1)+IF(Skills!H5&gt;0,MIN(Skills!I5,MAX(0,MAX(0,Inputs!$B$43-B342)-((R308-1)*IF(Inputs!$B$38="pvp",15,MAX(0.1,Skills!D5-IF(Skills!E5=TRUE,Inputs!$B$32,0))))))/Skills!H5,1)))/Inputs!$B$43),G308*Q308))/N308*IF(Inputs!$B$38="pvp",1,(1-Summary!$B$55)*1+Summary!$B$55*(MIN(Skills!R5,Inputs!$B$37))),0)</f>
        <v/>
      </c>
      <c r="T308">
        <f>IF(C308,(H308*N308*IF(AND(Inputs!$B$38&lt;&gt;"pvp",Inputs!$B$43&gt;0),((Skills!G5*((R308-1)*IF(Skills!H5&gt;0,Skills!I5/Skills!H5,1)+IF(Skills!H5&gt;0,MIN(Skills!I5,MAX(0,MAX(0,Inputs!$B$43-B342)-((R308-1)*IF(Inputs!$B$38="pvp",15,MAX(0.1,Skills!D5-IF(Skills!E5=TRUE,Inputs!$B$32,0))))))/Skills!H5,1)))/Inputs!$B$43),G308*Q308))*IF(Inputs!$B$38="pvp",1,1+(Inputs!$B$20+0+Skills!P5)/100),0)</f>
        <v/>
      </c>
      <c r="V308">
        <f>IF(C308,(H308*N308*IF(AND(Inputs!$B$38&lt;&gt;"pvp",Inputs!$B$43&gt;0),((Skills!G5*((R308-1)*IF(Skills!H5&gt;0,Skills!I5/Skills!H5,1)+IF(Skills!H5&gt;0,MIN(Skills!I5,MAX(0,MAX(0,Inputs!$B$43-B342)-((R308-1)*IF(Inputs!$B$38="pvp",15,MAX(0.1,Skills!D5-IF(Skills!E5=TRUE,Inputs!$B$32,0))))))/Skills!H5,1)))/Inputs!$B$43),G308*Q308))*IF(Inputs!$B$38="pvp",1,(1+((Inputs!$B$21+1)+Skills!Q5)/100)*(MIN(Skills!R5,Inputs!$B$37))),0)</f>
        <v/>
      </c>
    </row>
    <row r="309">
      <c r="A309">
        <f>Skills!A6</f>
        <v/>
      </c>
      <c r="B309">
        <f>Skills!B6</f>
        <v/>
      </c>
      <c r="C309">
        <f>Inputs!$B$3&gt;=63</f>
        <v/>
      </c>
      <c r="D309">
        <f>IF(Skills!C6=1,60+Inputs!$B$25+Inputs!$B$29,IF(Skills!C6=2,90+Inputs!$B$26+Inputs!$B$29,IF(Skills!C6=3,120+Inputs!$B$27+Inputs!$B$29,MAX(0,(Inputs!$B$3-100)*3)+Inputs!$B$28+Inputs!$B$29)))</f>
        <v/>
      </c>
      <c r="E309">
        <f>INDEX(FactorTable!$B$2:$Y$301, MATCH(ROUND(MIN(300,MAX(1,D309)),0), FactorTable!$A$2:$A$301,0), Skills!M6+1)</f>
        <v/>
      </c>
      <c r="F309">
        <f>IF(Skills!N6=TRUE,(Skills!L6/10)*(E309/1000),Skills!L6/10)+Skills!O6</f>
        <v/>
      </c>
      <c r="G309">
        <f>Skills!G6*IF(Skills!H6&gt;0,Skills!I6/Skills!H6,1)</f>
        <v/>
      </c>
      <c r="H309">
        <f>1-(1-Skills!J6/100)^Skills!K6</f>
        <v/>
      </c>
      <c r="I309" t="inlineStr">
        <is>
          <t>1</t>
        </is>
      </c>
      <c r="J309">
        <f>((Inputs!$B$6*(1+Inputs!$B$7/100))+(((Inputs!$B$12*(1+Inputs!$B$13/100))-(Inputs!$B$12*(1+Inputs!$B$13/100)))+0.25*(Inputs!$B$14-Inputs!$B$14))*(1+Inputs!$B$7/100))*(F309/100)</f>
        <v/>
      </c>
      <c r="K309">
        <f>J309*(1+((Inputs!$B$12*(1+Inputs!$B$13/100))*0.01+Inputs!$B$14*0.0025)/100)*(1+Inputs!$B$15/100)*(1+Inputs!$B$16/100)*(5000/(6000+Inputs!$B$42*(1-(Inputs!$B$19+0)/100)))*(1+(Inputs!$B$24+((C327=TRUE)*(F327-Calc!F24))+((C328=TRUE)*(F328-Calc!F25))+B341)/100)*(1+1.0*IF(C311=TRUE,F311,0)/100)*(1+(IF(Skills!A6="EMPOWERED_PIERCING_ARROW",Inputs!$B$17+((C325=TRUE)*(F325-Calc!F22)),Inputs!$B$18+((C330=TRUE)*(F330-Calc!F27))))/100)*((1+(((C316=TRUE)*F316)+((C317=TRUE)*IF(Inputs!$B$38="pvp",F317,(1-Summary!$B$55)*(F317)+Summary!$B$55*(0)))+((C318=TRUE)*F318*IF(AND(Inputs!$B$38&lt;&gt;"pvp",Inputs!$B$43&gt;0),(((R318-1)*(Skills!T15*(1+Inputs!$B$34/100))+MIN((Skills!T15*(1+Inputs!$B$34/100)),MAX(0,Inputs!$B$43-((R318-1)*Skills!D15))))/Inputs!$B$43),IF(Inputs!$B$38="pvp",MIN((Skills!T15*(1+Inputs!$B$34/100)),15)/15,(Skills!T15*(1+Inputs!$B$34/100))/Skills!D15)))+((C315=TRUE)*F315)+((C332=TRUE)*(F332-Calc!F29)))/100)*I309)</f>
        <v/>
      </c>
      <c r="L309">
        <f>K309*(MIN(Inputs!$B$22+((C326=TRUE)*(F326-Calc!F23)),Inputs!$B$23+((C331=TRUE)*(F331-Calc!F28)))/100+(Inputs!$B$23+((C331=TRUE)*(F331-Calc!F28)))/100)/2</f>
        <v/>
      </c>
      <c r="M309">
        <f>L309*(1+(Inputs!$B$10+0+B340)/100)</f>
        <v/>
      </c>
      <c r="N309">
        <f>L309*(1-MIN((Inputs!$B$9+((C322=TRUE)*(F322-Calc!F19))+B335),100)/100)+M309*(MIN((Inputs!$B$9+((C322=TRUE)*(F322-Calc!F19))+B335),100)/100)</f>
        <v/>
      </c>
      <c r="O309">
        <f>(1-Summary!$B$55)*T309+Summary!$B$55*V309</f>
        <v/>
      </c>
      <c r="P309">
        <f>IF(B345=0,0,O309/B345)</f>
        <v/>
      </c>
      <c r="Q309">
        <f>IFERROR(1/IF(Inputs!$B$38="pvp",15,MAX(0.1,Skills!D6-IF(Skills!E6=TRUE,Inputs!$B$32,0))),0)</f>
        <v/>
      </c>
      <c r="R309">
        <f>IF(AND(Inputs!$B$38&lt;&gt;"pvp",Inputs!$B$43&gt;0),IF(MAX(0,Inputs!$B$43-B342)&lt;=0,0,(INT(MAX(0,Inputs!$B$43-B342)/IF(Inputs!$B$38="pvp",15,MAX(0.1,Skills!D6-IF(Skills!E6=TRUE,Inputs!$B$32,0))))+1)),0)</f>
        <v/>
      </c>
      <c r="S309">
        <f>IFERROR((H309*N309*IF(AND(Inputs!$B$38&lt;&gt;"pvp",Inputs!$B$43&gt;0),((Skills!G6*((R309-1)*IF(Skills!H6&gt;0,Skills!I6/Skills!H6,1)+IF(Skills!H6&gt;0,MIN(Skills!I6,MAX(0,MAX(0,Inputs!$B$43-B342)-((R309-1)*IF(Inputs!$B$38="pvp",15,MAX(0.1,Skills!D6-IF(Skills!E6=TRUE,Inputs!$B$32,0))))))/Skills!H6,1)))/Inputs!$B$43),G309*Q309))/N309*IF(Inputs!$B$38="pvp",1,(1-Summary!$B$55)*1+Summary!$B$55*(MIN(Skills!R6,Inputs!$B$37))),0)</f>
        <v/>
      </c>
      <c r="T309">
        <f>IF(C309,(H309*N309*IF(AND(Inputs!$B$38&lt;&gt;"pvp",Inputs!$B$43&gt;0),((Skills!G6*((R309-1)*IF(Skills!H6&gt;0,Skills!I6/Skills!H6,1)+IF(Skills!H6&gt;0,MIN(Skills!I6,MAX(0,MAX(0,Inputs!$B$43-B342)-((R309-1)*IF(Inputs!$B$38="pvp",15,MAX(0.1,Skills!D6-IF(Skills!E6=TRUE,Inputs!$B$32,0))))))/Skills!H6,1)))/Inputs!$B$43),G309*Q309))*IF(Inputs!$B$38="pvp",1,1+(Inputs!$B$20+0+Skills!P6)/100),0)</f>
        <v/>
      </c>
      <c r="V309">
        <f>IF(C309,(H309*N309*IF(AND(Inputs!$B$38&lt;&gt;"pvp",Inputs!$B$43&gt;0),((Skills!G6*((R309-1)*IF(Skills!H6&gt;0,Skills!I6/Skills!H6,1)+IF(Skills!H6&gt;0,MIN(Skills!I6,MAX(0,MAX(0,Inputs!$B$43-B342)-((R309-1)*IF(Inputs!$B$38="pvp",15,MAX(0.1,Skills!D6-IF(Skills!E6=TRUE,Inputs!$B$32,0))))))/Skills!H6,1)))/Inputs!$B$43),G309*Q309))*IF(Inputs!$B$38="pvp",1,(1+((Inputs!$B$21+1)+Skills!Q6)/100)*(MIN(Skills!R6,Inputs!$B$37))),0)</f>
        <v/>
      </c>
    </row>
    <row r="310">
      <c r="A310">
        <f>Skills!A7</f>
        <v/>
      </c>
      <c r="B310">
        <f>Skills!B7</f>
        <v/>
      </c>
      <c r="C310">
        <f>Inputs!$B$3&gt;=69</f>
        <v/>
      </c>
      <c r="D310">
        <f>IF(Skills!C7=1,60+Inputs!$B$25+Inputs!$B$29,IF(Skills!C7=2,90+Inputs!$B$26+Inputs!$B$29,IF(Skills!C7=3,120+Inputs!$B$27+Inputs!$B$29,MAX(0,(Inputs!$B$3-100)*3)+Inputs!$B$28+Inputs!$B$29)))</f>
        <v/>
      </c>
      <c r="E310">
        <f>INDEX(FactorTable!$B$2:$Y$301, MATCH(ROUND(MIN(300,MAX(1,D310)),0), FactorTable!$A$2:$A$301,0), Skills!M7+1)</f>
        <v/>
      </c>
      <c r="F310">
        <f>IF(Skills!N7=TRUE,(Skills!L7/10)*(E310/1000),Skills!L7/10)+Skills!O7</f>
        <v/>
      </c>
      <c r="G310">
        <f>Skills!G7*IF(Skills!H7&gt;0,Skills!I7/Skills!H7,1)</f>
        <v/>
      </c>
      <c r="H310">
        <f>1-(1-Skills!J7/100)^Skills!K7</f>
        <v/>
      </c>
      <c r="I310" t="inlineStr">
        <is>
          <t>1</t>
        </is>
      </c>
      <c r="J310">
        <f>((Inputs!$B$6*(1+Inputs!$B$7/100))+(((Inputs!$B$12*(1+Inputs!$B$13/100))-(Inputs!$B$12*(1+Inputs!$B$13/100)))+0.25*(Inputs!$B$14-Inputs!$B$14))*(1+Inputs!$B$7/100))*(F310/100)</f>
        <v/>
      </c>
      <c r="K310">
        <f>J310*(1+((Inputs!$B$12*(1+Inputs!$B$13/100))*0.01+Inputs!$B$14*0.0025)/100)*(1+Inputs!$B$15/100)*(1+Inputs!$B$16/100)*(5000/(6000+Inputs!$B$42*(1-(Inputs!$B$19+0)/100)))*(1+(Inputs!$B$24+((C327=TRUE)*(F327-Calc!F24))+((C328=TRUE)*(F328-Calc!F25))+B341)/100)*(1+1.2*IF(C311=TRUE,F311,0)/100)*(1+(IF(Skills!A7="EMPOWERED_PIERCING_ARROW",Inputs!$B$17+((C325=TRUE)*(F325-Calc!F22)),Inputs!$B$18+((C330=TRUE)*(F330-Calc!F27))))/100)*((1+(((C316=TRUE)*F316)+((C317=TRUE)*IF(Inputs!$B$38="pvp",F317,(1-Summary!$B$55)*(F317)+Summary!$B$55*(0)))+((C318=TRUE)*F318*IF(AND(Inputs!$B$38&lt;&gt;"pvp",Inputs!$B$43&gt;0),(((R318-1)*(Skills!T15*(1+Inputs!$B$34/100))+MIN((Skills!T15*(1+Inputs!$B$34/100)),MAX(0,Inputs!$B$43-((R318-1)*Skills!D15))))/Inputs!$B$43),IF(Inputs!$B$38="pvp",MIN((Skills!T15*(1+Inputs!$B$34/100)),15)/15,(Skills!T15*(1+Inputs!$B$34/100))/Skills!D15)))+((C315=TRUE)*F315)+((C332=TRUE)*(F332-Calc!F29)))/100)*I310)</f>
        <v/>
      </c>
      <c r="L310">
        <f>K310*(MIN(Inputs!$B$22+((C326=TRUE)*(F326-Calc!F23)),Inputs!$B$23+((C331=TRUE)*(F331-Calc!F28)))/100+(Inputs!$B$23+((C331=TRUE)*(F331-Calc!F28)))/100)/2</f>
        <v/>
      </c>
      <c r="M310">
        <f>L310*(1+(Inputs!$B$10+0+B340)/100)</f>
        <v/>
      </c>
      <c r="N310">
        <f>L310*(1-MIN((Inputs!$B$9+((C322=TRUE)*(F322-Calc!F19))+B335),100)/100)+M310*(MIN((Inputs!$B$9+((C322=TRUE)*(F322-Calc!F19))+B335),100)/100)</f>
        <v/>
      </c>
      <c r="O310">
        <f>(1-Summary!$B$55)*T310+Summary!$B$55*V310</f>
        <v/>
      </c>
      <c r="P310">
        <f>IF(B345=0,0,O310/B345)</f>
        <v/>
      </c>
      <c r="Q310">
        <f>IFERROR(1/IF(Inputs!$B$38="pvp",15,MAX(0.1,Skills!D7-IF(Skills!E7=TRUE,Inputs!$B$32,0))),0)</f>
        <v/>
      </c>
      <c r="R310">
        <f>IF(AND(Inputs!$B$38&lt;&gt;"pvp",Inputs!$B$43&gt;0),IF(MAX(0,Inputs!$B$43-B342)&lt;=0,0,(INT(MAX(0,Inputs!$B$43-B342)/IF(Inputs!$B$38="pvp",15,MAX(0.1,Skills!D7-IF(Skills!E7=TRUE,Inputs!$B$32,0))))+1)),0)</f>
        <v/>
      </c>
      <c r="S310">
        <f>IFERROR((H310*N310*IF(AND(Inputs!$B$38&lt;&gt;"pvp",Inputs!$B$43&gt;0),((Skills!G7*((R310-1)*IF(Skills!H7&gt;0,Skills!I7/Skills!H7,1)+IF(Skills!H7&gt;0,MIN(Skills!I7,MAX(0,MAX(0,Inputs!$B$43-B342)-((R310-1)*IF(Inputs!$B$38="pvp",15,MAX(0.1,Skills!D7-IF(Skills!E7=TRUE,Inputs!$B$32,0))))))/Skills!H7,1)))/Inputs!$B$43),G310*Q310))/N310*IF(Inputs!$B$38="pvp",1,(1-Summary!$B$55)*1+Summary!$B$55*(MIN(Skills!R7,Inputs!$B$37))),0)</f>
        <v/>
      </c>
      <c r="T310">
        <f>IF(C310,(H310*N310*IF(AND(Inputs!$B$38&lt;&gt;"pvp",Inputs!$B$43&gt;0),((Skills!G7*((R310-1)*IF(Skills!H7&gt;0,Skills!I7/Skills!H7,1)+IF(Skills!H7&gt;0,MIN(Skills!I7,MAX(0,MAX(0,Inputs!$B$43-B342)-((R310-1)*IF(Inputs!$B$38="pvp",15,MAX(0.1,Skills!D7-IF(Skills!E7=TRUE,Inputs!$B$32,0))))))/Skills!H7,1)))/Inputs!$B$43),G310*Q310))*IF(Inputs!$B$38="pvp",1,1+(Inputs!$B$20+0+Skills!P7)/100),0)</f>
        <v/>
      </c>
      <c r="V310">
        <f>IF(C310,(H310*N310*IF(AND(Inputs!$B$38&lt;&gt;"pvp",Inputs!$B$43&gt;0),((Skills!G7*((R310-1)*IF(Skills!H7&gt;0,Skills!I7/Skills!H7,1)+IF(Skills!H7&gt;0,MIN(Skills!I7,MAX(0,MAX(0,Inputs!$B$43-B342)-((R310-1)*IF(Inputs!$B$38="pvp",15,MAX(0.1,Skills!D7-IF(Skills!E7=TRUE,Inputs!$B$32,0))))))/Skills!H7,1)))/Inputs!$B$43),G310*Q310))*IF(Inputs!$B$38="pvp",1,(1+((Inputs!$B$21+1)+Skills!Q7)/100)*(MIN(Skills!R7,Inputs!$B$37))),0)</f>
        <v/>
      </c>
    </row>
    <row r="311">
      <c r="A311">
        <f>Skills!A8</f>
        <v/>
      </c>
      <c r="B311">
        <f>Skills!B8</f>
        <v/>
      </c>
      <c r="C311">
        <f>Inputs!$B$3&gt;=100</f>
        <v/>
      </c>
      <c r="D311">
        <f>IF(Skills!C8=1,60+Inputs!$B$25+Inputs!$B$29,IF(Skills!C8=2,90+Inputs!$B$26+Inputs!$B$29,IF(Skills!C8=3,120+Inputs!$B$27+Inputs!$B$29,MAX(0,(Inputs!$B$3-100)*3)+Inputs!$B$28+Inputs!$B$29)))</f>
        <v/>
      </c>
      <c r="E311">
        <f>INDEX(FactorTable!$B$2:$Y$301, MATCH(ROUND(MIN(300,MAX(1,D311)),0), FactorTable!$A$2:$A$301,0), Skills!M8+1)</f>
        <v/>
      </c>
      <c r="F311">
        <f>IF(Skills!N8=TRUE,(Skills!L8/10)*(E311/1000),Skills!L8/10)+Skills!O8</f>
        <v/>
      </c>
      <c r="G311" t="inlineStr"/>
      <c r="H311" t="inlineStr"/>
      <c r="I311" t="inlineStr">
        <is>
          <t>1</t>
        </is>
      </c>
      <c r="J311" t="inlineStr"/>
      <c r="K311" t="inlineStr"/>
      <c r="L311" t="inlineStr"/>
      <c r="M311" t="inlineStr"/>
      <c r="N311" t="inlineStr"/>
      <c r="O311" t="inlineStr"/>
      <c r="P311" t="inlineStr"/>
      <c r="Q311" t="inlineStr"/>
      <c r="R311" t="inlineStr"/>
      <c r="S311" t="inlineStr"/>
      <c r="T311" t="inlineStr"/>
      <c r="V311" t="inlineStr"/>
    </row>
    <row r="312">
      <c r="A312">
        <f>Skills!A9</f>
        <v/>
      </c>
      <c r="B312">
        <f>Skills!B9</f>
        <v/>
      </c>
      <c r="C312">
        <f>Inputs!$B$3&gt;=103</f>
        <v/>
      </c>
      <c r="D312">
        <f>IF(Skills!C9=1,60+Inputs!$B$25+Inputs!$B$29,IF(Skills!C9=2,90+Inputs!$B$26+Inputs!$B$29,IF(Skills!C9=3,120+Inputs!$B$27+Inputs!$B$29,MAX(0,(Inputs!$B$3-100)*3)+Inputs!$B$28+Inputs!$B$29)))</f>
        <v/>
      </c>
      <c r="E312">
        <f>INDEX(FactorTable!$B$2:$Y$301, MATCH(ROUND(MIN(300,MAX(1,D312)),0), FactorTable!$A$2:$A$301,0), Skills!M9+1)</f>
        <v/>
      </c>
      <c r="F312">
        <f>IF(Skills!N9=TRUE,(Skills!L9/10)*(E312/1000),Skills!L9/10)+Skills!O9</f>
        <v/>
      </c>
      <c r="G312">
        <f>Skills!G9*IF(Skills!H9&gt;0,Skills!I9/Skills!H9,1)</f>
        <v/>
      </c>
      <c r="H312">
        <f>1-(1-Skills!J9/100)^Skills!K9</f>
        <v/>
      </c>
      <c r="I312" t="inlineStr">
        <is>
          <t>1</t>
        </is>
      </c>
      <c r="J312">
        <f>((Inputs!$B$6*(1+Inputs!$B$7/100))+(((Inputs!$B$12*(1+Inputs!$B$13/100))-(Inputs!$B$12*(1+Inputs!$B$13/100)))+0.25*(Inputs!$B$14-Inputs!$B$14))*(1+Inputs!$B$7/100))*(F312/100)</f>
        <v/>
      </c>
      <c r="K312">
        <f>J312*(1+((Inputs!$B$12*(1+Inputs!$B$13/100))*0.01+Inputs!$B$14*0.0025)/100)*(1+Inputs!$B$15/100)*(1+Inputs!$B$16/100)*(5000/(6000+Inputs!$B$42*(1-(Inputs!$B$19+0)/100)))*(1+(Inputs!$B$24+((C327=TRUE)*(F327-Calc!F24))+((C328=TRUE)*(F328-Calc!F25))+B341)/100)*(1+(IF(Skills!A9="EMPOWERED_PIERCING_ARROW",Inputs!$B$17+((C325=TRUE)*(F325-Calc!F22)),Inputs!$B$18+((C330=TRUE)*(F330-Calc!F27))))/100)*((1+(((C316=TRUE)*F316)+((C317=TRUE)*IF(Inputs!$B$38="pvp",F317,(1-Summary!$B$55)*(F317)+Summary!$B$55*(0)))+((C318=TRUE)*F318*IF(AND(Inputs!$B$38&lt;&gt;"pvp",Inputs!$B$43&gt;0),(((R318-1)*(Skills!T15*(1+Inputs!$B$34/100))+MIN((Skills!T15*(1+Inputs!$B$34/100)),MAX(0,Inputs!$B$43-((R318-1)*Skills!D15))))/Inputs!$B$43),IF(Inputs!$B$38="pvp",MIN((Skills!T15*(1+Inputs!$B$34/100)),15)/15,(Skills!T15*(1+Inputs!$B$34/100))/Skills!D15)))+((C315=TRUE)*F315)+((C332=TRUE)*(F332-Calc!F29)))/100)*I312)</f>
        <v/>
      </c>
      <c r="L312">
        <f>K312*(MIN(Inputs!$B$22+((C326=TRUE)*(F326-Calc!F23)),Inputs!$B$23+((C331=TRUE)*(F331-Calc!F28)))/100+(Inputs!$B$23+((C331=TRUE)*(F331-Calc!F28)))/100)/2</f>
        <v/>
      </c>
      <c r="M312">
        <f>L312*(1+(Inputs!$B$10+0+B340)/100)</f>
        <v/>
      </c>
      <c r="N312">
        <f>L312*(1-MIN((Inputs!$B$9+((C322=TRUE)*(F322-Calc!F19))+B335),100)/100)+M312*(MIN((Inputs!$B$9+((C322=TRUE)*(F322-Calc!F19))+B335),100)/100)</f>
        <v/>
      </c>
      <c r="O312">
        <f>(1-Summary!$B$55)*T312+Summary!$B$55*V312</f>
        <v/>
      </c>
      <c r="P312">
        <f>IF(B345=0,0,O312/B345)</f>
        <v/>
      </c>
      <c r="Q312">
        <f>IFERROR(1/IF(Inputs!$B$38="pvp",15,MAX(0.1,Skills!D9-IF(Skills!E9=TRUE,Inputs!$B$32,0))),0)</f>
        <v/>
      </c>
      <c r="R312">
        <f>IF(AND(Inputs!$B$38&lt;&gt;"pvp",Inputs!$B$43&gt;0),IF(MAX(0,Inputs!$B$43-B342)&lt;=0,0,(INT(MAX(0,Inputs!$B$43-B342)/IF(Inputs!$B$38="pvp",15,MAX(0.1,Skills!D9-IF(Skills!E9=TRUE,Inputs!$B$32,0))))+1)),0)</f>
        <v/>
      </c>
      <c r="S312">
        <f>IFERROR((H312*N312*IF(AND(Inputs!$B$38&lt;&gt;"pvp",Inputs!$B$43&gt;0),((Skills!G9*((R312-1)*IF(Skills!H9&gt;0,Skills!I9/Skills!H9,1)+IF(Skills!H9&gt;0,MIN(Skills!I9,MAX(0,MAX(0,Inputs!$B$43-B342)-((R312-1)*IF(Inputs!$B$38="pvp",15,MAX(0.1,Skills!D9-IF(Skills!E9=TRUE,Inputs!$B$32,0))))))/Skills!H9,1)))/Inputs!$B$43),G312*Q312))/N312*IF(Inputs!$B$38="pvp",1,(1-Summary!$B$55)*1+Summary!$B$55*(MIN(Skills!R9,Inputs!$B$37))),0)</f>
        <v/>
      </c>
      <c r="T312">
        <f>IF(C312,(H312*N312*IF(AND(Inputs!$B$38&lt;&gt;"pvp",Inputs!$B$43&gt;0),((Skills!G9*((R312-1)*IF(Skills!H9&gt;0,Skills!I9/Skills!H9,1)+IF(Skills!H9&gt;0,MIN(Skills!I9,MAX(0,MAX(0,Inputs!$B$43-B342)-((R312-1)*IF(Inputs!$B$38="pvp",15,MAX(0.1,Skills!D9-IF(Skills!E9=TRUE,Inputs!$B$32,0))))))/Skills!H9,1)))/Inputs!$B$43),G312*Q312))*IF(Inputs!$B$38="pvp",1,1+(Inputs!$B$20+0+Skills!P9)/100),0)</f>
        <v/>
      </c>
      <c r="V312">
        <f>IF(C312,(H312*N312*IF(AND(Inputs!$B$38&lt;&gt;"pvp",Inputs!$B$43&gt;0),((Skills!G9*((R312-1)*IF(Skills!H9&gt;0,Skills!I9/Skills!H9,1)+IF(Skills!H9&gt;0,MIN(Skills!I9,MAX(0,MAX(0,Inputs!$B$43-B342)-((R312-1)*IF(Inputs!$B$38="pvp",15,MAX(0.1,Skills!D9-IF(Skills!E9=TRUE,Inputs!$B$32,0))))))/Skills!H9,1)))/Inputs!$B$43),G312*Q312))*IF(Inputs!$B$38="pvp",1,(1+((Inputs!$B$21+1)+Skills!Q9)/100)*(MIN(Skills!R9,Inputs!$B$37))),0)</f>
        <v/>
      </c>
    </row>
    <row r="313">
      <c r="A313">
        <f>Skills!A10</f>
        <v/>
      </c>
      <c r="B313">
        <f>Skills!B10</f>
        <v/>
      </c>
      <c r="C313">
        <f>Inputs!$B$3&gt;=107</f>
        <v/>
      </c>
      <c r="D313">
        <f>IF(Skills!C10=1,60+Inputs!$B$25+Inputs!$B$29,IF(Skills!C10=2,90+Inputs!$B$26+Inputs!$B$29,IF(Skills!C10=3,120+Inputs!$B$27+Inputs!$B$29,MAX(0,(Inputs!$B$3-100)*3)+Inputs!$B$28+Inputs!$B$29)))</f>
        <v/>
      </c>
      <c r="E313">
        <f>INDEX(FactorTable!$B$2:$Y$301, MATCH(ROUND(MIN(300,MAX(1,D313)),0), FactorTable!$A$2:$A$301,0), Skills!M10+1)</f>
        <v/>
      </c>
      <c r="F313">
        <f>IF(Skills!N10=TRUE,(Skills!L10/10)*(E313/1000),Skills!L10/10)+Skills!O10</f>
        <v/>
      </c>
      <c r="G313">
        <f>Skills!G10*IF(Skills!H10&gt;0,Skills!I10/Skills!H10,1)</f>
        <v/>
      </c>
      <c r="H313">
        <f>1-(1-Skills!J10/100)^Skills!K10</f>
        <v/>
      </c>
      <c r="I313" t="inlineStr">
        <is>
          <t>1</t>
        </is>
      </c>
      <c r="J313">
        <f>((Inputs!$B$6*(1+Inputs!$B$7/100))+(((Inputs!$B$12*(1+Inputs!$B$13/100))-(Inputs!$B$12*(1+Inputs!$B$13/100)))+0.25*(Inputs!$B$14-Inputs!$B$14))*(1+Inputs!$B$7/100))*(F313/100)</f>
        <v/>
      </c>
      <c r="K313">
        <f>J313*(1+((Inputs!$B$12*(1+Inputs!$B$13/100))*0.01+Inputs!$B$14*0.0025)/100)*(1+Inputs!$B$15/100)*(1+Inputs!$B$16/100)*(5000/(6000+Inputs!$B$42*(1-(Inputs!$B$19+0)/100)))*(1+(Inputs!$B$24+((C327=TRUE)*(F327-Calc!F24))+((C328=TRUE)*(F328-Calc!F25))+B341)/100)*(1+(IF(Skills!A10="EMPOWERED_PIERCING_ARROW",Inputs!$B$17+((C325=TRUE)*(F325-Calc!F22)),Inputs!$B$18+((C330=TRUE)*(F330-Calc!F27))))/100)*((1+(((C316=TRUE)*F316)+((C317=TRUE)*IF(Inputs!$B$38="pvp",F317,(1-Summary!$B$55)*(F317)+Summary!$B$55*(0)))+((C318=TRUE)*F318*IF(AND(Inputs!$B$38&lt;&gt;"pvp",Inputs!$B$43&gt;0),(((R318-1)*(Skills!T15*(1+Inputs!$B$34/100))+MIN((Skills!T15*(1+Inputs!$B$34/100)),MAX(0,Inputs!$B$43-((R318-1)*Skills!D15))))/Inputs!$B$43),IF(Inputs!$B$38="pvp",MIN((Skills!T15*(1+Inputs!$B$34/100)),15)/15,(Skills!T15*(1+Inputs!$B$34/100))/Skills!D15)))+((C315=TRUE)*F315)+((C332=TRUE)*(F332-Calc!F29)))/100)*I313)</f>
        <v/>
      </c>
      <c r="L313">
        <f>K313*(MIN(Inputs!$B$22+((C326=TRUE)*(F326-Calc!F23)),Inputs!$B$23+((C331=TRUE)*(F331-Calc!F28)))/100+(Inputs!$B$23+((C331=TRUE)*(F331-Calc!F28)))/100)/2</f>
        <v/>
      </c>
      <c r="M313">
        <f>L313*(1+(Inputs!$B$10+0+B340)/100)</f>
        <v/>
      </c>
      <c r="N313">
        <f>L313*(1-MIN((Inputs!$B$9+((C322=TRUE)*(F322-Calc!F19))+B335),100)/100)+M313*(MIN((Inputs!$B$9+((C322=TRUE)*(F322-Calc!F19))+B335),100)/100)</f>
        <v/>
      </c>
      <c r="O313">
        <f>(1-Summary!$B$55)*T313+Summary!$B$55*V313</f>
        <v/>
      </c>
      <c r="P313">
        <f>IF(B345=0,0,O313/B345)</f>
        <v/>
      </c>
      <c r="Q313" t="n">
        <v>0</v>
      </c>
      <c r="R313" t="n">
        <v>0</v>
      </c>
      <c r="S313" t="n">
        <v>0</v>
      </c>
      <c r="T313">
        <f>IF(C313,(0.15*SUMPRODUCT((Skills!U2:U29=TRUE)*(C305:C332=TRUE)*S305:S332)*Skills!G10*N313)*IF(Inputs!$B$38="pvp",1,1+(Inputs!$B$20+0+Skills!P10)/100),0)</f>
        <v/>
      </c>
      <c r="V313">
        <f>IF(C313,(0.15*SUMPRODUCT((Skills!U2:U29=TRUE)*(C305:C332=TRUE)*S305:S332)*Skills!G10*N313)*IF(Inputs!$B$38="pvp",1,(1+((Inputs!$B$21+1)+Skills!Q10)/100)*(MIN(Skills!R10,Inputs!$B$37))),0)</f>
        <v/>
      </c>
    </row>
    <row r="314">
      <c r="A314">
        <f>Skills!A11</f>
        <v/>
      </c>
      <c r="B314">
        <f>Skills!B11</f>
        <v/>
      </c>
      <c r="C314">
        <f>Inputs!$B$3&gt;=110</f>
        <v/>
      </c>
      <c r="D314">
        <f>IF(Skills!C11=1,60+Inputs!$B$25+Inputs!$B$29,IF(Skills!C11=2,90+Inputs!$B$26+Inputs!$B$29,IF(Skills!C11=3,120+Inputs!$B$27+Inputs!$B$29,MAX(0,(Inputs!$B$3-100)*3)+Inputs!$B$28+Inputs!$B$29)))</f>
        <v/>
      </c>
      <c r="E314">
        <f>INDEX(FactorTable!$B$2:$Y$301, MATCH(ROUND(MIN(300,MAX(1,D314)),0), FactorTable!$A$2:$A$301,0), Skills!M11+1)</f>
        <v/>
      </c>
      <c r="F314">
        <f>IF(Skills!N11=TRUE,(Skills!L11/10)*(E314/1000),Skills!L11/10)+Skills!O11</f>
        <v/>
      </c>
      <c r="G314">
        <f>Skills!G11*IF(Skills!H11&gt;0,Skills!I11/Skills!H11,1)</f>
        <v/>
      </c>
      <c r="H314">
        <f>1-(1-Skills!J11/100)^Skills!K11</f>
        <v/>
      </c>
      <c r="I314" t="inlineStr">
        <is>
          <t>1</t>
        </is>
      </c>
      <c r="J314">
        <f>((Inputs!$B$6*(1+Inputs!$B$7/100))+(((Inputs!$B$12*(1+Inputs!$B$13/100))-(Inputs!$B$12*(1+Inputs!$B$13/100)))+0.25*(Inputs!$B$14-Inputs!$B$14))*(1+Inputs!$B$7/100))*(F314/100)</f>
        <v/>
      </c>
      <c r="K314">
        <f>J314*(1+((Inputs!$B$12*(1+Inputs!$B$13/100))*0.01+Inputs!$B$14*0.0025)/100)*(1+Inputs!$B$15/100)*(1+Inputs!$B$16/100)*(5000/(6000+Inputs!$B$42*(1-(Inputs!$B$19+0)/100)))*(1+(Inputs!$B$24+((C327=TRUE)*(F327-Calc!F24))+((C328=TRUE)*(F328-Calc!F25))+B341)/100)*(1+(IF(Skills!A11="EMPOWERED_PIERCING_ARROW",Inputs!$B$17+((C325=TRUE)*(F325-Calc!F22)),Inputs!$B$18+((C330=TRUE)*(F330-Calc!F27))))/100)*((1+(((C316=TRUE)*F316)+((C317=TRUE)*IF(Inputs!$B$38="pvp",F317,(1-Summary!$B$55)*(F317)+Summary!$B$55*(0)))+((C318=TRUE)*F318*IF(AND(Inputs!$B$38&lt;&gt;"pvp",Inputs!$B$43&gt;0),(((R318-1)*(Skills!T15*(1+Inputs!$B$34/100))+MIN((Skills!T15*(1+Inputs!$B$34/100)),MAX(0,Inputs!$B$43-((R318-1)*Skills!D15))))/Inputs!$B$43),IF(Inputs!$B$38="pvp",MIN((Skills!T15*(1+Inputs!$B$34/100)),15)/15,(Skills!T15*(1+Inputs!$B$34/100))/Skills!D15)))+((C315=TRUE)*F315)+((C332=TRUE)*(F332-Calc!F29)))/100)*I314)</f>
        <v/>
      </c>
      <c r="L314">
        <f>K314*(MIN(Inputs!$B$22+((C326=TRUE)*(F326-Calc!F23)),Inputs!$B$23+((C331=TRUE)*(F331-Calc!F28)))/100+(Inputs!$B$23+((C331=TRUE)*(F331-Calc!F28)))/100)/2</f>
        <v/>
      </c>
      <c r="M314">
        <f>L314*(1+(Inputs!$B$10+0+B340)/100)</f>
        <v/>
      </c>
      <c r="N314">
        <f>L314*(1-MIN((Inputs!$B$9+((C322=TRUE)*(F322-Calc!F19))+B335),100)/100)+M314*(MIN((Inputs!$B$9+((C322=TRUE)*(F322-Calc!F19))+B335),100)/100)</f>
        <v/>
      </c>
      <c r="O314">
        <f>(1-Summary!$B$55)*T314+Summary!$B$55*V314</f>
        <v/>
      </c>
      <c r="P314">
        <f>IF(B345=0,0,O314/B345)</f>
        <v/>
      </c>
      <c r="Q314">
        <f>IFERROR(1/IF(Inputs!$B$38="pvp",15,MAX(0.1,Skills!D11-IF(Skills!E11=TRUE,Inputs!$B$32,0))),0)</f>
        <v/>
      </c>
      <c r="R314">
        <f>IF(AND(Inputs!$B$38&lt;&gt;"pvp",Inputs!$B$43&gt;0),IF(MAX(0,Inputs!$B$43-B342)&lt;=0,0,(INT(MAX(0,Inputs!$B$43-B342)/IF(Inputs!$B$38="pvp",15,MAX(0.1,Skills!D11-IF(Skills!E11=TRUE,Inputs!$B$32,0))))+1)),0)</f>
        <v/>
      </c>
      <c r="S314">
        <f>IFERROR((H314*N314*IF(AND(Inputs!$B$38&lt;&gt;"pvp",Inputs!$B$43&gt;0),((Skills!G11*((R314-1)*IF(Skills!H11&gt;0,Skills!I11/Skills!H11,1)+IF(Skills!H11&gt;0,MIN(Skills!I11,MAX(0,MAX(0,Inputs!$B$43-B342)-((R314-1)*IF(Inputs!$B$38="pvp",15,MAX(0.1,Skills!D11-IF(Skills!E11=TRUE,Inputs!$B$32,0))))))/Skills!H11,1)))/Inputs!$B$43),G314*Q314))/N314*IF(Inputs!$B$38="pvp",1,(1-Summary!$B$55)*1+Summary!$B$55*(MIN(Skills!R11,Inputs!$B$37))),0)</f>
        <v/>
      </c>
      <c r="T314">
        <f>IF(C314,(H314*N314*IF(AND(Inputs!$B$38&lt;&gt;"pvp",Inputs!$B$43&gt;0),((Skills!G11*((R314-1)*IF(Skills!H11&gt;0,Skills!I11/Skills!H11,1)+IF(Skills!H11&gt;0,MIN(Skills!I11,MAX(0,MAX(0,Inputs!$B$43-B342)-((R314-1)*IF(Inputs!$B$38="pvp",15,MAX(0.1,Skills!D11-IF(Skills!E11=TRUE,Inputs!$B$32,0))))))/Skills!H11,1)))/Inputs!$B$43),G314*Q314))*IF(Inputs!$B$38="pvp",1,1+(Inputs!$B$20+0+Skills!P11)/100),0)</f>
        <v/>
      </c>
      <c r="V314">
        <f>IF(C314,(H314*N314*IF(AND(Inputs!$B$38&lt;&gt;"pvp",Inputs!$B$43&gt;0),((Skills!G11*((R314-1)*IF(Skills!H11&gt;0,Skills!I11/Skills!H11,1)+IF(Skills!H11&gt;0,MIN(Skills!I11,MAX(0,MAX(0,Inputs!$B$43-B342)-((R314-1)*IF(Inputs!$B$38="pvp",15,MAX(0.1,Skills!D11-IF(Skills!E11=TRUE,Inputs!$B$32,0))))))/Skills!H11,1)))/Inputs!$B$43),G314*Q314))*IF(Inputs!$B$38="pvp",1,(1+((Inputs!$B$21+1)+Skills!Q11)/100)*(MIN(Skills!R11,Inputs!$B$37))),0)</f>
        <v/>
      </c>
    </row>
    <row r="315">
      <c r="A315">
        <f>Skills!A12</f>
        <v/>
      </c>
      <c r="B315">
        <f>Skills!B12</f>
        <v/>
      </c>
      <c r="C315">
        <f>Inputs!$B$3&gt;=60</f>
        <v/>
      </c>
      <c r="D315">
        <f>IF(Skills!C12=1,60+Inputs!$B$25+Inputs!$B$29,IF(Skills!C12=2,90+Inputs!$B$26+Inputs!$B$29,IF(Skills!C12=3,120+Inputs!$B$27+Inputs!$B$29,MAX(0,(Inputs!$B$3-100)*3)+Inputs!$B$28+Inputs!$B$29)))</f>
        <v/>
      </c>
      <c r="E315">
        <f>INDEX(FactorTable!$B$2:$Y$301, MATCH(ROUND(MIN(300,MAX(1,D315)),0), FactorTable!$A$2:$A$301,0), Skills!M12+1)</f>
        <v/>
      </c>
      <c r="F315">
        <f>IF(Skills!N12=TRUE,(Skills!L12/10)*(E315/1000),Skills!L12/10)+Skills!O12</f>
        <v/>
      </c>
      <c r="G315">
        <f>Skills!G12*IF(Skills!H12&gt;0,Skills!I12/Skills!H12,1)</f>
        <v/>
      </c>
      <c r="H315">
        <f>1-(1-Skills!J12/100)^Skills!K12</f>
        <v/>
      </c>
      <c r="I315" t="inlineStr">
        <is>
          <t>1</t>
        </is>
      </c>
      <c r="J315" t="inlineStr"/>
      <c r="K315" t="inlineStr"/>
      <c r="L315" t="inlineStr"/>
      <c r="M315" t="inlineStr"/>
      <c r="N315" t="inlineStr"/>
      <c r="O315">
        <f>(1-Summary!$B$55)*T315+Summary!$B$55*V315</f>
        <v/>
      </c>
      <c r="P315">
        <f>IF(B345=0,0,O315/B345)</f>
        <v/>
      </c>
      <c r="Q315" t="n">
        <v>0</v>
      </c>
      <c r="R315" t="n">
        <v>0</v>
      </c>
      <c r="S315" t="n">
        <v>0</v>
      </c>
      <c r="T315" t="n">
        <v>0</v>
      </c>
      <c r="V315" t="n">
        <v>0</v>
      </c>
    </row>
    <row r="316">
      <c r="A316">
        <f>Skills!A13</f>
        <v/>
      </c>
      <c r="B316">
        <f>Skills!B13</f>
        <v/>
      </c>
      <c r="C316">
        <f>Inputs!$B$3&gt;=74</f>
        <v/>
      </c>
      <c r="D316">
        <f>IF(Skills!C13=1,60+Inputs!$B$25+Inputs!$B$29,IF(Skills!C13=2,90+Inputs!$B$26+Inputs!$B$29,IF(Skills!C13=3,120+Inputs!$B$27+Inputs!$B$29,MAX(0,(Inputs!$B$3-100)*3)+Inputs!$B$28+Inputs!$B$29)))</f>
        <v/>
      </c>
      <c r="E316">
        <f>INDEX(FactorTable!$B$2:$Y$301, MATCH(ROUND(MIN(300,MAX(1,D316)),0), FactorTable!$A$2:$A$301,0), Skills!M13+1)</f>
        <v/>
      </c>
      <c r="F316">
        <f>IF(Skills!N13=TRUE,(Skills!L13/10)*(E316/1000),Skills!L13/10)+Skills!O13</f>
        <v/>
      </c>
      <c r="G316">
        <f>Skills!G13*IF(Skills!H13&gt;0,Skills!I13/Skills!H13,1)</f>
        <v/>
      </c>
      <c r="H316">
        <f>1-(1-Skills!J13/100)^Skills!K13</f>
        <v/>
      </c>
      <c r="I316" t="inlineStr">
        <is>
          <t>1</t>
        </is>
      </c>
      <c r="J316" t="inlineStr"/>
      <c r="K316" t="inlineStr"/>
      <c r="L316" t="inlineStr"/>
      <c r="M316" t="inlineStr"/>
      <c r="N316" t="inlineStr"/>
      <c r="O316">
        <f>(1-Summary!$B$55)*T316+Summary!$B$55*V316</f>
        <v/>
      </c>
      <c r="P316">
        <f>IF(B345=0,0,O316/B345)</f>
        <v/>
      </c>
      <c r="Q316" t="n">
        <v>0</v>
      </c>
      <c r="R316" t="n">
        <v>0</v>
      </c>
      <c r="S316" t="n">
        <v>0</v>
      </c>
      <c r="T316" t="n">
        <v>0</v>
      </c>
      <c r="V316" t="n">
        <v>0</v>
      </c>
    </row>
    <row r="317">
      <c r="A317">
        <f>Skills!A14</f>
        <v/>
      </c>
      <c r="B317">
        <f>Skills!B14</f>
        <v/>
      </c>
      <c r="C317">
        <f>Inputs!$B$3&gt;=74</f>
        <v/>
      </c>
      <c r="D317">
        <f>IF(Skills!C14=1,60+Inputs!$B$25+Inputs!$B$29,IF(Skills!C14=2,90+Inputs!$B$26+Inputs!$B$29,IF(Skills!C14=3,120+Inputs!$B$27+Inputs!$B$29,MAX(0,(Inputs!$B$3-100)*3)+Inputs!$B$28+Inputs!$B$29)))</f>
        <v/>
      </c>
      <c r="E317">
        <f>INDEX(FactorTable!$B$2:$Y$301, MATCH(ROUND(MIN(300,MAX(1,D317)),0), FactorTable!$A$2:$A$301,0), Skills!M14+1)</f>
        <v/>
      </c>
      <c r="F317">
        <f>IF(Skills!N14=TRUE,(Skills!L14/10)*(E317/1000),Skills!L14/10)+Skills!O14</f>
        <v/>
      </c>
      <c r="G317">
        <f>Skills!G14*IF(Skills!H14&gt;0,Skills!I14/Skills!H14,1)</f>
        <v/>
      </c>
      <c r="H317">
        <f>1-(1-Skills!J14/100)^Skills!K14</f>
        <v/>
      </c>
      <c r="I317" t="inlineStr">
        <is>
          <t>1</t>
        </is>
      </c>
      <c r="J317" t="inlineStr"/>
      <c r="K317" t="inlineStr"/>
      <c r="L317" t="inlineStr"/>
      <c r="M317" t="inlineStr"/>
      <c r="N317" t="inlineStr"/>
      <c r="O317">
        <f>(1-Summary!$B$55)*T317+Summary!$B$55*V317</f>
        <v/>
      </c>
      <c r="P317">
        <f>IF(B345=0,0,O317/B345)</f>
        <v/>
      </c>
      <c r="Q317" t="n">
        <v>0</v>
      </c>
      <c r="R317" t="n">
        <v>0</v>
      </c>
      <c r="S317" t="n">
        <v>0</v>
      </c>
      <c r="T317" t="n">
        <v>0</v>
      </c>
      <c r="V317" t="n">
        <v>0</v>
      </c>
    </row>
    <row r="318">
      <c r="A318">
        <f>Skills!A15</f>
        <v/>
      </c>
      <c r="B318">
        <f>Skills!B15</f>
        <v/>
      </c>
      <c r="C318">
        <f>Inputs!$B$3&gt;=117</f>
        <v/>
      </c>
      <c r="D318">
        <f>IF(Skills!C15=1,60+Inputs!$B$25+Inputs!$B$29,IF(Skills!C15=2,90+Inputs!$B$26+Inputs!$B$29,IF(Skills!C15=3,120+Inputs!$B$27+Inputs!$B$29,MAX(0,(Inputs!$B$3-100)*3)+Inputs!$B$28+Inputs!$B$29)))</f>
        <v/>
      </c>
      <c r="E318">
        <f>INDEX(FactorTable!$B$2:$Y$301, MATCH(ROUND(MIN(300,MAX(1,D318)),0), FactorTable!$A$2:$A$301,0), Skills!M15+1)</f>
        <v/>
      </c>
      <c r="F318">
        <f>IF(Skills!N15=TRUE,(Skills!L15/10)*(E318/1000),Skills!L15/10)+Skills!O15</f>
        <v/>
      </c>
      <c r="G318">
        <f>Skills!G15*IF(Skills!H15&gt;0,Skills!I15/Skills!H15,1)</f>
        <v/>
      </c>
      <c r="H318">
        <f>1-(1-Skills!J15/100)^Skills!K15</f>
        <v/>
      </c>
      <c r="I318" t="inlineStr">
        <is>
          <t>1</t>
        </is>
      </c>
      <c r="J318" t="inlineStr"/>
      <c r="K318" t="inlineStr"/>
      <c r="L318" t="inlineStr"/>
      <c r="M318" t="inlineStr"/>
      <c r="N318" t="inlineStr"/>
      <c r="O318">
        <f>(1-Summary!$B$55)*T318+Summary!$B$55*V318</f>
        <v/>
      </c>
      <c r="P318">
        <f>IF(B345=0,0,O318/B345)</f>
        <v/>
      </c>
      <c r="Q318">
        <f>IFERROR(1/IF(Inputs!$B$38="pvp",15,MAX(0.1,Skills!D15-IF(Skills!E15=TRUE,Inputs!$B$32,0))),0)</f>
        <v/>
      </c>
      <c r="R318">
        <f>IF(AND(Inputs!$B$38&lt;&gt;"pvp",Inputs!$B$43&gt;0),IF(Inputs!$B$43&lt;=0,0,(INT(Inputs!$B$43/IF(Inputs!$B$38="pvp",15,MAX(0.1,Skills!D15-IF(Skills!E15=TRUE,Inputs!$B$32,0))))+1)),0)</f>
        <v/>
      </c>
      <c r="S318" t="n">
        <v>0</v>
      </c>
      <c r="T318" t="n">
        <v>0</v>
      </c>
      <c r="V318" t="n">
        <v>0</v>
      </c>
    </row>
    <row r="319">
      <c r="A319">
        <f>Skills!A16</f>
        <v/>
      </c>
      <c r="B319">
        <f>Skills!B16</f>
        <v/>
      </c>
      <c r="C319">
        <f>Inputs!$B$3&gt;=115</f>
        <v/>
      </c>
      <c r="D319">
        <f>IF(Skills!C16=1,60+Inputs!$B$25+Inputs!$B$29,IF(Skills!C16=2,90+Inputs!$B$26+Inputs!$B$29,IF(Skills!C16=3,120+Inputs!$B$27+Inputs!$B$29,MAX(0,(Inputs!$B$3-100)*3)+Inputs!$B$28+Inputs!$B$29)))</f>
        <v/>
      </c>
      <c r="E319">
        <f>INDEX(FactorTable!$B$2:$Y$301, MATCH(ROUND(MIN(300,MAX(1,D319)),0), FactorTable!$A$2:$A$301,0), Skills!M16+1)</f>
        <v/>
      </c>
      <c r="F319">
        <f>IF(Skills!N16=TRUE,(Skills!L16/10)*(E319/1000),Skills!L16/10)+Skills!O16</f>
        <v/>
      </c>
      <c r="G319">
        <f>Skills!G16*IF(Skills!H16&gt;0,Skills!I16/Skills!H16,1)</f>
        <v/>
      </c>
      <c r="H319">
        <f>1-(1-Skills!J16/100)^Skills!K16</f>
        <v/>
      </c>
      <c r="I319" t="inlineStr">
        <is>
          <t>1</t>
        </is>
      </c>
      <c r="J319" t="inlineStr"/>
      <c r="K319" t="inlineStr"/>
      <c r="L319" t="inlineStr"/>
      <c r="M319" t="inlineStr"/>
      <c r="N319" t="inlineStr"/>
      <c r="O319">
        <f>(1-Summary!$B$55)*T319+Summary!$B$55*V319</f>
        <v/>
      </c>
      <c r="P319">
        <f>IF(B345=0,0,O319/B345)</f>
        <v/>
      </c>
      <c r="Q319">
        <f>IFERROR(1/IF(Inputs!$B$38="pvp",15,MAX(0.1,Skills!D16-IF(Skills!E16=TRUE,Inputs!$B$32,0))),0)</f>
        <v/>
      </c>
      <c r="R319">
        <f>IF(AND(Inputs!$B$38&lt;&gt;"pvp",Inputs!$B$43&gt;0),IF(Inputs!$B$43&lt;=0,0,(INT(Inputs!$B$43/IF(Inputs!$B$38="pvp",15,MAX(0.1,Skills!D16-IF(Skills!E16=TRUE,Inputs!$B$32,0))))+1)),0)</f>
        <v/>
      </c>
      <c r="S319" t="n">
        <v>0</v>
      </c>
      <c r="T319" t="n">
        <v>0</v>
      </c>
      <c r="V319" t="n">
        <v>0</v>
      </c>
    </row>
    <row r="320">
      <c r="A320">
        <f>Skills!A17</f>
        <v/>
      </c>
      <c r="B320">
        <f>Skills!B17</f>
        <v/>
      </c>
      <c r="C320">
        <f>Inputs!$B$3&gt;=72</f>
        <v/>
      </c>
      <c r="D320">
        <f>IF(Skills!C17=1,60+Inputs!$B$25+Inputs!$B$29,IF(Skills!C17=2,90+Inputs!$B$26+Inputs!$B$29,IF(Skills!C17=3,120+Inputs!$B$27+Inputs!$B$29,MAX(0,(Inputs!$B$3-100)*3)+Inputs!$B$28+Inputs!$B$29)))</f>
        <v/>
      </c>
      <c r="E320">
        <f>INDEX(FactorTable!$B$2:$Y$301, MATCH(ROUND(MIN(300,MAX(1,D320)),0), FactorTable!$A$2:$A$301,0), Skills!M17+1)</f>
        <v/>
      </c>
      <c r="F320">
        <f>IF(Skills!N17=TRUE,(Skills!L17/10)*(E320/1000),Skills!L17/10)+Skills!O17</f>
        <v/>
      </c>
      <c r="G320">
        <f>Skills!G17*IF(Skills!H17&gt;0,Skills!I17/Skills!H17,1)</f>
        <v/>
      </c>
      <c r="H320">
        <f>1-(1-Skills!J17/100)^Skills!K17</f>
        <v/>
      </c>
      <c r="I320" t="inlineStr">
        <is>
          <t>1</t>
        </is>
      </c>
      <c r="J320" t="inlineStr"/>
      <c r="K320" t="inlineStr"/>
      <c r="L320" t="inlineStr"/>
      <c r="M320" t="inlineStr"/>
      <c r="N320" t="inlineStr"/>
      <c r="O320">
        <f>(1-Summary!$B$55)*T320+Summary!$B$55*V320</f>
        <v/>
      </c>
      <c r="P320">
        <f>IF(B345=0,0,O320/B345)</f>
        <v/>
      </c>
      <c r="Q320" t="n">
        <v>0</v>
      </c>
      <c r="R320" t="n">
        <v>0</v>
      </c>
      <c r="S320" t="n">
        <v>0</v>
      </c>
      <c r="T320" t="n">
        <v>0</v>
      </c>
      <c r="V320" t="n">
        <v>0</v>
      </c>
    </row>
    <row r="321">
      <c r="A321">
        <f>Skills!A18</f>
        <v/>
      </c>
      <c r="B321">
        <f>Skills!B18</f>
        <v/>
      </c>
      <c r="C321">
        <f>TRUE</f>
        <v/>
      </c>
      <c r="D321">
        <f>IF(Skills!C18=1,60+Inputs!$B$25+Inputs!$B$29,IF(Skills!C18=2,90+Inputs!$B$26+Inputs!$B$29,IF(Skills!C18=3,120+Inputs!$B$27+Inputs!$B$29,MAX(0,(Inputs!$B$3-100)*3)+Inputs!$B$28+Inputs!$B$29)))</f>
        <v/>
      </c>
      <c r="E321">
        <f>INDEX(FactorTable!$B$2:$Y$301, MATCH(ROUND(MIN(300,MAX(1,D321)),0), FactorTable!$A$2:$A$301,0), Skills!M18+1)</f>
        <v/>
      </c>
      <c r="F321">
        <f>IF(Skills!N18=TRUE,(Skills!L18/10)*(E321/1000),Skills!L18/10)+Skills!O18</f>
        <v/>
      </c>
      <c r="G321">
        <f>Skills!G18*IF(Skills!H18&gt;0,Skills!I18/Skills!H18,1)</f>
        <v/>
      </c>
      <c r="H321">
        <f>1-(1-Skills!J18/100)^Skills!K18</f>
        <v/>
      </c>
      <c r="I321" t="inlineStr">
        <is>
          <t>1</t>
        </is>
      </c>
      <c r="J321" t="inlineStr"/>
      <c r="K321" t="inlineStr"/>
      <c r="L321" t="inlineStr"/>
      <c r="M321" t="inlineStr"/>
      <c r="N321" t="inlineStr"/>
      <c r="O321">
        <f>(1-Summary!$B$55)*T321+Summary!$B$55*V321</f>
        <v/>
      </c>
      <c r="P321">
        <f>IF(B345=0,0,O321/B345)</f>
        <v/>
      </c>
      <c r="Q321">
        <f>IFERROR(1/IF(Inputs!$B$38="pvp",15,MAX(0.1,Skills!D18-IF(Skills!E18=TRUE,Inputs!$B$32,0))),0)</f>
        <v/>
      </c>
      <c r="R321">
        <f>IF(AND(Inputs!$B$38&lt;&gt;"pvp",Inputs!$B$43&gt;0),IF(Inputs!$B$43&lt;=0,0,(INT(Inputs!$B$43/IF(Inputs!$B$38="pvp",15,MAX(0.1,Skills!D18-IF(Skills!E18=TRUE,Inputs!$B$32,0))))+1)),0)</f>
        <v/>
      </c>
      <c r="S321" t="n">
        <v>0</v>
      </c>
      <c r="T321" t="n">
        <v>0</v>
      </c>
      <c r="V321" t="n">
        <v>0</v>
      </c>
    </row>
    <row r="322">
      <c r="A322">
        <f>Skills!A19</f>
        <v/>
      </c>
      <c r="B322">
        <f>Skills!B19</f>
        <v/>
      </c>
      <c r="C322">
        <f>Inputs!$B$3&gt;=15</f>
        <v/>
      </c>
      <c r="D322">
        <f>IF(Skills!C19=1,60+Inputs!$B$25+Inputs!$B$29,IF(Skills!C19=2,90+Inputs!$B$26+Inputs!$B$29,IF(Skills!C19=3,120+Inputs!$B$27+Inputs!$B$29,MAX(0,(Inputs!$B$3-100)*3)+Inputs!$B$28+Inputs!$B$29)))</f>
        <v/>
      </c>
      <c r="E322">
        <f>INDEX(FactorTable!$B$2:$Y$301, MATCH(ROUND(MIN(300,MAX(1,D322)),0), FactorTable!$A$2:$A$301,0), Skills!M19+1)</f>
        <v/>
      </c>
      <c r="F322">
        <f>IF(Skills!N19=TRUE,(Skills!L19/10)*(E322/1000),Skills!L19/10)+Skills!O19</f>
        <v/>
      </c>
      <c r="G322">
        <f>Skills!G19*IF(Skills!H19&gt;0,Skills!I19/Skills!H19,1)</f>
        <v/>
      </c>
      <c r="H322">
        <f>1-(1-Skills!J19/100)^Skills!K19</f>
        <v/>
      </c>
      <c r="I322" t="inlineStr">
        <is>
          <t>1</t>
        </is>
      </c>
      <c r="J322" t="inlineStr"/>
      <c r="K322" t="inlineStr"/>
      <c r="L322" t="inlineStr"/>
      <c r="M322" t="inlineStr"/>
      <c r="N322" t="inlineStr"/>
      <c r="O322">
        <f>(1-Summary!$B$55)*T322+Summary!$B$55*V322</f>
        <v/>
      </c>
      <c r="P322">
        <f>IF(B345=0,0,O322/B345)</f>
        <v/>
      </c>
      <c r="Q322" t="n">
        <v>0</v>
      </c>
      <c r="R322" t="n">
        <v>0</v>
      </c>
      <c r="S322" t="n">
        <v>0</v>
      </c>
      <c r="T322" t="n">
        <v>0</v>
      </c>
      <c r="V322" t="n">
        <v>0</v>
      </c>
    </row>
    <row r="323">
      <c r="A323">
        <f>Skills!A20</f>
        <v/>
      </c>
      <c r="B323">
        <f>Skills!B20</f>
        <v/>
      </c>
      <c r="C323">
        <f>Inputs!$B$3&gt;=10</f>
        <v/>
      </c>
      <c r="D323">
        <f>IF(Skills!C20=1,60+Inputs!$B$25+Inputs!$B$29,IF(Skills!C20=2,90+Inputs!$B$26+Inputs!$B$29,IF(Skills!C20=3,120+Inputs!$B$27+Inputs!$B$29,MAX(0,(Inputs!$B$3-100)*3)+Inputs!$B$28+Inputs!$B$29)))</f>
        <v/>
      </c>
      <c r="E323">
        <f>INDEX(FactorTable!$B$2:$Y$301, MATCH(ROUND(MIN(300,MAX(1,D323)),0), FactorTable!$A$2:$A$301,0), Skills!M20+1)</f>
        <v/>
      </c>
      <c r="F323">
        <f>IF(Skills!N20=TRUE,(Skills!L20/10)*(E323/1000),Skills!L20/10)+Skills!O20</f>
        <v/>
      </c>
      <c r="G323">
        <f>Skills!G20*IF(Skills!H20&gt;0,Skills!I20/Skills!H20,1)</f>
        <v/>
      </c>
      <c r="H323">
        <f>1-(1-Skills!J20/100)^Skills!K20</f>
        <v/>
      </c>
      <c r="I323" t="inlineStr">
        <is>
          <t>1</t>
        </is>
      </c>
      <c r="J323" t="inlineStr"/>
      <c r="K323" t="inlineStr"/>
      <c r="L323" t="inlineStr"/>
      <c r="M323" t="inlineStr"/>
      <c r="N323" t="inlineStr"/>
      <c r="O323">
        <f>(1-Summary!$B$55)*T323+Summary!$B$55*V323</f>
        <v/>
      </c>
      <c r="P323">
        <f>IF(B345=0,0,O323/B345)</f>
        <v/>
      </c>
      <c r="Q323" t="n">
        <v>0</v>
      </c>
      <c r="R323" t="n">
        <v>0</v>
      </c>
      <c r="S323" t="n">
        <v>0</v>
      </c>
      <c r="T323" t="n">
        <v>0</v>
      </c>
      <c r="V323" t="n">
        <v>0</v>
      </c>
    </row>
    <row r="324">
      <c r="A324">
        <f>Skills!A21</f>
        <v/>
      </c>
      <c r="B324">
        <f>Skills!B21</f>
        <v/>
      </c>
      <c r="C324">
        <f>Inputs!$B$3&gt;=33</f>
        <v/>
      </c>
      <c r="D324">
        <f>IF(Skills!C21=1,60+Inputs!$B$25+Inputs!$B$29,IF(Skills!C21=2,90+Inputs!$B$26+Inputs!$B$29,IF(Skills!C21=3,120+Inputs!$B$27+Inputs!$B$29,MAX(0,(Inputs!$B$3-100)*3)+Inputs!$B$28+Inputs!$B$29)))</f>
        <v/>
      </c>
      <c r="E324">
        <f>INDEX(FactorTable!$B$2:$Y$301, MATCH(ROUND(MIN(300,MAX(1,D324)),0), FactorTable!$A$2:$A$301,0), Skills!M21+1)</f>
        <v/>
      </c>
      <c r="F324">
        <f>IF(Skills!N21=TRUE,(Skills!L21/10)*(E324/1000),Skills!L21/10)+Skills!O21</f>
        <v/>
      </c>
      <c r="G324">
        <f>Skills!G21*IF(Skills!H21&gt;0,Skills!I21/Skills!H21,1)</f>
        <v/>
      </c>
      <c r="H324">
        <f>1-(1-Skills!J21/100)^Skills!K21</f>
        <v/>
      </c>
      <c r="I324" t="inlineStr">
        <is>
          <t>1</t>
        </is>
      </c>
      <c r="J324" t="inlineStr"/>
      <c r="K324" t="inlineStr"/>
      <c r="L324" t="inlineStr"/>
      <c r="M324" t="inlineStr"/>
      <c r="N324" t="inlineStr"/>
      <c r="O324">
        <f>(1-Summary!$B$55)*T324+Summary!$B$55*V324</f>
        <v/>
      </c>
      <c r="P324">
        <f>IF(B345=0,0,O324/B345)</f>
        <v/>
      </c>
      <c r="Q324" t="n">
        <v>0</v>
      </c>
      <c r="R324" t="n">
        <v>0</v>
      </c>
      <c r="S324" t="n">
        <v>0</v>
      </c>
      <c r="T324" t="n">
        <v>0</v>
      </c>
      <c r="V324" t="n">
        <v>0</v>
      </c>
    </row>
    <row r="325">
      <c r="A325">
        <f>Skills!A22</f>
        <v/>
      </c>
      <c r="B325">
        <f>Skills!B22</f>
        <v/>
      </c>
      <c r="C325">
        <f>Inputs!$B$3&gt;=38</f>
        <v/>
      </c>
      <c r="D325">
        <f>IF(Skills!C22=1,60+Inputs!$B$25+Inputs!$B$29,IF(Skills!C22=2,90+Inputs!$B$26+Inputs!$B$29,IF(Skills!C22=3,120+Inputs!$B$27+Inputs!$B$29,MAX(0,(Inputs!$B$3-100)*3)+Inputs!$B$28+Inputs!$B$29)))</f>
        <v/>
      </c>
      <c r="E325">
        <f>INDEX(FactorTable!$B$2:$Y$301, MATCH(ROUND(MIN(300,MAX(1,D325)),0), FactorTable!$A$2:$A$301,0), Skills!M22+1)</f>
        <v/>
      </c>
      <c r="F325">
        <f>IF(Skills!N22=TRUE,(Skills!L22/10)*(E325/1000),Skills!L22/10)+Skills!O22</f>
        <v/>
      </c>
      <c r="G325">
        <f>Skills!G22*IF(Skills!H22&gt;0,Skills!I22/Skills!H22,1)</f>
        <v/>
      </c>
      <c r="H325">
        <f>1-(1-Skills!J22/100)^Skills!K22</f>
        <v/>
      </c>
      <c r="I325" t="inlineStr">
        <is>
          <t>1</t>
        </is>
      </c>
      <c r="J325" t="inlineStr"/>
      <c r="K325" t="inlineStr"/>
      <c r="L325" t="inlineStr"/>
      <c r="M325" t="inlineStr"/>
      <c r="N325" t="inlineStr"/>
      <c r="O325">
        <f>(1-Summary!$B$55)*T325+Summary!$B$55*V325</f>
        <v/>
      </c>
      <c r="P325">
        <f>IF(B345=0,0,O325/B345)</f>
        <v/>
      </c>
      <c r="Q325" t="n">
        <v>0</v>
      </c>
      <c r="R325" t="n">
        <v>0</v>
      </c>
      <c r="S325" t="n">
        <v>0</v>
      </c>
      <c r="T325" t="n">
        <v>0</v>
      </c>
      <c r="V325" t="n">
        <v>0</v>
      </c>
    </row>
    <row r="326">
      <c r="A326">
        <f>Skills!A23</f>
        <v/>
      </c>
      <c r="B326">
        <f>Skills!B23</f>
        <v/>
      </c>
      <c r="C326">
        <f>Inputs!$B$3&gt;=43</f>
        <v/>
      </c>
      <c r="D326">
        <f>IF(Skills!C23=1,60+Inputs!$B$25+Inputs!$B$29,IF(Skills!C23=2,90+Inputs!$B$26+Inputs!$B$29,IF(Skills!C23=3,120+Inputs!$B$27+Inputs!$B$29,MAX(0,(Inputs!$B$3-100)*3)+Inputs!$B$28+Inputs!$B$29)))</f>
        <v/>
      </c>
      <c r="E326">
        <f>INDEX(FactorTable!$B$2:$Y$301, MATCH(ROUND(MIN(300,MAX(1,D326)),0), FactorTable!$A$2:$A$301,0), Skills!M23+1)</f>
        <v/>
      </c>
      <c r="F326">
        <f>IF(Skills!N23=TRUE,(Skills!L23/10)*(E326/1000),Skills!L23/10)+Skills!O23</f>
        <v/>
      </c>
      <c r="G326">
        <f>Skills!G23*IF(Skills!H23&gt;0,Skills!I23/Skills!H23,1)</f>
        <v/>
      </c>
      <c r="H326">
        <f>1-(1-Skills!J23/100)^Skills!K23</f>
        <v/>
      </c>
      <c r="I326" t="inlineStr">
        <is>
          <t>1</t>
        </is>
      </c>
      <c r="J326" t="inlineStr"/>
      <c r="K326" t="inlineStr"/>
      <c r="L326" t="inlineStr"/>
      <c r="M326" t="inlineStr"/>
      <c r="N326" t="inlineStr"/>
      <c r="O326">
        <f>(1-Summary!$B$55)*T326+Summary!$B$55*V326</f>
        <v/>
      </c>
      <c r="P326">
        <f>IF(B345=0,0,O326/B345)</f>
        <v/>
      </c>
      <c r="Q326" t="n">
        <v>0</v>
      </c>
      <c r="R326" t="n">
        <v>0</v>
      </c>
      <c r="S326" t="n">
        <v>0</v>
      </c>
      <c r="T326" t="n">
        <v>0</v>
      </c>
      <c r="V326" t="n">
        <v>0</v>
      </c>
    </row>
    <row r="327">
      <c r="A327">
        <f>Skills!A24</f>
        <v/>
      </c>
      <c r="B327">
        <f>Skills!B24</f>
        <v/>
      </c>
      <c r="C327">
        <f>Inputs!$B$3&gt;=75</f>
        <v/>
      </c>
      <c r="D327">
        <f>IF(Skills!C24=1,60+Inputs!$B$25+Inputs!$B$29,IF(Skills!C24=2,90+Inputs!$B$26+Inputs!$B$29,IF(Skills!C24=3,120+Inputs!$B$27+Inputs!$B$29,MAX(0,(Inputs!$B$3-100)*3)+Inputs!$B$28+Inputs!$B$29)))</f>
        <v/>
      </c>
      <c r="E327">
        <f>INDEX(FactorTable!$B$2:$Y$301, MATCH(ROUND(MIN(300,MAX(1,D327)),0), FactorTable!$A$2:$A$301,0), Skills!M24+1)</f>
        <v/>
      </c>
      <c r="F327">
        <f>IF(Skills!N24=TRUE,(Skills!L24/10)*(E327/1000),Skills!L24/10)+Skills!O24</f>
        <v/>
      </c>
      <c r="G327">
        <f>Skills!G24*IF(Skills!H24&gt;0,Skills!I24/Skills!H24,1)</f>
        <v/>
      </c>
      <c r="H327">
        <f>1-(1-Skills!J24/100)^Skills!K24</f>
        <v/>
      </c>
      <c r="I327" t="inlineStr">
        <is>
          <t>1</t>
        </is>
      </c>
      <c r="J327" t="inlineStr"/>
      <c r="K327" t="inlineStr"/>
      <c r="L327" t="inlineStr"/>
      <c r="M327" t="inlineStr"/>
      <c r="N327" t="inlineStr"/>
      <c r="O327">
        <f>(1-Summary!$B$55)*T327+Summary!$B$55*V327</f>
        <v/>
      </c>
      <c r="P327">
        <f>IF(B345=0,0,O327/B345)</f>
        <v/>
      </c>
      <c r="Q327" t="n">
        <v>0</v>
      </c>
      <c r="R327" t="n">
        <v>0</v>
      </c>
      <c r="S327" t="n">
        <v>0</v>
      </c>
      <c r="T327" t="n">
        <v>0</v>
      </c>
      <c r="V327" t="n">
        <v>0</v>
      </c>
    </row>
    <row r="328">
      <c r="A328">
        <f>Skills!A25</f>
        <v/>
      </c>
      <c r="B328">
        <f>Skills!B25</f>
        <v/>
      </c>
      <c r="C328">
        <f>Inputs!$B$3&gt;=125</f>
        <v/>
      </c>
      <c r="D328">
        <f>IF(Skills!C25=1,60+Inputs!$B$25+Inputs!$B$29,IF(Skills!C25=2,90+Inputs!$B$26+Inputs!$B$29,IF(Skills!C25=3,120+Inputs!$B$27+Inputs!$B$29,MAX(0,(Inputs!$B$3-100)*3)+Inputs!$B$28+Inputs!$B$29)))</f>
        <v/>
      </c>
      <c r="E328">
        <f>INDEX(FactorTable!$B$2:$Y$301, MATCH(ROUND(MIN(300,MAX(1,D328)),0), FactorTable!$A$2:$A$301,0), Skills!M25+1)</f>
        <v/>
      </c>
      <c r="F328">
        <f>IF(Skills!N25=TRUE,(Skills!L25/10)*(E328/1000),Skills!L25/10)+Skills!O25</f>
        <v/>
      </c>
      <c r="G328">
        <f>Skills!G25*IF(Skills!H25&gt;0,Skills!I25/Skills!H25,1)</f>
        <v/>
      </c>
      <c r="H328">
        <f>1-(1-Skills!J25/100)^Skills!K25</f>
        <v/>
      </c>
      <c r="I328" t="inlineStr">
        <is>
          <t>1</t>
        </is>
      </c>
      <c r="J328" t="inlineStr"/>
      <c r="K328" t="inlineStr"/>
      <c r="L328" t="inlineStr"/>
      <c r="M328" t="inlineStr"/>
      <c r="N328" t="inlineStr"/>
      <c r="O328">
        <f>(1-Summary!$B$55)*T328+Summary!$B$55*V328</f>
        <v/>
      </c>
      <c r="P328">
        <f>IF(B345=0,0,O328/B345)</f>
        <v/>
      </c>
      <c r="Q328" t="n">
        <v>0</v>
      </c>
      <c r="R328" t="n">
        <v>0</v>
      </c>
      <c r="S328" t="n">
        <v>0</v>
      </c>
      <c r="T328" t="n">
        <v>0</v>
      </c>
      <c r="V328" t="n">
        <v>0</v>
      </c>
    </row>
    <row r="329">
      <c r="A329">
        <f>Skills!A26</f>
        <v/>
      </c>
      <c r="B329">
        <f>Skills!B26</f>
        <v/>
      </c>
      <c r="C329">
        <f>Inputs!$B$3&gt;=125</f>
        <v/>
      </c>
      <c r="D329">
        <f>IF(Skills!C26=1,60+Inputs!$B$25+Inputs!$B$29,IF(Skills!C26=2,90+Inputs!$B$26+Inputs!$B$29,IF(Skills!C26=3,120+Inputs!$B$27+Inputs!$B$29,MAX(0,(Inputs!$B$3-100)*3)+Inputs!$B$28+Inputs!$B$29)))</f>
        <v/>
      </c>
      <c r="E329">
        <f>INDEX(FactorTable!$B$2:$Y$301, MATCH(ROUND(MIN(300,MAX(1,D329)),0), FactorTable!$A$2:$A$301,0), Skills!M26+1)</f>
        <v/>
      </c>
      <c r="F329">
        <f>IF(Skills!N26=TRUE,(Skills!L26/10)*(E329/1000),Skills!L26/10)+Skills!O26</f>
        <v/>
      </c>
      <c r="G329">
        <f>Skills!G26*IF(Skills!H26&gt;0,Skills!I26/Skills!H26,1)</f>
        <v/>
      </c>
      <c r="H329">
        <f>1-(1-Skills!J26/100)^Skills!K26</f>
        <v/>
      </c>
      <c r="I329" t="inlineStr">
        <is>
          <t>1</t>
        </is>
      </c>
      <c r="J329" t="inlineStr"/>
      <c r="K329" t="inlineStr"/>
      <c r="L329" t="inlineStr"/>
      <c r="M329" t="inlineStr"/>
      <c r="N329" t="inlineStr"/>
      <c r="O329">
        <f>(1-Summary!$B$55)*T329+Summary!$B$55*V329</f>
        <v/>
      </c>
      <c r="P329">
        <f>IF(B345=0,0,O329/B345)</f>
        <v/>
      </c>
      <c r="Q329" t="n">
        <v>0</v>
      </c>
      <c r="R329" t="n">
        <v>0</v>
      </c>
      <c r="S329" t="n">
        <v>0</v>
      </c>
      <c r="T329" t="n">
        <v>0</v>
      </c>
      <c r="V329" t="n">
        <v>0</v>
      </c>
    </row>
    <row r="330">
      <c r="A330">
        <f>Skills!A27</f>
        <v/>
      </c>
      <c r="B330">
        <f>Skills!B27</f>
        <v/>
      </c>
      <c r="C330">
        <f>Inputs!$B$3&gt;=120</f>
        <v/>
      </c>
      <c r="D330">
        <f>IF(Skills!C27=1,60+Inputs!$B$25+Inputs!$B$29,IF(Skills!C27=2,90+Inputs!$B$26+Inputs!$B$29,IF(Skills!C27=3,120+Inputs!$B$27+Inputs!$B$29,MAX(0,(Inputs!$B$3-100)*3)+Inputs!$B$28+Inputs!$B$29)))</f>
        <v/>
      </c>
      <c r="E330">
        <f>INDEX(FactorTable!$B$2:$Y$301, MATCH(ROUND(MIN(300,MAX(1,D330)),0), FactorTable!$A$2:$A$301,0), Skills!M27+1)</f>
        <v/>
      </c>
      <c r="F330">
        <f>IF(Skills!N27=TRUE,(Skills!L27/10)*(E330/1000),Skills!L27/10)+Skills!O27</f>
        <v/>
      </c>
      <c r="G330">
        <f>Skills!G27*IF(Skills!H27&gt;0,Skills!I27/Skills!H27,1)</f>
        <v/>
      </c>
      <c r="H330">
        <f>1-(1-Skills!J27/100)^Skills!K27</f>
        <v/>
      </c>
      <c r="I330" t="inlineStr">
        <is>
          <t>1</t>
        </is>
      </c>
      <c r="J330" t="inlineStr"/>
      <c r="K330" t="inlineStr"/>
      <c r="L330" t="inlineStr"/>
      <c r="M330" t="inlineStr"/>
      <c r="N330" t="inlineStr"/>
      <c r="O330">
        <f>(1-Summary!$B$55)*T330+Summary!$B$55*V330</f>
        <v/>
      </c>
      <c r="P330">
        <f>IF(B345=0,0,O330/B345)</f>
        <v/>
      </c>
      <c r="Q330" t="n">
        <v>0</v>
      </c>
      <c r="R330" t="n">
        <v>0</v>
      </c>
      <c r="S330" t="n">
        <v>0</v>
      </c>
      <c r="T330" t="n">
        <v>0</v>
      </c>
      <c r="V330" t="n">
        <v>0</v>
      </c>
    </row>
    <row r="331">
      <c r="A331">
        <f>Skills!A28</f>
        <v/>
      </c>
      <c r="B331">
        <f>Skills!B28</f>
        <v/>
      </c>
      <c r="C331">
        <f>Inputs!$B$3&gt;=120</f>
        <v/>
      </c>
      <c r="D331">
        <f>IF(Skills!C28=1,60+Inputs!$B$25+Inputs!$B$29,IF(Skills!C28=2,90+Inputs!$B$26+Inputs!$B$29,IF(Skills!C28=3,120+Inputs!$B$27+Inputs!$B$29,MAX(0,(Inputs!$B$3-100)*3)+Inputs!$B$28+Inputs!$B$29)))</f>
        <v/>
      </c>
      <c r="E331">
        <f>INDEX(FactorTable!$B$2:$Y$301, MATCH(ROUND(MIN(300,MAX(1,D331)),0), FactorTable!$A$2:$A$301,0), Skills!M28+1)</f>
        <v/>
      </c>
      <c r="F331">
        <f>IF(Skills!N28=TRUE,(Skills!L28/10)*(E331/1000),Skills!L28/10)+Skills!O28</f>
        <v/>
      </c>
      <c r="G331">
        <f>Skills!G28*IF(Skills!H28&gt;0,Skills!I28/Skills!H28,1)</f>
        <v/>
      </c>
      <c r="H331">
        <f>1-(1-Skills!J28/100)^Skills!K28</f>
        <v/>
      </c>
      <c r="I331" t="inlineStr">
        <is>
          <t>1</t>
        </is>
      </c>
      <c r="J331" t="inlineStr"/>
      <c r="K331" t="inlineStr"/>
      <c r="L331" t="inlineStr"/>
      <c r="M331" t="inlineStr"/>
      <c r="N331" t="inlineStr"/>
      <c r="O331">
        <f>(1-Summary!$B$55)*T331+Summary!$B$55*V331</f>
        <v/>
      </c>
      <c r="P331">
        <f>IF(B345=0,0,O331/B345)</f>
        <v/>
      </c>
      <c r="Q331" t="n">
        <v>0</v>
      </c>
      <c r="R331" t="n">
        <v>0</v>
      </c>
      <c r="S331" t="n">
        <v>0</v>
      </c>
      <c r="T331" t="n">
        <v>0</v>
      </c>
      <c r="V331" t="n">
        <v>0</v>
      </c>
    </row>
    <row r="332">
      <c r="A332">
        <f>Skills!A29</f>
        <v/>
      </c>
      <c r="B332">
        <f>Skills!B29</f>
        <v/>
      </c>
      <c r="C332">
        <f>Inputs!$B$3&gt;=45</f>
        <v/>
      </c>
      <c r="D332">
        <f>IF(Skills!C29=1,60+Inputs!$B$25+Inputs!$B$29,IF(Skills!C29=2,90+Inputs!$B$26+Inputs!$B$29,IF(Skills!C29=3,120+Inputs!$B$27+Inputs!$B$29,MAX(0,(Inputs!$B$3-100)*3)+Inputs!$B$28+Inputs!$B$29)))</f>
        <v/>
      </c>
      <c r="E332">
        <f>INDEX(FactorTable!$B$2:$Y$301, MATCH(ROUND(MIN(300,MAX(1,D332)),0), FactorTable!$A$2:$A$301,0), Skills!M29+1)</f>
        <v/>
      </c>
      <c r="F332">
        <f>IF(Skills!N29=TRUE,(Skills!L29/10)*(E332/1000),Skills!L29/10)+Skills!O29</f>
        <v/>
      </c>
      <c r="G332">
        <f>Skills!G29*IF(Skills!H29&gt;0,Skills!I29/Skills!H29,1)</f>
        <v/>
      </c>
      <c r="H332">
        <f>1-(1-Skills!J29/100)^Skills!K29</f>
        <v/>
      </c>
      <c r="I332" t="inlineStr">
        <is>
          <t>1</t>
        </is>
      </c>
      <c r="J332" t="inlineStr"/>
      <c r="K332" t="inlineStr"/>
      <c r="L332" t="inlineStr"/>
      <c r="M332" t="inlineStr"/>
      <c r="N332" t="inlineStr"/>
      <c r="O332">
        <f>(1-Summary!$B$55)*T332+Summary!$B$55*V332</f>
        <v/>
      </c>
      <c r="P332">
        <f>IF(B345=0,0,O332/B345)</f>
        <v/>
      </c>
      <c r="Q332" t="n">
        <v>0</v>
      </c>
      <c r="R332" t="n">
        <v>0</v>
      </c>
      <c r="S332" t="n">
        <v>0</v>
      </c>
      <c r="T332" t="n">
        <v>0</v>
      </c>
      <c r="V332" t="n">
        <v>0</v>
      </c>
    </row>
    <row r="334">
      <c r="A334" t="inlineStr">
        <is>
          <t>Attack% Bucket Multiplier</t>
        </is>
      </c>
      <c r="B334">
        <f>(1+(((C316=TRUE)*F316)+((C317=TRUE)*IF(Inputs!$B$38="pvp",F317,(1-Summary!$B$55)*(F317)+Summary!$B$55*(0)))+((C318=TRUE)*F318*IF(AND(Inputs!$B$38&lt;&gt;"pvp",Inputs!$B$43&gt;0),(((R318-1)*(Skills!T15*(1+Inputs!$B$34/100))+MIN((Skills!T15*(1+Inputs!$B$34/100)),MAX(0,Inputs!$B$43-((R318-1)*Skills!D15))))/Inputs!$B$43),IF(Inputs!$B$38="pvp",MIN((Skills!T15*(1+Inputs!$B$34/100)),15)/15,(Skills!T15*(1+Inputs!$B$34/100))/Skills!D15)))+((C315=TRUE)*F315)+((C332=TRUE)*(F332-Calc!F29)))/100)</f>
        <v/>
      </c>
    </row>
    <row r="335">
      <c r="A335" t="inlineStr">
        <is>
          <t>Global Crit Rate Bonus %</t>
        </is>
      </c>
      <c r="B335">
        <f>(C319=TRUE)*20*IF(AND(Inputs!$B$38&lt;&gt;"pvp",Inputs!$B$43&gt;0),(((R319-1)*(Skills!T16*(1+Inputs!$B$34/100))+MIN((Skills!T16*(1+Inputs!$B$34/100)),MAX(0,Inputs!$B$43-((R319-1)*Skills!D16))))/Inputs!$B$43),IF(Inputs!$B$38="pvp",MIN((Skills!T16*(1+Inputs!$B$34/100)),15)/15,(Skills!T16*(1+Inputs!$B$34/100))/Skills!D16))</f>
        <v/>
      </c>
    </row>
    <row r="336">
      <c r="A336" t="inlineStr">
        <is>
          <t>Attack Speed Buff Bonus %</t>
        </is>
      </c>
      <c r="B336">
        <f>((C321=TRUE)*F321*IF(AND(Inputs!$B$38&lt;&gt;"pvp",Inputs!$B$43&gt;0),(((R321-1)*(Skills!T18*(1+Inputs!$B$34/100))+MIN((Skills!T18*(1+Inputs!$B$34/100)),MAX(0,Inputs!$B$43-((R321-1)*Skills!D18))))/Inputs!$B$43),IF(Inputs!$B$38="pvp",MIN((Skills!T18*(1+Inputs!$B$34/100)),15)/15,(Skills!T18*(1+Inputs!$B$34/100))/Skills!D18)))</f>
        <v/>
      </c>
    </row>
    <row r="337">
      <c r="A337" t="inlineStr">
        <is>
          <t>Actions Per Second</t>
        </is>
      </c>
      <c r="B337">
        <f>1+MIN(150,150*(1-(1-(Inputs!$B$11+((C323=TRUE)*(F323-Calc!F20))+((C324=TRUE)*(F324-Calc!F21)))/150)*(1-B336/150)))/100</f>
        <v/>
      </c>
    </row>
    <row r="338">
      <c r="A338" t="inlineStr">
        <is>
          <t>Skill + Buff Cast Rate</t>
        </is>
      </c>
      <c r="B338">
        <f>IF(AND(Inputs!$B$38&lt;&gt;"pvp",Inputs!$B$43&gt;0),SUMPRODUCT((Skills!E2:E29=TRUE)*(C305:C332=TRUE)*R305:R332*Skills!F2:F29)/Inputs!$B$43,SUMPRODUCT((Skills!E2:E29=TRUE)*(C305:C332=TRUE)*Q305:Q332*Skills!F2:F29))</f>
        <v/>
      </c>
    </row>
    <row r="339">
      <c r="A339" t="inlineStr">
        <is>
          <t>Empowered Piercing Arrow Casts Per Second</t>
        </is>
      </c>
      <c r="B339">
        <f>MAX(0,B337-B338)</f>
        <v/>
      </c>
    </row>
    <row r="340">
      <c r="A340" t="inlineStr">
        <is>
          <t>Global Critical Damage Bonus % (Sharp Eyes)</t>
        </is>
      </c>
      <c r="B340">
        <f>(C319=TRUE)*F319*IF(AND(Inputs!$B$38&lt;&gt;"pvp",Inputs!$B$43&gt;0),(((R319-1)*(Skills!T16*(1+Inputs!$B$34/100))+MIN((Skills!T16*(1+Inputs!$B$34/100)),MAX(0,Inputs!$B$43-((R319-1)*Skills!D16))))/Inputs!$B$43),IF(Inputs!$B$38="pvp",MIN((Skills!T16*(1+Inputs!$B$34/100)),15)/15,(Skills!T16*(1+Inputs!$B$34/100))/Skills!D16))</f>
        <v/>
      </c>
    </row>
    <row r="341">
      <c r="A341" t="inlineStr">
        <is>
          <t>Global Final Damage Bonus % (Mortal Blow + Last Man Standing conditional half)</t>
        </is>
      </c>
      <c r="B341">
        <f>(C320=TRUE)*F320+((C329=TRUE)*IF(Inputs!$B$38="pvp",F329,(1-Summary!$B$55)*(F329)+Summary!$B$55*(0)))</f>
        <v/>
      </c>
    </row>
    <row r="342">
      <c r="A342" t="inlineStr">
        <is>
          <t>Buff-Casting Startup Delay (s, fixed-duration only)</t>
        </is>
      </c>
      <c r="B342">
        <f>IF(AND(Inputs!$B$38&lt;&gt;"pvp",Inputs!$B$43&gt;0),SUMPRODUCT((Skills!T2:T29&gt;0)*(Skills!E2:E29=TRUE)*(C305:C332=TRUE))/B337,0)</f>
        <v/>
      </c>
    </row>
    <row r="343">
      <c r="A343" t="inlineStr">
        <is>
          <t>Boss-Only Total DPS (this block's swept value)</t>
        </is>
      </c>
      <c r="B343">
        <f>SUM(T305:T332)</f>
        <v/>
      </c>
    </row>
    <row r="344">
      <c r="A344" t="inlineStr">
        <is>
          <t>Normal-Only Total DPS (this block's swept value)</t>
        </is>
      </c>
      <c r="B344">
        <f>SUM(V305:V332)</f>
        <v/>
      </c>
    </row>
    <row r="345">
      <c r="A345" s="5" t="inlineStr">
        <is>
          <t>TOTAL DPS</t>
        </is>
      </c>
      <c r="B345" s="5">
        <f>SUM(O305:O332)</f>
        <v/>
      </c>
    </row>
    <row r="348">
      <c r="A348" s="5" t="inlineStr">
        <is>
          <t>Stat: FINAL_DAMAGE % (multiplicative source)</t>
        </is>
      </c>
    </row>
    <row r="349">
      <c r="A349" s="9" t="inlineStr">
        <is>
          <t>Key</t>
        </is>
      </c>
      <c r="B349" s="9" t="inlineStr">
        <is>
          <t>Name</t>
        </is>
      </c>
      <c r="C349" s="9" t="inlineStr">
        <is>
          <t>Unlocked</t>
        </is>
      </c>
      <c r="D349" s="9" t="inlineStr">
        <is>
          <t>InputLevel</t>
        </is>
      </c>
      <c r="E349" s="9" t="inlineStr">
        <is>
          <t>Factor</t>
        </is>
      </c>
      <c r="F349" s="9" t="inlineStr">
        <is>
          <t>CoefficientPercent</t>
        </is>
      </c>
      <c r="G349" s="9" t="inlineStr">
        <is>
          <t>EffectiveHits</t>
        </is>
      </c>
      <c r="H349" s="9" t="inlineStr">
        <is>
          <t>ProcProbability</t>
        </is>
      </c>
      <c r="I349" s="9" t="inlineStr">
        <is>
          <t>MapleHeroMultiplier</t>
        </is>
      </c>
      <c r="J349" s="9" t="inlineStr">
        <is>
          <t>BaseDamage</t>
        </is>
      </c>
      <c r="K349" s="9" t="inlineStr">
        <is>
          <t>BaseHitDamage</t>
        </is>
      </c>
      <c r="L349" s="9" t="inlineStr">
        <is>
          <t>NonCritAvg</t>
        </is>
      </c>
      <c r="M349" s="9" t="inlineStr">
        <is>
          <t>CritAvg</t>
        </is>
      </c>
      <c r="N349" s="9" t="inlineStr">
        <is>
          <t>ExpectedDamage(perHit)</t>
        </is>
      </c>
      <c r="O349" s="9" t="inlineStr">
        <is>
          <t>DPS</t>
        </is>
      </c>
      <c r="P349" s="9" t="inlineStr">
        <is>
          <t>% of Total</t>
        </is>
      </c>
      <c r="Q349" s="9" t="inlineStr">
        <is>
          <t>InvCooldown</t>
        </is>
      </c>
      <c r="R349" s="9" t="inlineStr">
        <is>
          <t>CastsInFight</t>
        </is>
      </c>
      <c r="S349" s="9" t="inlineStr">
        <is>
          <t>HitRate(perSec)</t>
        </is>
      </c>
      <c r="U349" t="inlineStr">
        <is>
          <t>helpers</t>
        </is>
      </c>
    </row>
    <row r="350">
      <c r="A350">
        <f>Skills!A2</f>
        <v/>
      </c>
      <c r="B350">
        <f>Skills!B2</f>
        <v/>
      </c>
      <c r="C350">
        <f>Inputs!$B$3&gt;=100</f>
        <v/>
      </c>
      <c r="D350" t="inlineStr"/>
      <c r="E350" t="inlineStr"/>
      <c r="F350">
        <f>U352+Skills!O2</f>
        <v/>
      </c>
      <c r="G350">
        <f>Skills!G2*IF(Skills!H2&gt;0,Skills!I2/Skills!H2,1)</f>
        <v/>
      </c>
      <c r="H350">
        <f>1-(1-Skills!J2/100)^Skills!K2</f>
        <v/>
      </c>
      <c r="I350" t="inlineStr">
        <is>
          <t>1</t>
        </is>
      </c>
      <c r="J350">
        <f>((Inputs!$B$6*(1+Inputs!$B$7/100))+(((Inputs!$B$12*(1+Inputs!$B$13/100))-(Inputs!$B$12*(1+Inputs!$B$13/100)))+0.25*(Inputs!$B$14-Inputs!$B$14))*(1+Inputs!$B$7/100))*(F350/100)</f>
        <v/>
      </c>
      <c r="K350">
        <f>J350*(1+((Inputs!$B$12*(1+Inputs!$B$13/100))*0.01+Inputs!$B$14*0.0025)/100)*(1+Inputs!$B$15/100)*(1+Inputs!$B$16/100)*(5000/(6000+Inputs!$B$42*(1-(Inputs!$B$19+0)/100)))*(1+(((((1+Inputs!$B$24/100)*(1.01))-1)*100)+((C372=TRUE)*(F372-Calc!F24))+((C373=TRUE)*(F373-Calc!F25))+B386)/100)*(1+(IF(Skills!A2="EMPOWERED_PIERCING_ARROW",Inputs!$B$17+((C370=TRUE)*(F370-Calc!F22)),Inputs!$B$18+((C375=TRUE)*(F375-Calc!F27))))/100)*((1+(((C361=TRUE)*F361)+((C362=TRUE)*IF(Inputs!$B$38="pvp",F362,(1-Summary!$B$55)*(F362)+Summary!$B$55*(0)))+((C363=TRUE)*F363*IF(AND(Inputs!$B$38&lt;&gt;"pvp",Inputs!$B$43&gt;0),(((R363-1)*(Skills!T15*(1+Inputs!$B$34/100))+MIN((Skills!T15*(1+Inputs!$B$34/100)),MAX(0,Inputs!$B$43-((R363-1)*Skills!D15))))/Inputs!$B$43),IF(Inputs!$B$38="pvp",MIN((Skills!T15*(1+Inputs!$B$34/100)),15)/15,(Skills!T15*(1+Inputs!$B$34/100))/Skills!D15)))+((C360=TRUE)*F360)+((C377=TRUE)*(F377-Calc!F29)))/100)*I350)</f>
        <v/>
      </c>
      <c r="L350">
        <f>K350*(MIN(Inputs!$B$22+((C371=TRUE)*(F371-Calc!F23)),Inputs!$B$23+((C376=TRUE)*(F376-Calc!F28)))/100+(Inputs!$B$23+((C376=TRUE)*(F376-Calc!F28)))/100)/2</f>
        <v/>
      </c>
      <c r="M350">
        <f>L350*(1+(Inputs!$B$10+0+B385)/100)</f>
        <v/>
      </c>
      <c r="N350">
        <f>L350*(1-MIN((Inputs!$B$9+((C367=TRUE)*(F367-Calc!F19))+B380),100)/100)+M350*(MIN((Inputs!$B$9+((C367=TRUE)*(F367-Calc!F19))+B380),100)/100)</f>
        <v/>
      </c>
      <c r="O350">
        <f>(1-Summary!$B$55)*T350+Summary!$B$55*V350</f>
        <v/>
      </c>
      <c r="P350">
        <f>IF(B390=0,0,O350/B390)</f>
        <v/>
      </c>
      <c r="Q350" t="n">
        <v>0</v>
      </c>
      <c r="R350" t="n">
        <v>0</v>
      </c>
      <c r="S350">
        <f>IFERROR((Skills!G2*N350*B384)/N350*IF(Inputs!$B$38="pvp",1,(1-Summary!$B$55)*1+Summary!$B$55*(MIN((6+Inputs!$B$33),Inputs!$B$37))),0)</f>
        <v/>
      </c>
      <c r="T350">
        <f>IF(C350,(Skills!G2*N350*B384)*IF(Inputs!$B$38="pvp",1,1+(Inputs!$B$20+0+Skills!P2)/100),0)</f>
        <v/>
      </c>
      <c r="U350">
        <f>MAX(0,(Inputs!$B$3-100)*3)+Inputs!$B$28+Inputs!$B$29</f>
        <v/>
      </c>
      <c r="V350">
        <f>IF(C350,(Skills!G2*N350*B384)*IF(Inputs!$B$38="pvp",1,(1+(Inputs!$B$21+Skills!Q2)/100)*(MIN((6+Inputs!$B$33),Inputs!$B$37))),0)</f>
        <v/>
      </c>
    </row>
    <row r="351">
      <c r="A351">
        <f>Skills!A3</f>
        <v/>
      </c>
      <c r="B351">
        <f>Skills!B3</f>
        <v/>
      </c>
      <c r="C351">
        <f>Inputs!$B$3&gt;=50</f>
        <v/>
      </c>
      <c r="D351">
        <f>IF(Skills!C3=1,60+Inputs!$B$25+Inputs!$B$29,IF(Skills!C3=2,90+Inputs!$B$26+Inputs!$B$29,IF(Skills!C3=3,120+Inputs!$B$27+Inputs!$B$29,MAX(0,(Inputs!$B$3-100)*3)+Inputs!$B$28+Inputs!$B$29)))</f>
        <v/>
      </c>
      <c r="E351">
        <f>INDEX(FactorTable!$B$2:$Y$301, MATCH(ROUND(MIN(300,MAX(1,D351)),0), FactorTable!$A$2:$A$301,0), Skills!M3+1)</f>
        <v/>
      </c>
      <c r="F351">
        <f>IF(Skills!N3=TRUE,(Skills!L3/10)*(E351/1000),Skills!L3/10)+Skills!O3</f>
        <v/>
      </c>
      <c r="G351" t="inlineStr"/>
      <c r="H351" t="inlineStr"/>
      <c r="I351" t="inlineStr">
        <is>
          <t>1</t>
        </is>
      </c>
      <c r="J351" t="inlineStr"/>
      <c r="K351" t="inlineStr"/>
      <c r="L351" t="inlineStr"/>
      <c r="M351" t="inlineStr"/>
      <c r="N351" t="inlineStr"/>
      <c r="O351" t="inlineStr"/>
      <c r="P351" t="inlineStr"/>
      <c r="Q351" t="inlineStr"/>
      <c r="R351" t="inlineStr"/>
      <c r="S351" t="inlineStr"/>
      <c r="T351" t="inlineStr"/>
      <c r="U351">
        <f>INDEX(FactorTable!$B$2:$Y$301, MATCH(ROUND(MIN(300,MAX(1,U350)),0), FactorTable!$A$2:$A$301,0), 22)</f>
        <v/>
      </c>
      <c r="V351" t="inlineStr"/>
    </row>
    <row r="352">
      <c r="A352">
        <f>Skills!A4</f>
        <v/>
      </c>
      <c r="B352">
        <f>Skills!B4</f>
        <v/>
      </c>
      <c r="C352">
        <f>Inputs!$B$3&gt;=105</f>
        <v/>
      </c>
      <c r="D352">
        <f>IF(Skills!C4=1,60+Inputs!$B$25+Inputs!$B$29,IF(Skills!C4=2,90+Inputs!$B$26+Inputs!$B$29,IF(Skills!C4=3,120+Inputs!$B$27+Inputs!$B$29,MAX(0,(Inputs!$B$3-100)*3)+Inputs!$B$28+Inputs!$B$29)))</f>
        <v/>
      </c>
      <c r="E352">
        <f>INDEX(FactorTable!$B$2:$Y$301, MATCH(ROUND(MIN(300,MAX(1,D352)),0), FactorTable!$A$2:$A$301,0), Skills!M4+1)</f>
        <v/>
      </c>
      <c r="F352">
        <f>IF(Skills!N4=TRUE,(Skills!L4/10)*(E352/1000),Skills!L4/10)+Skills!O4</f>
        <v/>
      </c>
      <c r="G352" t="inlineStr"/>
      <c r="H352" t="inlineStr"/>
      <c r="I352" t="inlineStr">
        <is>
          <t>1</t>
        </is>
      </c>
      <c r="J352" t="inlineStr"/>
      <c r="K352" t="inlineStr"/>
      <c r="L352" t="inlineStr"/>
      <c r="M352" t="inlineStr"/>
      <c r="N352" t="inlineStr"/>
      <c r="O352" t="inlineStr"/>
      <c r="P352" t="inlineStr"/>
      <c r="Q352" t="inlineStr"/>
      <c r="R352" t="inlineStr"/>
      <c r="S352" t="inlineStr"/>
      <c r="T352" t="inlineStr"/>
      <c r="U352">
        <f>290*U351/1000</f>
        <v/>
      </c>
      <c r="V352" t="inlineStr"/>
    </row>
    <row r="353">
      <c r="A353">
        <f>Skills!A5</f>
        <v/>
      </c>
      <c r="B353">
        <f>Skills!B5</f>
        <v/>
      </c>
      <c r="C353">
        <f>Inputs!$B$3&gt;=35</f>
        <v/>
      </c>
      <c r="D353">
        <f>IF(Skills!C5=1,60+Inputs!$B$25+Inputs!$B$29,IF(Skills!C5=2,90+Inputs!$B$26+Inputs!$B$29,IF(Skills!C5=3,120+Inputs!$B$27+Inputs!$B$29,MAX(0,(Inputs!$B$3-100)*3)+Inputs!$B$28+Inputs!$B$29)))</f>
        <v/>
      </c>
      <c r="E353">
        <f>INDEX(FactorTable!$B$2:$Y$301, MATCH(ROUND(MIN(300,MAX(1,D353)),0), FactorTable!$A$2:$A$301,0), Skills!M5+1)</f>
        <v/>
      </c>
      <c r="F353">
        <f>IF(Skills!N5=TRUE,(Skills!L5/10)*(E353/1000),Skills!L5/10)+Skills!O5</f>
        <v/>
      </c>
      <c r="G353">
        <f>Skills!G5*IF(Skills!H5&gt;0,Skills!I5/Skills!H5,1)</f>
        <v/>
      </c>
      <c r="H353">
        <f>1-(1-Skills!J5/100)^Skills!K5</f>
        <v/>
      </c>
      <c r="I353" t="inlineStr">
        <is>
          <t>1</t>
        </is>
      </c>
      <c r="J353">
        <f>((Inputs!$B$6*(1+Inputs!$B$7/100))+(((Inputs!$B$12*(1+Inputs!$B$13/100))-(Inputs!$B$12*(1+Inputs!$B$13/100)))+0.25*(Inputs!$B$14-Inputs!$B$14))*(1+Inputs!$B$7/100))*(F353/100)</f>
        <v/>
      </c>
      <c r="K353">
        <f>J353*(1+((Inputs!$B$12*(1+Inputs!$B$13/100))*0.01+Inputs!$B$14*0.0025)/100)*(1+Inputs!$B$15/100)*(1+Inputs!$B$16/100)*(5000/(6000+Inputs!$B$42*(1-(Inputs!$B$19+0)/100)))*(1+(((((1+Inputs!$B$24/100)*(1.01))-1)*100)+((C372=TRUE)*(F372-Calc!F24))+((C373=TRUE)*(F373-Calc!F25))+B386)/100)*(1+4.0*IF(C356=TRUE,F356,0)/100)*(1+(IF(Skills!A5="EMPOWERED_PIERCING_ARROW",Inputs!$B$17+((C370=TRUE)*(F370-Calc!F22)),Inputs!$B$18+((C375=TRUE)*(F375-Calc!F27))))/100)*((1+(((C361=TRUE)*F361)+((C362=TRUE)*IF(Inputs!$B$38="pvp",F362,(1-Summary!$B$55)*(F362)+Summary!$B$55*(0)))+((C363=TRUE)*F363*IF(AND(Inputs!$B$38&lt;&gt;"pvp",Inputs!$B$43&gt;0),(((R363-1)*(Skills!T15*(1+Inputs!$B$34/100))+MIN((Skills!T15*(1+Inputs!$B$34/100)),MAX(0,Inputs!$B$43-((R363-1)*Skills!D15))))/Inputs!$B$43),IF(Inputs!$B$38="pvp",MIN((Skills!T15*(1+Inputs!$B$34/100)),15)/15,(Skills!T15*(1+Inputs!$B$34/100))/Skills!D15)))+((C360=TRUE)*F360)+((C377=TRUE)*(F377-Calc!F29)))/100)*I353)</f>
        <v/>
      </c>
      <c r="L353">
        <f>K353*(MIN(Inputs!$B$22+((C371=TRUE)*(F371-Calc!F23)),Inputs!$B$23+((C376=TRUE)*(F376-Calc!F28)))/100+(Inputs!$B$23+((C376=TRUE)*(F376-Calc!F28)))/100)/2</f>
        <v/>
      </c>
      <c r="M353">
        <f>L353*(1+(Inputs!$B$10+0+B385)/100)</f>
        <v/>
      </c>
      <c r="N353">
        <f>L353*(1-MIN((Inputs!$B$9+((C367=TRUE)*(F367-Calc!F19))+B380),100)/100)+M353*(MIN((Inputs!$B$9+((C367=TRUE)*(F367-Calc!F19))+B380),100)/100)</f>
        <v/>
      </c>
      <c r="O353">
        <f>(1-Summary!$B$55)*T353+Summary!$B$55*V353</f>
        <v/>
      </c>
      <c r="P353">
        <f>IF(B390=0,0,O353/B390)</f>
        <v/>
      </c>
      <c r="Q353">
        <f>IFERROR(1/IF(Inputs!$B$38="pvp",15,MAX(0.1,Skills!D5-IF(Skills!E5=TRUE,Inputs!$B$32,0))),0)</f>
        <v/>
      </c>
      <c r="R353">
        <f>IF(AND(Inputs!$B$38&lt;&gt;"pvp",Inputs!$B$43&gt;0),IF(MAX(0,Inputs!$B$43-B387)&lt;=0,0,(INT(MAX(0,Inputs!$B$43-B387)/IF(Inputs!$B$38="pvp",15,MAX(0.1,Skills!D5-IF(Skills!E5=TRUE,Inputs!$B$32,0))))+1)),0)</f>
        <v/>
      </c>
      <c r="S353">
        <f>IFERROR((H353*N353*IF(AND(Inputs!$B$38&lt;&gt;"pvp",Inputs!$B$43&gt;0),((Skills!G5*((R353-1)*IF(Skills!H5&gt;0,Skills!I5/Skills!H5,1)+IF(Skills!H5&gt;0,MIN(Skills!I5,MAX(0,MAX(0,Inputs!$B$43-B387)-((R353-1)*IF(Inputs!$B$38="pvp",15,MAX(0.1,Skills!D5-IF(Skills!E5=TRUE,Inputs!$B$32,0))))))/Skills!H5,1)))/Inputs!$B$43),G353*Q353))/N353*IF(Inputs!$B$38="pvp",1,(1-Summary!$B$55)*1+Summary!$B$55*(MIN(Skills!R5,Inputs!$B$37))),0)</f>
        <v/>
      </c>
      <c r="T353">
        <f>IF(C353,(H353*N353*IF(AND(Inputs!$B$38&lt;&gt;"pvp",Inputs!$B$43&gt;0),((Skills!G5*((R353-1)*IF(Skills!H5&gt;0,Skills!I5/Skills!H5,1)+IF(Skills!H5&gt;0,MIN(Skills!I5,MAX(0,MAX(0,Inputs!$B$43-B387)-((R353-1)*IF(Inputs!$B$38="pvp",15,MAX(0.1,Skills!D5-IF(Skills!E5=TRUE,Inputs!$B$32,0))))))/Skills!H5,1)))/Inputs!$B$43),G353*Q353))*IF(Inputs!$B$38="pvp",1,1+(Inputs!$B$20+0+Skills!P5)/100),0)</f>
        <v/>
      </c>
      <c r="V353">
        <f>IF(C353,(H353*N353*IF(AND(Inputs!$B$38&lt;&gt;"pvp",Inputs!$B$43&gt;0),((Skills!G5*((R353-1)*IF(Skills!H5&gt;0,Skills!I5/Skills!H5,1)+IF(Skills!H5&gt;0,MIN(Skills!I5,MAX(0,MAX(0,Inputs!$B$43-B387)-((R353-1)*IF(Inputs!$B$38="pvp",15,MAX(0.1,Skills!D5-IF(Skills!E5=TRUE,Inputs!$B$32,0))))))/Skills!H5,1)))/Inputs!$B$43),G353*Q353))*IF(Inputs!$B$38="pvp",1,(1+(Inputs!$B$21+Skills!Q5)/100)*(MIN(Skills!R5,Inputs!$B$37))),0)</f>
        <v/>
      </c>
    </row>
    <row r="354">
      <c r="A354">
        <f>Skills!A6</f>
        <v/>
      </c>
      <c r="B354">
        <f>Skills!B6</f>
        <v/>
      </c>
      <c r="C354">
        <f>Inputs!$B$3&gt;=63</f>
        <v/>
      </c>
      <c r="D354">
        <f>IF(Skills!C6=1,60+Inputs!$B$25+Inputs!$B$29,IF(Skills!C6=2,90+Inputs!$B$26+Inputs!$B$29,IF(Skills!C6=3,120+Inputs!$B$27+Inputs!$B$29,MAX(0,(Inputs!$B$3-100)*3)+Inputs!$B$28+Inputs!$B$29)))</f>
        <v/>
      </c>
      <c r="E354">
        <f>INDEX(FactorTable!$B$2:$Y$301, MATCH(ROUND(MIN(300,MAX(1,D354)),0), FactorTable!$A$2:$A$301,0), Skills!M6+1)</f>
        <v/>
      </c>
      <c r="F354">
        <f>IF(Skills!N6=TRUE,(Skills!L6/10)*(E354/1000),Skills!L6/10)+Skills!O6</f>
        <v/>
      </c>
      <c r="G354">
        <f>Skills!G6*IF(Skills!H6&gt;0,Skills!I6/Skills!H6,1)</f>
        <v/>
      </c>
      <c r="H354">
        <f>1-(1-Skills!J6/100)^Skills!K6</f>
        <v/>
      </c>
      <c r="I354" t="inlineStr">
        <is>
          <t>1</t>
        </is>
      </c>
      <c r="J354">
        <f>((Inputs!$B$6*(1+Inputs!$B$7/100))+(((Inputs!$B$12*(1+Inputs!$B$13/100))-(Inputs!$B$12*(1+Inputs!$B$13/100)))+0.25*(Inputs!$B$14-Inputs!$B$14))*(1+Inputs!$B$7/100))*(F354/100)</f>
        <v/>
      </c>
      <c r="K354">
        <f>J354*(1+((Inputs!$B$12*(1+Inputs!$B$13/100))*0.01+Inputs!$B$14*0.0025)/100)*(1+Inputs!$B$15/100)*(1+Inputs!$B$16/100)*(5000/(6000+Inputs!$B$42*(1-(Inputs!$B$19+0)/100)))*(1+(((((1+Inputs!$B$24/100)*(1.01))-1)*100)+((C372=TRUE)*(F372-Calc!F24))+((C373=TRUE)*(F373-Calc!F25))+B386)/100)*(1+1.0*IF(C356=TRUE,F356,0)/100)*(1+(IF(Skills!A6="EMPOWERED_PIERCING_ARROW",Inputs!$B$17+((C370=TRUE)*(F370-Calc!F22)),Inputs!$B$18+((C375=TRUE)*(F375-Calc!F27))))/100)*((1+(((C361=TRUE)*F361)+((C362=TRUE)*IF(Inputs!$B$38="pvp",F362,(1-Summary!$B$55)*(F362)+Summary!$B$55*(0)))+((C363=TRUE)*F363*IF(AND(Inputs!$B$38&lt;&gt;"pvp",Inputs!$B$43&gt;0),(((R363-1)*(Skills!T15*(1+Inputs!$B$34/100))+MIN((Skills!T15*(1+Inputs!$B$34/100)),MAX(0,Inputs!$B$43-((R363-1)*Skills!D15))))/Inputs!$B$43),IF(Inputs!$B$38="pvp",MIN((Skills!T15*(1+Inputs!$B$34/100)),15)/15,(Skills!T15*(1+Inputs!$B$34/100))/Skills!D15)))+((C360=TRUE)*F360)+((C377=TRUE)*(F377-Calc!F29)))/100)*I354)</f>
        <v/>
      </c>
      <c r="L354">
        <f>K354*(MIN(Inputs!$B$22+((C371=TRUE)*(F371-Calc!F23)),Inputs!$B$23+((C376=TRUE)*(F376-Calc!F28)))/100+(Inputs!$B$23+((C376=TRUE)*(F376-Calc!F28)))/100)/2</f>
        <v/>
      </c>
      <c r="M354">
        <f>L354*(1+(Inputs!$B$10+0+B385)/100)</f>
        <v/>
      </c>
      <c r="N354">
        <f>L354*(1-MIN((Inputs!$B$9+((C367=TRUE)*(F367-Calc!F19))+B380),100)/100)+M354*(MIN((Inputs!$B$9+((C367=TRUE)*(F367-Calc!F19))+B380),100)/100)</f>
        <v/>
      </c>
      <c r="O354">
        <f>(1-Summary!$B$55)*T354+Summary!$B$55*V354</f>
        <v/>
      </c>
      <c r="P354">
        <f>IF(B390=0,0,O354/B390)</f>
        <v/>
      </c>
      <c r="Q354">
        <f>IFERROR(1/IF(Inputs!$B$38="pvp",15,MAX(0.1,Skills!D6-IF(Skills!E6=TRUE,Inputs!$B$32,0))),0)</f>
        <v/>
      </c>
      <c r="R354">
        <f>IF(AND(Inputs!$B$38&lt;&gt;"pvp",Inputs!$B$43&gt;0),IF(MAX(0,Inputs!$B$43-B387)&lt;=0,0,(INT(MAX(0,Inputs!$B$43-B387)/IF(Inputs!$B$38="pvp",15,MAX(0.1,Skills!D6-IF(Skills!E6=TRUE,Inputs!$B$32,0))))+1)),0)</f>
        <v/>
      </c>
      <c r="S354">
        <f>IFERROR((H354*N354*IF(AND(Inputs!$B$38&lt;&gt;"pvp",Inputs!$B$43&gt;0),((Skills!G6*((R354-1)*IF(Skills!H6&gt;0,Skills!I6/Skills!H6,1)+IF(Skills!H6&gt;0,MIN(Skills!I6,MAX(0,MAX(0,Inputs!$B$43-B387)-((R354-1)*IF(Inputs!$B$38="pvp",15,MAX(0.1,Skills!D6-IF(Skills!E6=TRUE,Inputs!$B$32,0))))))/Skills!H6,1)))/Inputs!$B$43),G354*Q354))/N354*IF(Inputs!$B$38="pvp",1,(1-Summary!$B$55)*1+Summary!$B$55*(MIN(Skills!R6,Inputs!$B$37))),0)</f>
        <v/>
      </c>
      <c r="T354">
        <f>IF(C354,(H354*N354*IF(AND(Inputs!$B$38&lt;&gt;"pvp",Inputs!$B$43&gt;0),((Skills!G6*((R354-1)*IF(Skills!H6&gt;0,Skills!I6/Skills!H6,1)+IF(Skills!H6&gt;0,MIN(Skills!I6,MAX(0,MAX(0,Inputs!$B$43-B387)-((R354-1)*IF(Inputs!$B$38="pvp",15,MAX(0.1,Skills!D6-IF(Skills!E6=TRUE,Inputs!$B$32,0))))))/Skills!H6,1)))/Inputs!$B$43),G354*Q354))*IF(Inputs!$B$38="pvp",1,1+(Inputs!$B$20+0+Skills!P6)/100),0)</f>
        <v/>
      </c>
      <c r="V354">
        <f>IF(C354,(H354*N354*IF(AND(Inputs!$B$38&lt;&gt;"pvp",Inputs!$B$43&gt;0),((Skills!G6*((R354-1)*IF(Skills!H6&gt;0,Skills!I6/Skills!H6,1)+IF(Skills!H6&gt;0,MIN(Skills!I6,MAX(0,MAX(0,Inputs!$B$43-B387)-((R354-1)*IF(Inputs!$B$38="pvp",15,MAX(0.1,Skills!D6-IF(Skills!E6=TRUE,Inputs!$B$32,0))))))/Skills!H6,1)))/Inputs!$B$43),G354*Q354))*IF(Inputs!$B$38="pvp",1,(1+(Inputs!$B$21+Skills!Q6)/100)*(MIN(Skills!R6,Inputs!$B$37))),0)</f>
        <v/>
      </c>
    </row>
    <row r="355">
      <c r="A355">
        <f>Skills!A7</f>
        <v/>
      </c>
      <c r="B355">
        <f>Skills!B7</f>
        <v/>
      </c>
      <c r="C355">
        <f>Inputs!$B$3&gt;=69</f>
        <v/>
      </c>
      <c r="D355">
        <f>IF(Skills!C7=1,60+Inputs!$B$25+Inputs!$B$29,IF(Skills!C7=2,90+Inputs!$B$26+Inputs!$B$29,IF(Skills!C7=3,120+Inputs!$B$27+Inputs!$B$29,MAX(0,(Inputs!$B$3-100)*3)+Inputs!$B$28+Inputs!$B$29)))</f>
        <v/>
      </c>
      <c r="E355">
        <f>INDEX(FactorTable!$B$2:$Y$301, MATCH(ROUND(MIN(300,MAX(1,D355)),0), FactorTable!$A$2:$A$301,0), Skills!M7+1)</f>
        <v/>
      </c>
      <c r="F355">
        <f>IF(Skills!N7=TRUE,(Skills!L7/10)*(E355/1000),Skills!L7/10)+Skills!O7</f>
        <v/>
      </c>
      <c r="G355">
        <f>Skills!G7*IF(Skills!H7&gt;0,Skills!I7/Skills!H7,1)</f>
        <v/>
      </c>
      <c r="H355">
        <f>1-(1-Skills!J7/100)^Skills!K7</f>
        <v/>
      </c>
      <c r="I355" t="inlineStr">
        <is>
          <t>1</t>
        </is>
      </c>
      <c r="J355">
        <f>((Inputs!$B$6*(1+Inputs!$B$7/100))+(((Inputs!$B$12*(1+Inputs!$B$13/100))-(Inputs!$B$12*(1+Inputs!$B$13/100)))+0.25*(Inputs!$B$14-Inputs!$B$14))*(1+Inputs!$B$7/100))*(F355/100)</f>
        <v/>
      </c>
      <c r="K355">
        <f>J355*(1+((Inputs!$B$12*(1+Inputs!$B$13/100))*0.01+Inputs!$B$14*0.0025)/100)*(1+Inputs!$B$15/100)*(1+Inputs!$B$16/100)*(5000/(6000+Inputs!$B$42*(1-(Inputs!$B$19+0)/100)))*(1+(((((1+Inputs!$B$24/100)*(1.01))-1)*100)+((C372=TRUE)*(F372-Calc!F24))+((C373=TRUE)*(F373-Calc!F25))+B386)/100)*(1+1.2*IF(C356=TRUE,F356,0)/100)*(1+(IF(Skills!A7="EMPOWERED_PIERCING_ARROW",Inputs!$B$17+((C370=TRUE)*(F370-Calc!F22)),Inputs!$B$18+((C375=TRUE)*(F375-Calc!F27))))/100)*((1+(((C361=TRUE)*F361)+((C362=TRUE)*IF(Inputs!$B$38="pvp",F362,(1-Summary!$B$55)*(F362)+Summary!$B$55*(0)))+((C363=TRUE)*F363*IF(AND(Inputs!$B$38&lt;&gt;"pvp",Inputs!$B$43&gt;0),(((R363-1)*(Skills!T15*(1+Inputs!$B$34/100))+MIN((Skills!T15*(1+Inputs!$B$34/100)),MAX(0,Inputs!$B$43-((R363-1)*Skills!D15))))/Inputs!$B$43),IF(Inputs!$B$38="pvp",MIN((Skills!T15*(1+Inputs!$B$34/100)),15)/15,(Skills!T15*(1+Inputs!$B$34/100))/Skills!D15)))+((C360=TRUE)*F360)+((C377=TRUE)*(F377-Calc!F29)))/100)*I355)</f>
        <v/>
      </c>
      <c r="L355">
        <f>K355*(MIN(Inputs!$B$22+((C371=TRUE)*(F371-Calc!F23)),Inputs!$B$23+((C376=TRUE)*(F376-Calc!F28)))/100+(Inputs!$B$23+((C376=TRUE)*(F376-Calc!F28)))/100)/2</f>
        <v/>
      </c>
      <c r="M355">
        <f>L355*(1+(Inputs!$B$10+0+B385)/100)</f>
        <v/>
      </c>
      <c r="N355">
        <f>L355*(1-MIN((Inputs!$B$9+((C367=TRUE)*(F367-Calc!F19))+B380),100)/100)+M355*(MIN((Inputs!$B$9+((C367=TRUE)*(F367-Calc!F19))+B380),100)/100)</f>
        <v/>
      </c>
      <c r="O355">
        <f>(1-Summary!$B$55)*T355+Summary!$B$55*V355</f>
        <v/>
      </c>
      <c r="P355">
        <f>IF(B390=0,0,O355/B390)</f>
        <v/>
      </c>
      <c r="Q355">
        <f>IFERROR(1/IF(Inputs!$B$38="pvp",15,MAX(0.1,Skills!D7-IF(Skills!E7=TRUE,Inputs!$B$32,0))),0)</f>
        <v/>
      </c>
      <c r="R355">
        <f>IF(AND(Inputs!$B$38&lt;&gt;"pvp",Inputs!$B$43&gt;0),IF(MAX(0,Inputs!$B$43-B387)&lt;=0,0,(INT(MAX(0,Inputs!$B$43-B387)/IF(Inputs!$B$38="pvp",15,MAX(0.1,Skills!D7-IF(Skills!E7=TRUE,Inputs!$B$32,0))))+1)),0)</f>
        <v/>
      </c>
      <c r="S355">
        <f>IFERROR((H355*N355*IF(AND(Inputs!$B$38&lt;&gt;"pvp",Inputs!$B$43&gt;0),((Skills!G7*((R355-1)*IF(Skills!H7&gt;0,Skills!I7/Skills!H7,1)+IF(Skills!H7&gt;0,MIN(Skills!I7,MAX(0,MAX(0,Inputs!$B$43-B387)-((R355-1)*IF(Inputs!$B$38="pvp",15,MAX(0.1,Skills!D7-IF(Skills!E7=TRUE,Inputs!$B$32,0))))))/Skills!H7,1)))/Inputs!$B$43),G355*Q355))/N355*IF(Inputs!$B$38="pvp",1,(1-Summary!$B$55)*1+Summary!$B$55*(MIN(Skills!R7,Inputs!$B$37))),0)</f>
        <v/>
      </c>
      <c r="T355">
        <f>IF(C355,(H355*N355*IF(AND(Inputs!$B$38&lt;&gt;"pvp",Inputs!$B$43&gt;0),((Skills!G7*((R355-1)*IF(Skills!H7&gt;0,Skills!I7/Skills!H7,1)+IF(Skills!H7&gt;0,MIN(Skills!I7,MAX(0,MAX(0,Inputs!$B$43-B387)-((R355-1)*IF(Inputs!$B$38="pvp",15,MAX(0.1,Skills!D7-IF(Skills!E7=TRUE,Inputs!$B$32,0))))))/Skills!H7,1)))/Inputs!$B$43),G355*Q355))*IF(Inputs!$B$38="pvp",1,1+(Inputs!$B$20+0+Skills!P7)/100),0)</f>
        <v/>
      </c>
      <c r="V355">
        <f>IF(C355,(H355*N355*IF(AND(Inputs!$B$38&lt;&gt;"pvp",Inputs!$B$43&gt;0),((Skills!G7*((R355-1)*IF(Skills!H7&gt;0,Skills!I7/Skills!H7,1)+IF(Skills!H7&gt;0,MIN(Skills!I7,MAX(0,MAX(0,Inputs!$B$43-B387)-((R355-1)*IF(Inputs!$B$38="pvp",15,MAX(0.1,Skills!D7-IF(Skills!E7=TRUE,Inputs!$B$32,0))))))/Skills!H7,1)))/Inputs!$B$43),G355*Q355))*IF(Inputs!$B$38="pvp",1,(1+(Inputs!$B$21+Skills!Q7)/100)*(MIN(Skills!R7,Inputs!$B$37))),0)</f>
        <v/>
      </c>
    </row>
    <row r="356">
      <c r="A356">
        <f>Skills!A8</f>
        <v/>
      </c>
      <c r="B356">
        <f>Skills!B8</f>
        <v/>
      </c>
      <c r="C356">
        <f>Inputs!$B$3&gt;=100</f>
        <v/>
      </c>
      <c r="D356">
        <f>IF(Skills!C8=1,60+Inputs!$B$25+Inputs!$B$29,IF(Skills!C8=2,90+Inputs!$B$26+Inputs!$B$29,IF(Skills!C8=3,120+Inputs!$B$27+Inputs!$B$29,MAX(0,(Inputs!$B$3-100)*3)+Inputs!$B$28+Inputs!$B$29)))</f>
        <v/>
      </c>
      <c r="E356">
        <f>INDEX(FactorTable!$B$2:$Y$301, MATCH(ROUND(MIN(300,MAX(1,D356)),0), FactorTable!$A$2:$A$301,0), Skills!M8+1)</f>
        <v/>
      </c>
      <c r="F356">
        <f>IF(Skills!N8=TRUE,(Skills!L8/10)*(E356/1000),Skills!L8/10)+Skills!O8</f>
        <v/>
      </c>
      <c r="G356" t="inlineStr"/>
      <c r="H356" t="inlineStr"/>
      <c r="I356" t="inlineStr">
        <is>
          <t>1</t>
        </is>
      </c>
      <c r="J356" t="inlineStr"/>
      <c r="K356" t="inlineStr"/>
      <c r="L356" t="inlineStr"/>
      <c r="M356" t="inlineStr"/>
      <c r="N356" t="inlineStr"/>
      <c r="O356" t="inlineStr"/>
      <c r="P356" t="inlineStr"/>
      <c r="Q356" t="inlineStr"/>
      <c r="R356" t="inlineStr"/>
      <c r="S356" t="inlineStr"/>
      <c r="T356" t="inlineStr"/>
      <c r="V356" t="inlineStr"/>
    </row>
    <row r="357">
      <c r="A357">
        <f>Skills!A9</f>
        <v/>
      </c>
      <c r="B357">
        <f>Skills!B9</f>
        <v/>
      </c>
      <c r="C357">
        <f>Inputs!$B$3&gt;=103</f>
        <v/>
      </c>
      <c r="D357">
        <f>IF(Skills!C9=1,60+Inputs!$B$25+Inputs!$B$29,IF(Skills!C9=2,90+Inputs!$B$26+Inputs!$B$29,IF(Skills!C9=3,120+Inputs!$B$27+Inputs!$B$29,MAX(0,(Inputs!$B$3-100)*3)+Inputs!$B$28+Inputs!$B$29)))</f>
        <v/>
      </c>
      <c r="E357">
        <f>INDEX(FactorTable!$B$2:$Y$301, MATCH(ROUND(MIN(300,MAX(1,D357)),0), FactorTable!$A$2:$A$301,0), Skills!M9+1)</f>
        <v/>
      </c>
      <c r="F357">
        <f>IF(Skills!N9=TRUE,(Skills!L9/10)*(E357/1000),Skills!L9/10)+Skills!O9</f>
        <v/>
      </c>
      <c r="G357">
        <f>Skills!G9*IF(Skills!H9&gt;0,Skills!I9/Skills!H9,1)</f>
        <v/>
      </c>
      <c r="H357">
        <f>1-(1-Skills!J9/100)^Skills!K9</f>
        <v/>
      </c>
      <c r="I357" t="inlineStr">
        <is>
          <t>1</t>
        </is>
      </c>
      <c r="J357">
        <f>((Inputs!$B$6*(1+Inputs!$B$7/100))+(((Inputs!$B$12*(1+Inputs!$B$13/100))-(Inputs!$B$12*(1+Inputs!$B$13/100)))+0.25*(Inputs!$B$14-Inputs!$B$14))*(1+Inputs!$B$7/100))*(F357/100)</f>
        <v/>
      </c>
      <c r="K357">
        <f>J357*(1+((Inputs!$B$12*(1+Inputs!$B$13/100))*0.01+Inputs!$B$14*0.0025)/100)*(1+Inputs!$B$15/100)*(1+Inputs!$B$16/100)*(5000/(6000+Inputs!$B$42*(1-(Inputs!$B$19+0)/100)))*(1+(((((1+Inputs!$B$24/100)*(1.01))-1)*100)+((C372=TRUE)*(F372-Calc!F24))+((C373=TRUE)*(F373-Calc!F25))+B386)/100)*(1+(IF(Skills!A9="EMPOWERED_PIERCING_ARROW",Inputs!$B$17+((C370=TRUE)*(F370-Calc!F22)),Inputs!$B$18+((C375=TRUE)*(F375-Calc!F27))))/100)*((1+(((C361=TRUE)*F361)+((C362=TRUE)*IF(Inputs!$B$38="pvp",F362,(1-Summary!$B$55)*(F362)+Summary!$B$55*(0)))+((C363=TRUE)*F363*IF(AND(Inputs!$B$38&lt;&gt;"pvp",Inputs!$B$43&gt;0),(((R363-1)*(Skills!T15*(1+Inputs!$B$34/100))+MIN((Skills!T15*(1+Inputs!$B$34/100)),MAX(0,Inputs!$B$43-((R363-1)*Skills!D15))))/Inputs!$B$43),IF(Inputs!$B$38="pvp",MIN((Skills!T15*(1+Inputs!$B$34/100)),15)/15,(Skills!T15*(1+Inputs!$B$34/100))/Skills!D15)))+((C360=TRUE)*F360)+((C377=TRUE)*(F377-Calc!F29)))/100)*I357)</f>
        <v/>
      </c>
      <c r="L357">
        <f>K357*(MIN(Inputs!$B$22+((C371=TRUE)*(F371-Calc!F23)),Inputs!$B$23+((C376=TRUE)*(F376-Calc!F28)))/100+(Inputs!$B$23+((C376=TRUE)*(F376-Calc!F28)))/100)/2</f>
        <v/>
      </c>
      <c r="M357">
        <f>L357*(1+(Inputs!$B$10+0+B385)/100)</f>
        <v/>
      </c>
      <c r="N357">
        <f>L357*(1-MIN((Inputs!$B$9+((C367=TRUE)*(F367-Calc!F19))+B380),100)/100)+M357*(MIN((Inputs!$B$9+((C367=TRUE)*(F367-Calc!F19))+B380),100)/100)</f>
        <v/>
      </c>
      <c r="O357">
        <f>(1-Summary!$B$55)*T357+Summary!$B$55*V357</f>
        <v/>
      </c>
      <c r="P357">
        <f>IF(B390=0,0,O357/B390)</f>
        <v/>
      </c>
      <c r="Q357">
        <f>IFERROR(1/IF(Inputs!$B$38="pvp",15,MAX(0.1,Skills!D9-IF(Skills!E9=TRUE,Inputs!$B$32,0))),0)</f>
        <v/>
      </c>
      <c r="R357">
        <f>IF(AND(Inputs!$B$38&lt;&gt;"pvp",Inputs!$B$43&gt;0),IF(MAX(0,Inputs!$B$43-B387)&lt;=0,0,(INT(MAX(0,Inputs!$B$43-B387)/IF(Inputs!$B$38="pvp",15,MAX(0.1,Skills!D9-IF(Skills!E9=TRUE,Inputs!$B$32,0))))+1)),0)</f>
        <v/>
      </c>
      <c r="S357">
        <f>IFERROR((H357*N357*IF(AND(Inputs!$B$38&lt;&gt;"pvp",Inputs!$B$43&gt;0),((Skills!G9*((R357-1)*IF(Skills!H9&gt;0,Skills!I9/Skills!H9,1)+IF(Skills!H9&gt;0,MIN(Skills!I9,MAX(0,MAX(0,Inputs!$B$43-B387)-((R357-1)*IF(Inputs!$B$38="pvp",15,MAX(0.1,Skills!D9-IF(Skills!E9=TRUE,Inputs!$B$32,0))))))/Skills!H9,1)))/Inputs!$B$43),G357*Q357))/N357*IF(Inputs!$B$38="pvp",1,(1-Summary!$B$55)*1+Summary!$B$55*(MIN(Skills!R9,Inputs!$B$37))),0)</f>
        <v/>
      </c>
      <c r="T357">
        <f>IF(C357,(H357*N357*IF(AND(Inputs!$B$38&lt;&gt;"pvp",Inputs!$B$43&gt;0),((Skills!G9*((R357-1)*IF(Skills!H9&gt;0,Skills!I9/Skills!H9,1)+IF(Skills!H9&gt;0,MIN(Skills!I9,MAX(0,MAX(0,Inputs!$B$43-B387)-((R357-1)*IF(Inputs!$B$38="pvp",15,MAX(0.1,Skills!D9-IF(Skills!E9=TRUE,Inputs!$B$32,0))))))/Skills!H9,1)))/Inputs!$B$43),G357*Q357))*IF(Inputs!$B$38="pvp",1,1+(Inputs!$B$20+0+Skills!P9)/100),0)</f>
        <v/>
      </c>
      <c r="V357">
        <f>IF(C357,(H357*N357*IF(AND(Inputs!$B$38&lt;&gt;"pvp",Inputs!$B$43&gt;0),((Skills!G9*((R357-1)*IF(Skills!H9&gt;0,Skills!I9/Skills!H9,1)+IF(Skills!H9&gt;0,MIN(Skills!I9,MAX(0,MAX(0,Inputs!$B$43-B387)-((R357-1)*IF(Inputs!$B$38="pvp",15,MAX(0.1,Skills!D9-IF(Skills!E9=TRUE,Inputs!$B$32,0))))))/Skills!H9,1)))/Inputs!$B$43),G357*Q357))*IF(Inputs!$B$38="pvp",1,(1+(Inputs!$B$21+Skills!Q9)/100)*(MIN(Skills!R9,Inputs!$B$37))),0)</f>
        <v/>
      </c>
    </row>
    <row r="358">
      <c r="A358">
        <f>Skills!A10</f>
        <v/>
      </c>
      <c r="B358">
        <f>Skills!B10</f>
        <v/>
      </c>
      <c r="C358">
        <f>Inputs!$B$3&gt;=107</f>
        <v/>
      </c>
      <c r="D358">
        <f>IF(Skills!C10=1,60+Inputs!$B$25+Inputs!$B$29,IF(Skills!C10=2,90+Inputs!$B$26+Inputs!$B$29,IF(Skills!C10=3,120+Inputs!$B$27+Inputs!$B$29,MAX(0,(Inputs!$B$3-100)*3)+Inputs!$B$28+Inputs!$B$29)))</f>
        <v/>
      </c>
      <c r="E358">
        <f>INDEX(FactorTable!$B$2:$Y$301, MATCH(ROUND(MIN(300,MAX(1,D358)),0), FactorTable!$A$2:$A$301,0), Skills!M10+1)</f>
        <v/>
      </c>
      <c r="F358">
        <f>IF(Skills!N10=TRUE,(Skills!L10/10)*(E358/1000),Skills!L10/10)+Skills!O10</f>
        <v/>
      </c>
      <c r="G358">
        <f>Skills!G10*IF(Skills!H10&gt;0,Skills!I10/Skills!H10,1)</f>
        <v/>
      </c>
      <c r="H358">
        <f>1-(1-Skills!J10/100)^Skills!K10</f>
        <v/>
      </c>
      <c r="I358" t="inlineStr">
        <is>
          <t>1</t>
        </is>
      </c>
      <c r="J358">
        <f>((Inputs!$B$6*(1+Inputs!$B$7/100))+(((Inputs!$B$12*(1+Inputs!$B$13/100))-(Inputs!$B$12*(1+Inputs!$B$13/100)))+0.25*(Inputs!$B$14-Inputs!$B$14))*(1+Inputs!$B$7/100))*(F358/100)</f>
        <v/>
      </c>
      <c r="K358">
        <f>J358*(1+((Inputs!$B$12*(1+Inputs!$B$13/100))*0.01+Inputs!$B$14*0.0025)/100)*(1+Inputs!$B$15/100)*(1+Inputs!$B$16/100)*(5000/(6000+Inputs!$B$42*(1-(Inputs!$B$19+0)/100)))*(1+(((((1+Inputs!$B$24/100)*(1.01))-1)*100)+((C372=TRUE)*(F372-Calc!F24))+((C373=TRUE)*(F373-Calc!F25))+B386)/100)*(1+(IF(Skills!A10="EMPOWERED_PIERCING_ARROW",Inputs!$B$17+((C370=TRUE)*(F370-Calc!F22)),Inputs!$B$18+((C375=TRUE)*(F375-Calc!F27))))/100)*((1+(((C361=TRUE)*F361)+((C362=TRUE)*IF(Inputs!$B$38="pvp",F362,(1-Summary!$B$55)*(F362)+Summary!$B$55*(0)))+((C363=TRUE)*F363*IF(AND(Inputs!$B$38&lt;&gt;"pvp",Inputs!$B$43&gt;0),(((R363-1)*(Skills!T15*(1+Inputs!$B$34/100))+MIN((Skills!T15*(1+Inputs!$B$34/100)),MAX(0,Inputs!$B$43-((R363-1)*Skills!D15))))/Inputs!$B$43),IF(Inputs!$B$38="pvp",MIN((Skills!T15*(1+Inputs!$B$34/100)),15)/15,(Skills!T15*(1+Inputs!$B$34/100))/Skills!D15)))+((C360=TRUE)*F360)+((C377=TRUE)*(F377-Calc!F29)))/100)*I358)</f>
        <v/>
      </c>
      <c r="L358">
        <f>K358*(MIN(Inputs!$B$22+((C371=TRUE)*(F371-Calc!F23)),Inputs!$B$23+((C376=TRUE)*(F376-Calc!F28)))/100+(Inputs!$B$23+((C376=TRUE)*(F376-Calc!F28)))/100)/2</f>
        <v/>
      </c>
      <c r="M358">
        <f>L358*(1+(Inputs!$B$10+0+B385)/100)</f>
        <v/>
      </c>
      <c r="N358">
        <f>L358*(1-MIN((Inputs!$B$9+((C367=TRUE)*(F367-Calc!F19))+B380),100)/100)+M358*(MIN((Inputs!$B$9+((C367=TRUE)*(F367-Calc!F19))+B380),100)/100)</f>
        <v/>
      </c>
      <c r="O358">
        <f>(1-Summary!$B$55)*T358+Summary!$B$55*V358</f>
        <v/>
      </c>
      <c r="P358">
        <f>IF(B390=0,0,O358/B390)</f>
        <v/>
      </c>
      <c r="Q358" t="n">
        <v>0</v>
      </c>
      <c r="R358" t="n">
        <v>0</v>
      </c>
      <c r="S358" t="n">
        <v>0</v>
      </c>
      <c r="T358">
        <f>IF(C358,(0.15*SUMPRODUCT((Skills!U2:U29=TRUE)*(C350:C377=TRUE)*S350:S377)*Skills!G10*N358)*IF(Inputs!$B$38="pvp",1,1+(Inputs!$B$20+0+Skills!P10)/100),0)</f>
        <v/>
      </c>
      <c r="V358">
        <f>IF(C358,(0.15*SUMPRODUCT((Skills!U2:U29=TRUE)*(C350:C377=TRUE)*S350:S377)*Skills!G10*N358)*IF(Inputs!$B$38="pvp",1,(1+(Inputs!$B$21+Skills!Q10)/100)*(MIN(Skills!R10,Inputs!$B$37))),0)</f>
        <v/>
      </c>
    </row>
    <row r="359">
      <c r="A359">
        <f>Skills!A11</f>
        <v/>
      </c>
      <c r="B359">
        <f>Skills!B11</f>
        <v/>
      </c>
      <c r="C359">
        <f>Inputs!$B$3&gt;=110</f>
        <v/>
      </c>
      <c r="D359">
        <f>IF(Skills!C11=1,60+Inputs!$B$25+Inputs!$B$29,IF(Skills!C11=2,90+Inputs!$B$26+Inputs!$B$29,IF(Skills!C11=3,120+Inputs!$B$27+Inputs!$B$29,MAX(0,(Inputs!$B$3-100)*3)+Inputs!$B$28+Inputs!$B$29)))</f>
        <v/>
      </c>
      <c r="E359">
        <f>INDEX(FactorTable!$B$2:$Y$301, MATCH(ROUND(MIN(300,MAX(1,D359)),0), FactorTable!$A$2:$A$301,0), Skills!M11+1)</f>
        <v/>
      </c>
      <c r="F359">
        <f>IF(Skills!N11=TRUE,(Skills!L11/10)*(E359/1000),Skills!L11/10)+Skills!O11</f>
        <v/>
      </c>
      <c r="G359">
        <f>Skills!G11*IF(Skills!H11&gt;0,Skills!I11/Skills!H11,1)</f>
        <v/>
      </c>
      <c r="H359">
        <f>1-(1-Skills!J11/100)^Skills!K11</f>
        <v/>
      </c>
      <c r="I359" t="inlineStr">
        <is>
          <t>1</t>
        </is>
      </c>
      <c r="J359">
        <f>((Inputs!$B$6*(1+Inputs!$B$7/100))+(((Inputs!$B$12*(1+Inputs!$B$13/100))-(Inputs!$B$12*(1+Inputs!$B$13/100)))+0.25*(Inputs!$B$14-Inputs!$B$14))*(1+Inputs!$B$7/100))*(F359/100)</f>
        <v/>
      </c>
      <c r="K359">
        <f>J359*(1+((Inputs!$B$12*(1+Inputs!$B$13/100))*0.01+Inputs!$B$14*0.0025)/100)*(1+Inputs!$B$15/100)*(1+Inputs!$B$16/100)*(5000/(6000+Inputs!$B$42*(1-(Inputs!$B$19+0)/100)))*(1+(((((1+Inputs!$B$24/100)*(1.01))-1)*100)+((C372=TRUE)*(F372-Calc!F24))+((C373=TRUE)*(F373-Calc!F25))+B386)/100)*(1+(IF(Skills!A11="EMPOWERED_PIERCING_ARROW",Inputs!$B$17+((C370=TRUE)*(F370-Calc!F22)),Inputs!$B$18+((C375=TRUE)*(F375-Calc!F27))))/100)*((1+(((C361=TRUE)*F361)+((C362=TRUE)*IF(Inputs!$B$38="pvp",F362,(1-Summary!$B$55)*(F362)+Summary!$B$55*(0)))+((C363=TRUE)*F363*IF(AND(Inputs!$B$38&lt;&gt;"pvp",Inputs!$B$43&gt;0),(((R363-1)*(Skills!T15*(1+Inputs!$B$34/100))+MIN((Skills!T15*(1+Inputs!$B$34/100)),MAX(0,Inputs!$B$43-((R363-1)*Skills!D15))))/Inputs!$B$43),IF(Inputs!$B$38="pvp",MIN((Skills!T15*(1+Inputs!$B$34/100)),15)/15,(Skills!T15*(1+Inputs!$B$34/100))/Skills!D15)))+((C360=TRUE)*F360)+((C377=TRUE)*(F377-Calc!F29)))/100)*I359)</f>
        <v/>
      </c>
      <c r="L359">
        <f>K359*(MIN(Inputs!$B$22+((C371=TRUE)*(F371-Calc!F23)),Inputs!$B$23+((C376=TRUE)*(F376-Calc!F28)))/100+(Inputs!$B$23+((C376=TRUE)*(F376-Calc!F28)))/100)/2</f>
        <v/>
      </c>
      <c r="M359">
        <f>L359*(1+(Inputs!$B$10+0+B385)/100)</f>
        <v/>
      </c>
      <c r="N359">
        <f>L359*(1-MIN((Inputs!$B$9+((C367=TRUE)*(F367-Calc!F19))+B380),100)/100)+M359*(MIN((Inputs!$B$9+((C367=TRUE)*(F367-Calc!F19))+B380),100)/100)</f>
        <v/>
      </c>
      <c r="O359">
        <f>(1-Summary!$B$55)*T359+Summary!$B$55*V359</f>
        <v/>
      </c>
      <c r="P359">
        <f>IF(B390=0,0,O359/B390)</f>
        <v/>
      </c>
      <c r="Q359">
        <f>IFERROR(1/IF(Inputs!$B$38="pvp",15,MAX(0.1,Skills!D11-IF(Skills!E11=TRUE,Inputs!$B$32,0))),0)</f>
        <v/>
      </c>
      <c r="R359">
        <f>IF(AND(Inputs!$B$38&lt;&gt;"pvp",Inputs!$B$43&gt;0),IF(MAX(0,Inputs!$B$43-B387)&lt;=0,0,(INT(MAX(0,Inputs!$B$43-B387)/IF(Inputs!$B$38="pvp",15,MAX(0.1,Skills!D11-IF(Skills!E11=TRUE,Inputs!$B$32,0))))+1)),0)</f>
        <v/>
      </c>
      <c r="S359">
        <f>IFERROR((H359*N359*IF(AND(Inputs!$B$38&lt;&gt;"pvp",Inputs!$B$43&gt;0),((Skills!G11*((R359-1)*IF(Skills!H11&gt;0,Skills!I11/Skills!H11,1)+IF(Skills!H11&gt;0,MIN(Skills!I11,MAX(0,MAX(0,Inputs!$B$43-B387)-((R359-1)*IF(Inputs!$B$38="pvp",15,MAX(0.1,Skills!D11-IF(Skills!E11=TRUE,Inputs!$B$32,0))))))/Skills!H11,1)))/Inputs!$B$43),G359*Q359))/N359*IF(Inputs!$B$38="pvp",1,(1-Summary!$B$55)*1+Summary!$B$55*(MIN(Skills!R11,Inputs!$B$37))),0)</f>
        <v/>
      </c>
      <c r="T359">
        <f>IF(C359,(H359*N359*IF(AND(Inputs!$B$38&lt;&gt;"pvp",Inputs!$B$43&gt;0),((Skills!G11*((R359-1)*IF(Skills!H11&gt;0,Skills!I11/Skills!H11,1)+IF(Skills!H11&gt;0,MIN(Skills!I11,MAX(0,MAX(0,Inputs!$B$43-B387)-((R359-1)*IF(Inputs!$B$38="pvp",15,MAX(0.1,Skills!D11-IF(Skills!E11=TRUE,Inputs!$B$32,0))))))/Skills!H11,1)))/Inputs!$B$43),G359*Q359))*IF(Inputs!$B$38="pvp",1,1+(Inputs!$B$20+0+Skills!P11)/100),0)</f>
        <v/>
      </c>
      <c r="V359">
        <f>IF(C359,(H359*N359*IF(AND(Inputs!$B$38&lt;&gt;"pvp",Inputs!$B$43&gt;0),((Skills!G11*((R359-1)*IF(Skills!H11&gt;0,Skills!I11/Skills!H11,1)+IF(Skills!H11&gt;0,MIN(Skills!I11,MAX(0,MAX(0,Inputs!$B$43-B387)-((R359-1)*IF(Inputs!$B$38="pvp",15,MAX(0.1,Skills!D11-IF(Skills!E11=TRUE,Inputs!$B$32,0))))))/Skills!H11,1)))/Inputs!$B$43),G359*Q359))*IF(Inputs!$B$38="pvp",1,(1+(Inputs!$B$21+Skills!Q11)/100)*(MIN(Skills!R11,Inputs!$B$37))),0)</f>
        <v/>
      </c>
    </row>
    <row r="360">
      <c r="A360">
        <f>Skills!A12</f>
        <v/>
      </c>
      <c r="B360">
        <f>Skills!B12</f>
        <v/>
      </c>
      <c r="C360">
        <f>Inputs!$B$3&gt;=60</f>
        <v/>
      </c>
      <c r="D360">
        <f>IF(Skills!C12=1,60+Inputs!$B$25+Inputs!$B$29,IF(Skills!C12=2,90+Inputs!$B$26+Inputs!$B$29,IF(Skills!C12=3,120+Inputs!$B$27+Inputs!$B$29,MAX(0,(Inputs!$B$3-100)*3)+Inputs!$B$28+Inputs!$B$29)))</f>
        <v/>
      </c>
      <c r="E360">
        <f>INDEX(FactorTable!$B$2:$Y$301, MATCH(ROUND(MIN(300,MAX(1,D360)),0), FactorTable!$A$2:$A$301,0), Skills!M12+1)</f>
        <v/>
      </c>
      <c r="F360">
        <f>IF(Skills!N12=TRUE,(Skills!L12/10)*(E360/1000),Skills!L12/10)+Skills!O12</f>
        <v/>
      </c>
      <c r="G360">
        <f>Skills!G12*IF(Skills!H12&gt;0,Skills!I12/Skills!H12,1)</f>
        <v/>
      </c>
      <c r="H360">
        <f>1-(1-Skills!J12/100)^Skills!K12</f>
        <v/>
      </c>
      <c r="I360" t="inlineStr">
        <is>
          <t>1</t>
        </is>
      </c>
      <c r="J360" t="inlineStr"/>
      <c r="K360" t="inlineStr"/>
      <c r="L360" t="inlineStr"/>
      <c r="M360" t="inlineStr"/>
      <c r="N360" t="inlineStr"/>
      <c r="O360">
        <f>(1-Summary!$B$55)*T360+Summary!$B$55*V360</f>
        <v/>
      </c>
      <c r="P360">
        <f>IF(B390=0,0,O360/B390)</f>
        <v/>
      </c>
      <c r="Q360" t="n">
        <v>0</v>
      </c>
      <c r="R360" t="n">
        <v>0</v>
      </c>
      <c r="S360" t="n">
        <v>0</v>
      </c>
      <c r="T360" t="n">
        <v>0</v>
      </c>
      <c r="V360" t="n">
        <v>0</v>
      </c>
    </row>
    <row r="361">
      <c r="A361">
        <f>Skills!A13</f>
        <v/>
      </c>
      <c r="B361">
        <f>Skills!B13</f>
        <v/>
      </c>
      <c r="C361">
        <f>Inputs!$B$3&gt;=74</f>
        <v/>
      </c>
      <c r="D361">
        <f>IF(Skills!C13=1,60+Inputs!$B$25+Inputs!$B$29,IF(Skills!C13=2,90+Inputs!$B$26+Inputs!$B$29,IF(Skills!C13=3,120+Inputs!$B$27+Inputs!$B$29,MAX(0,(Inputs!$B$3-100)*3)+Inputs!$B$28+Inputs!$B$29)))</f>
        <v/>
      </c>
      <c r="E361">
        <f>INDEX(FactorTable!$B$2:$Y$301, MATCH(ROUND(MIN(300,MAX(1,D361)),0), FactorTable!$A$2:$A$301,0), Skills!M13+1)</f>
        <v/>
      </c>
      <c r="F361">
        <f>IF(Skills!N13=TRUE,(Skills!L13/10)*(E361/1000),Skills!L13/10)+Skills!O13</f>
        <v/>
      </c>
      <c r="G361">
        <f>Skills!G13*IF(Skills!H13&gt;0,Skills!I13/Skills!H13,1)</f>
        <v/>
      </c>
      <c r="H361">
        <f>1-(1-Skills!J13/100)^Skills!K13</f>
        <v/>
      </c>
      <c r="I361" t="inlineStr">
        <is>
          <t>1</t>
        </is>
      </c>
      <c r="J361" t="inlineStr"/>
      <c r="K361" t="inlineStr"/>
      <c r="L361" t="inlineStr"/>
      <c r="M361" t="inlineStr"/>
      <c r="N361" t="inlineStr"/>
      <c r="O361">
        <f>(1-Summary!$B$55)*T361+Summary!$B$55*V361</f>
        <v/>
      </c>
      <c r="P361">
        <f>IF(B390=0,0,O361/B390)</f>
        <v/>
      </c>
      <c r="Q361" t="n">
        <v>0</v>
      </c>
      <c r="R361" t="n">
        <v>0</v>
      </c>
      <c r="S361" t="n">
        <v>0</v>
      </c>
      <c r="T361" t="n">
        <v>0</v>
      </c>
      <c r="V361" t="n">
        <v>0</v>
      </c>
    </row>
    <row r="362">
      <c r="A362">
        <f>Skills!A14</f>
        <v/>
      </c>
      <c r="B362">
        <f>Skills!B14</f>
        <v/>
      </c>
      <c r="C362">
        <f>Inputs!$B$3&gt;=74</f>
        <v/>
      </c>
      <c r="D362">
        <f>IF(Skills!C14=1,60+Inputs!$B$25+Inputs!$B$29,IF(Skills!C14=2,90+Inputs!$B$26+Inputs!$B$29,IF(Skills!C14=3,120+Inputs!$B$27+Inputs!$B$29,MAX(0,(Inputs!$B$3-100)*3)+Inputs!$B$28+Inputs!$B$29)))</f>
        <v/>
      </c>
      <c r="E362">
        <f>INDEX(FactorTable!$B$2:$Y$301, MATCH(ROUND(MIN(300,MAX(1,D362)),0), FactorTable!$A$2:$A$301,0), Skills!M14+1)</f>
        <v/>
      </c>
      <c r="F362">
        <f>IF(Skills!N14=TRUE,(Skills!L14/10)*(E362/1000),Skills!L14/10)+Skills!O14</f>
        <v/>
      </c>
      <c r="G362">
        <f>Skills!G14*IF(Skills!H14&gt;0,Skills!I14/Skills!H14,1)</f>
        <v/>
      </c>
      <c r="H362">
        <f>1-(1-Skills!J14/100)^Skills!K14</f>
        <v/>
      </c>
      <c r="I362" t="inlineStr">
        <is>
          <t>1</t>
        </is>
      </c>
      <c r="J362" t="inlineStr"/>
      <c r="K362" t="inlineStr"/>
      <c r="L362" t="inlineStr"/>
      <c r="M362" t="inlineStr"/>
      <c r="N362" t="inlineStr"/>
      <c r="O362">
        <f>(1-Summary!$B$55)*T362+Summary!$B$55*V362</f>
        <v/>
      </c>
      <c r="P362">
        <f>IF(B390=0,0,O362/B390)</f>
        <v/>
      </c>
      <c r="Q362" t="n">
        <v>0</v>
      </c>
      <c r="R362" t="n">
        <v>0</v>
      </c>
      <c r="S362" t="n">
        <v>0</v>
      </c>
      <c r="T362" t="n">
        <v>0</v>
      </c>
      <c r="V362" t="n">
        <v>0</v>
      </c>
    </row>
    <row r="363">
      <c r="A363">
        <f>Skills!A15</f>
        <v/>
      </c>
      <c r="B363">
        <f>Skills!B15</f>
        <v/>
      </c>
      <c r="C363">
        <f>Inputs!$B$3&gt;=117</f>
        <v/>
      </c>
      <c r="D363">
        <f>IF(Skills!C15=1,60+Inputs!$B$25+Inputs!$B$29,IF(Skills!C15=2,90+Inputs!$B$26+Inputs!$B$29,IF(Skills!C15=3,120+Inputs!$B$27+Inputs!$B$29,MAX(0,(Inputs!$B$3-100)*3)+Inputs!$B$28+Inputs!$B$29)))</f>
        <v/>
      </c>
      <c r="E363">
        <f>INDEX(FactorTable!$B$2:$Y$301, MATCH(ROUND(MIN(300,MAX(1,D363)),0), FactorTable!$A$2:$A$301,0), Skills!M15+1)</f>
        <v/>
      </c>
      <c r="F363">
        <f>IF(Skills!N15=TRUE,(Skills!L15/10)*(E363/1000),Skills!L15/10)+Skills!O15</f>
        <v/>
      </c>
      <c r="G363">
        <f>Skills!G15*IF(Skills!H15&gt;0,Skills!I15/Skills!H15,1)</f>
        <v/>
      </c>
      <c r="H363">
        <f>1-(1-Skills!J15/100)^Skills!K15</f>
        <v/>
      </c>
      <c r="I363" t="inlineStr">
        <is>
          <t>1</t>
        </is>
      </c>
      <c r="J363" t="inlineStr"/>
      <c r="K363" t="inlineStr"/>
      <c r="L363" t="inlineStr"/>
      <c r="M363" t="inlineStr"/>
      <c r="N363" t="inlineStr"/>
      <c r="O363">
        <f>(1-Summary!$B$55)*T363+Summary!$B$55*V363</f>
        <v/>
      </c>
      <c r="P363">
        <f>IF(B390=0,0,O363/B390)</f>
        <v/>
      </c>
      <c r="Q363">
        <f>IFERROR(1/IF(Inputs!$B$38="pvp",15,MAX(0.1,Skills!D15-IF(Skills!E15=TRUE,Inputs!$B$32,0))),0)</f>
        <v/>
      </c>
      <c r="R363">
        <f>IF(AND(Inputs!$B$38&lt;&gt;"pvp",Inputs!$B$43&gt;0),IF(Inputs!$B$43&lt;=0,0,(INT(Inputs!$B$43/IF(Inputs!$B$38="pvp",15,MAX(0.1,Skills!D15-IF(Skills!E15=TRUE,Inputs!$B$32,0))))+1)),0)</f>
        <v/>
      </c>
      <c r="S363" t="n">
        <v>0</v>
      </c>
      <c r="T363" t="n">
        <v>0</v>
      </c>
      <c r="V363" t="n">
        <v>0</v>
      </c>
    </row>
    <row r="364">
      <c r="A364">
        <f>Skills!A16</f>
        <v/>
      </c>
      <c r="B364">
        <f>Skills!B16</f>
        <v/>
      </c>
      <c r="C364">
        <f>Inputs!$B$3&gt;=115</f>
        <v/>
      </c>
      <c r="D364">
        <f>IF(Skills!C16=1,60+Inputs!$B$25+Inputs!$B$29,IF(Skills!C16=2,90+Inputs!$B$26+Inputs!$B$29,IF(Skills!C16=3,120+Inputs!$B$27+Inputs!$B$29,MAX(0,(Inputs!$B$3-100)*3)+Inputs!$B$28+Inputs!$B$29)))</f>
        <v/>
      </c>
      <c r="E364">
        <f>INDEX(FactorTable!$B$2:$Y$301, MATCH(ROUND(MIN(300,MAX(1,D364)),0), FactorTable!$A$2:$A$301,0), Skills!M16+1)</f>
        <v/>
      </c>
      <c r="F364">
        <f>IF(Skills!N16=TRUE,(Skills!L16/10)*(E364/1000),Skills!L16/10)+Skills!O16</f>
        <v/>
      </c>
      <c r="G364">
        <f>Skills!G16*IF(Skills!H16&gt;0,Skills!I16/Skills!H16,1)</f>
        <v/>
      </c>
      <c r="H364">
        <f>1-(1-Skills!J16/100)^Skills!K16</f>
        <v/>
      </c>
      <c r="I364" t="inlineStr">
        <is>
          <t>1</t>
        </is>
      </c>
      <c r="J364" t="inlineStr"/>
      <c r="K364" t="inlineStr"/>
      <c r="L364" t="inlineStr"/>
      <c r="M364" t="inlineStr"/>
      <c r="N364" t="inlineStr"/>
      <c r="O364">
        <f>(1-Summary!$B$55)*T364+Summary!$B$55*V364</f>
        <v/>
      </c>
      <c r="P364">
        <f>IF(B390=0,0,O364/B390)</f>
        <v/>
      </c>
      <c r="Q364">
        <f>IFERROR(1/IF(Inputs!$B$38="pvp",15,MAX(0.1,Skills!D16-IF(Skills!E16=TRUE,Inputs!$B$32,0))),0)</f>
        <v/>
      </c>
      <c r="R364">
        <f>IF(AND(Inputs!$B$38&lt;&gt;"pvp",Inputs!$B$43&gt;0),IF(Inputs!$B$43&lt;=0,0,(INT(Inputs!$B$43/IF(Inputs!$B$38="pvp",15,MAX(0.1,Skills!D16-IF(Skills!E16=TRUE,Inputs!$B$32,0))))+1)),0)</f>
        <v/>
      </c>
      <c r="S364" t="n">
        <v>0</v>
      </c>
      <c r="T364" t="n">
        <v>0</v>
      </c>
      <c r="V364" t="n">
        <v>0</v>
      </c>
    </row>
    <row r="365">
      <c r="A365">
        <f>Skills!A17</f>
        <v/>
      </c>
      <c r="B365">
        <f>Skills!B17</f>
        <v/>
      </c>
      <c r="C365">
        <f>Inputs!$B$3&gt;=72</f>
        <v/>
      </c>
      <c r="D365">
        <f>IF(Skills!C17=1,60+Inputs!$B$25+Inputs!$B$29,IF(Skills!C17=2,90+Inputs!$B$26+Inputs!$B$29,IF(Skills!C17=3,120+Inputs!$B$27+Inputs!$B$29,MAX(0,(Inputs!$B$3-100)*3)+Inputs!$B$28+Inputs!$B$29)))</f>
        <v/>
      </c>
      <c r="E365">
        <f>INDEX(FactorTable!$B$2:$Y$301, MATCH(ROUND(MIN(300,MAX(1,D365)),0), FactorTable!$A$2:$A$301,0), Skills!M17+1)</f>
        <v/>
      </c>
      <c r="F365">
        <f>IF(Skills!N17=TRUE,(Skills!L17/10)*(E365/1000),Skills!L17/10)+Skills!O17</f>
        <v/>
      </c>
      <c r="G365">
        <f>Skills!G17*IF(Skills!H17&gt;0,Skills!I17/Skills!H17,1)</f>
        <v/>
      </c>
      <c r="H365">
        <f>1-(1-Skills!J17/100)^Skills!K17</f>
        <v/>
      </c>
      <c r="I365" t="inlineStr">
        <is>
          <t>1</t>
        </is>
      </c>
      <c r="J365" t="inlineStr"/>
      <c r="K365" t="inlineStr"/>
      <c r="L365" t="inlineStr"/>
      <c r="M365" t="inlineStr"/>
      <c r="N365" t="inlineStr"/>
      <c r="O365">
        <f>(1-Summary!$B$55)*T365+Summary!$B$55*V365</f>
        <v/>
      </c>
      <c r="P365">
        <f>IF(B390=0,0,O365/B390)</f>
        <v/>
      </c>
      <c r="Q365" t="n">
        <v>0</v>
      </c>
      <c r="R365" t="n">
        <v>0</v>
      </c>
      <c r="S365" t="n">
        <v>0</v>
      </c>
      <c r="T365" t="n">
        <v>0</v>
      </c>
      <c r="V365" t="n">
        <v>0</v>
      </c>
    </row>
    <row r="366">
      <c r="A366">
        <f>Skills!A18</f>
        <v/>
      </c>
      <c r="B366">
        <f>Skills!B18</f>
        <v/>
      </c>
      <c r="C366">
        <f>TRUE</f>
        <v/>
      </c>
      <c r="D366">
        <f>IF(Skills!C18=1,60+Inputs!$B$25+Inputs!$B$29,IF(Skills!C18=2,90+Inputs!$B$26+Inputs!$B$29,IF(Skills!C18=3,120+Inputs!$B$27+Inputs!$B$29,MAX(0,(Inputs!$B$3-100)*3)+Inputs!$B$28+Inputs!$B$29)))</f>
        <v/>
      </c>
      <c r="E366">
        <f>INDEX(FactorTable!$B$2:$Y$301, MATCH(ROUND(MIN(300,MAX(1,D366)),0), FactorTable!$A$2:$A$301,0), Skills!M18+1)</f>
        <v/>
      </c>
      <c r="F366">
        <f>IF(Skills!N18=TRUE,(Skills!L18/10)*(E366/1000),Skills!L18/10)+Skills!O18</f>
        <v/>
      </c>
      <c r="G366">
        <f>Skills!G18*IF(Skills!H18&gt;0,Skills!I18/Skills!H18,1)</f>
        <v/>
      </c>
      <c r="H366">
        <f>1-(1-Skills!J18/100)^Skills!K18</f>
        <v/>
      </c>
      <c r="I366" t="inlineStr">
        <is>
          <t>1</t>
        </is>
      </c>
      <c r="J366" t="inlineStr"/>
      <c r="K366" t="inlineStr"/>
      <c r="L366" t="inlineStr"/>
      <c r="M366" t="inlineStr"/>
      <c r="N366" t="inlineStr"/>
      <c r="O366">
        <f>(1-Summary!$B$55)*T366+Summary!$B$55*V366</f>
        <v/>
      </c>
      <c r="P366">
        <f>IF(B390=0,0,O366/B390)</f>
        <v/>
      </c>
      <c r="Q366">
        <f>IFERROR(1/IF(Inputs!$B$38="pvp",15,MAX(0.1,Skills!D18-IF(Skills!E18=TRUE,Inputs!$B$32,0))),0)</f>
        <v/>
      </c>
      <c r="R366">
        <f>IF(AND(Inputs!$B$38&lt;&gt;"pvp",Inputs!$B$43&gt;0),IF(Inputs!$B$43&lt;=0,0,(INT(Inputs!$B$43/IF(Inputs!$B$38="pvp",15,MAX(0.1,Skills!D18-IF(Skills!E18=TRUE,Inputs!$B$32,0))))+1)),0)</f>
        <v/>
      </c>
      <c r="S366" t="n">
        <v>0</v>
      </c>
      <c r="T366" t="n">
        <v>0</v>
      </c>
      <c r="V366" t="n">
        <v>0</v>
      </c>
    </row>
    <row r="367">
      <c r="A367">
        <f>Skills!A19</f>
        <v/>
      </c>
      <c r="B367">
        <f>Skills!B19</f>
        <v/>
      </c>
      <c r="C367">
        <f>Inputs!$B$3&gt;=15</f>
        <v/>
      </c>
      <c r="D367">
        <f>IF(Skills!C19=1,60+Inputs!$B$25+Inputs!$B$29,IF(Skills!C19=2,90+Inputs!$B$26+Inputs!$B$29,IF(Skills!C19=3,120+Inputs!$B$27+Inputs!$B$29,MAX(0,(Inputs!$B$3-100)*3)+Inputs!$B$28+Inputs!$B$29)))</f>
        <v/>
      </c>
      <c r="E367">
        <f>INDEX(FactorTable!$B$2:$Y$301, MATCH(ROUND(MIN(300,MAX(1,D367)),0), FactorTable!$A$2:$A$301,0), Skills!M19+1)</f>
        <v/>
      </c>
      <c r="F367">
        <f>IF(Skills!N19=TRUE,(Skills!L19/10)*(E367/1000),Skills!L19/10)+Skills!O19</f>
        <v/>
      </c>
      <c r="G367">
        <f>Skills!G19*IF(Skills!H19&gt;0,Skills!I19/Skills!H19,1)</f>
        <v/>
      </c>
      <c r="H367">
        <f>1-(1-Skills!J19/100)^Skills!K19</f>
        <v/>
      </c>
      <c r="I367" t="inlineStr">
        <is>
          <t>1</t>
        </is>
      </c>
      <c r="J367" t="inlineStr"/>
      <c r="K367" t="inlineStr"/>
      <c r="L367" t="inlineStr"/>
      <c r="M367" t="inlineStr"/>
      <c r="N367" t="inlineStr"/>
      <c r="O367">
        <f>(1-Summary!$B$55)*T367+Summary!$B$55*V367</f>
        <v/>
      </c>
      <c r="P367">
        <f>IF(B390=0,0,O367/B390)</f>
        <v/>
      </c>
      <c r="Q367" t="n">
        <v>0</v>
      </c>
      <c r="R367" t="n">
        <v>0</v>
      </c>
      <c r="S367" t="n">
        <v>0</v>
      </c>
      <c r="T367" t="n">
        <v>0</v>
      </c>
      <c r="V367" t="n">
        <v>0</v>
      </c>
    </row>
    <row r="368">
      <c r="A368">
        <f>Skills!A20</f>
        <v/>
      </c>
      <c r="B368">
        <f>Skills!B20</f>
        <v/>
      </c>
      <c r="C368">
        <f>Inputs!$B$3&gt;=10</f>
        <v/>
      </c>
      <c r="D368">
        <f>IF(Skills!C20=1,60+Inputs!$B$25+Inputs!$B$29,IF(Skills!C20=2,90+Inputs!$B$26+Inputs!$B$29,IF(Skills!C20=3,120+Inputs!$B$27+Inputs!$B$29,MAX(0,(Inputs!$B$3-100)*3)+Inputs!$B$28+Inputs!$B$29)))</f>
        <v/>
      </c>
      <c r="E368">
        <f>INDEX(FactorTable!$B$2:$Y$301, MATCH(ROUND(MIN(300,MAX(1,D368)),0), FactorTable!$A$2:$A$301,0), Skills!M20+1)</f>
        <v/>
      </c>
      <c r="F368">
        <f>IF(Skills!N20=TRUE,(Skills!L20/10)*(E368/1000),Skills!L20/10)+Skills!O20</f>
        <v/>
      </c>
      <c r="G368">
        <f>Skills!G20*IF(Skills!H20&gt;0,Skills!I20/Skills!H20,1)</f>
        <v/>
      </c>
      <c r="H368">
        <f>1-(1-Skills!J20/100)^Skills!K20</f>
        <v/>
      </c>
      <c r="I368" t="inlineStr">
        <is>
          <t>1</t>
        </is>
      </c>
      <c r="J368" t="inlineStr"/>
      <c r="K368" t="inlineStr"/>
      <c r="L368" t="inlineStr"/>
      <c r="M368" t="inlineStr"/>
      <c r="N368" t="inlineStr"/>
      <c r="O368">
        <f>(1-Summary!$B$55)*T368+Summary!$B$55*V368</f>
        <v/>
      </c>
      <c r="P368">
        <f>IF(B390=0,0,O368/B390)</f>
        <v/>
      </c>
      <c r="Q368" t="n">
        <v>0</v>
      </c>
      <c r="R368" t="n">
        <v>0</v>
      </c>
      <c r="S368" t="n">
        <v>0</v>
      </c>
      <c r="T368" t="n">
        <v>0</v>
      </c>
      <c r="V368" t="n">
        <v>0</v>
      </c>
    </row>
    <row r="369">
      <c r="A369">
        <f>Skills!A21</f>
        <v/>
      </c>
      <c r="B369">
        <f>Skills!B21</f>
        <v/>
      </c>
      <c r="C369">
        <f>Inputs!$B$3&gt;=33</f>
        <v/>
      </c>
      <c r="D369">
        <f>IF(Skills!C21=1,60+Inputs!$B$25+Inputs!$B$29,IF(Skills!C21=2,90+Inputs!$B$26+Inputs!$B$29,IF(Skills!C21=3,120+Inputs!$B$27+Inputs!$B$29,MAX(0,(Inputs!$B$3-100)*3)+Inputs!$B$28+Inputs!$B$29)))</f>
        <v/>
      </c>
      <c r="E369">
        <f>INDEX(FactorTable!$B$2:$Y$301, MATCH(ROUND(MIN(300,MAX(1,D369)),0), FactorTable!$A$2:$A$301,0), Skills!M21+1)</f>
        <v/>
      </c>
      <c r="F369">
        <f>IF(Skills!N21=TRUE,(Skills!L21/10)*(E369/1000),Skills!L21/10)+Skills!O21</f>
        <v/>
      </c>
      <c r="G369">
        <f>Skills!G21*IF(Skills!H21&gt;0,Skills!I21/Skills!H21,1)</f>
        <v/>
      </c>
      <c r="H369">
        <f>1-(1-Skills!J21/100)^Skills!K21</f>
        <v/>
      </c>
      <c r="I369" t="inlineStr">
        <is>
          <t>1</t>
        </is>
      </c>
      <c r="J369" t="inlineStr"/>
      <c r="K369" t="inlineStr"/>
      <c r="L369" t="inlineStr"/>
      <c r="M369" t="inlineStr"/>
      <c r="N369" t="inlineStr"/>
      <c r="O369">
        <f>(1-Summary!$B$55)*T369+Summary!$B$55*V369</f>
        <v/>
      </c>
      <c r="P369">
        <f>IF(B390=0,0,O369/B390)</f>
        <v/>
      </c>
      <c r="Q369" t="n">
        <v>0</v>
      </c>
      <c r="R369" t="n">
        <v>0</v>
      </c>
      <c r="S369" t="n">
        <v>0</v>
      </c>
      <c r="T369" t="n">
        <v>0</v>
      </c>
      <c r="V369" t="n">
        <v>0</v>
      </c>
    </row>
    <row r="370">
      <c r="A370">
        <f>Skills!A22</f>
        <v/>
      </c>
      <c r="B370">
        <f>Skills!B22</f>
        <v/>
      </c>
      <c r="C370">
        <f>Inputs!$B$3&gt;=38</f>
        <v/>
      </c>
      <c r="D370">
        <f>IF(Skills!C22=1,60+Inputs!$B$25+Inputs!$B$29,IF(Skills!C22=2,90+Inputs!$B$26+Inputs!$B$29,IF(Skills!C22=3,120+Inputs!$B$27+Inputs!$B$29,MAX(0,(Inputs!$B$3-100)*3)+Inputs!$B$28+Inputs!$B$29)))</f>
        <v/>
      </c>
      <c r="E370">
        <f>INDEX(FactorTable!$B$2:$Y$301, MATCH(ROUND(MIN(300,MAX(1,D370)),0), FactorTable!$A$2:$A$301,0), Skills!M22+1)</f>
        <v/>
      </c>
      <c r="F370">
        <f>IF(Skills!N22=TRUE,(Skills!L22/10)*(E370/1000),Skills!L22/10)+Skills!O22</f>
        <v/>
      </c>
      <c r="G370">
        <f>Skills!G22*IF(Skills!H22&gt;0,Skills!I22/Skills!H22,1)</f>
        <v/>
      </c>
      <c r="H370">
        <f>1-(1-Skills!J22/100)^Skills!K22</f>
        <v/>
      </c>
      <c r="I370" t="inlineStr">
        <is>
          <t>1</t>
        </is>
      </c>
      <c r="J370" t="inlineStr"/>
      <c r="K370" t="inlineStr"/>
      <c r="L370" t="inlineStr"/>
      <c r="M370" t="inlineStr"/>
      <c r="N370" t="inlineStr"/>
      <c r="O370">
        <f>(1-Summary!$B$55)*T370+Summary!$B$55*V370</f>
        <v/>
      </c>
      <c r="P370">
        <f>IF(B390=0,0,O370/B390)</f>
        <v/>
      </c>
      <c r="Q370" t="n">
        <v>0</v>
      </c>
      <c r="R370" t="n">
        <v>0</v>
      </c>
      <c r="S370" t="n">
        <v>0</v>
      </c>
      <c r="T370" t="n">
        <v>0</v>
      </c>
      <c r="V370" t="n">
        <v>0</v>
      </c>
    </row>
    <row r="371">
      <c r="A371">
        <f>Skills!A23</f>
        <v/>
      </c>
      <c r="B371">
        <f>Skills!B23</f>
        <v/>
      </c>
      <c r="C371">
        <f>Inputs!$B$3&gt;=43</f>
        <v/>
      </c>
      <c r="D371">
        <f>IF(Skills!C23=1,60+Inputs!$B$25+Inputs!$B$29,IF(Skills!C23=2,90+Inputs!$B$26+Inputs!$B$29,IF(Skills!C23=3,120+Inputs!$B$27+Inputs!$B$29,MAX(0,(Inputs!$B$3-100)*3)+Inputs!$B$28+Inputs!$B$29)))</f>
        <v/>
      </c>
      <c r="E371">
        <f>INDEX(FactorTable!$B$2:$Y$301, MATCH(ROUND(MIN(300,MAX(1,D371)),0), FactorTable!$A$2:$A$301,0), Skills!M23+1)</f>
        <v/>
      </c>
      <c r="F371">
        <f>IF(Skills!N23=TRUE,(Skills!L23/10)*(E371/1000),Skills!L23/10)+Skills!O23</f>
        <v/>
      </c>
      <c r="G371">
        <f>Skills!G23*IF(Skills!H23&gt;0,Skills!I23/Skills!H23,1)</f>
        <v/>
      </c>
      <c r="H371">
        <f>1-(1-Skills!J23/100)^Skills!K23</f>
        <v/>
      </c>
      <c r="I371" t="inlineStr">
        <is>
          <t>1</t>
        </is>
      </c>
      <c r="J371" t="inlineStr"/>
      <c r="K371" t="inlineStr"/>
      <c r="L371" t="inlineStr"/>
      <c r="M371" t="inlineStr"/>
      <c r="N371" t="inlineStr"/>
      <c r="O371">
        <f>(1-Summary!$B$55)*T371+Summary!$B$55*V371</f>
        <v/>
      </c>
      <c r="P371">
        <f>IF(B390=0,0,O371/B390)</f>
        <v/>
      </c>
      <c r="Q371" t="n">
        <v>0</v>
      </c>
      <c r="R371" t="n">
        <v>0</v>
      </c>
      <c r="S371" t="n">
        <v>0</v>
      </c>
      <c r="T371" t="n">
        <v>0</v>
      </c>
      <c r="V371" t="n">
        <v>0</v>
      </c>
    </row>
    <row r="372">
      <c r="A372">
        <f>Skills!A24</f>
        <v/>
      </c>
      <c r="B372">
        <f>Skills!B24</f>
        <v/>
      </c>
      <c r="C372">
        <f>Inputs!$B$3&gt;=75</f>
        <v/>
      </c>
      <c r="D372">
        <f>IF(Skills!C24=1,60+Inputs!$B$25+Inputs!$B$29,IF(Skills!C24=2,90+Inputs!$B$26+Inputs!$B$29,IF(Skills!C24=3,120+Inputs!$B$27+Inputs!$B$29,MAX(0,(Inputs!$B$3-100)*3)+Inputs!$B$28+Inputs!$B$29)))</f>
        <v/>
      </c>
      <c r="E372">
        <f>INDEX(FactorTable!$B$2:$Y$301, MATCH(ROUND(MIN(300,MAX(1,D372)),0), FactorTable!$A$2:$A$301,0), Skills!M24+1)</f>
        <v/>
      </c>
      <c r="F372">
        <f>IF(Skills!N24=TRUE,(Skills!L24/10)*(E372/1000),Skills!L24/10)+Skills!O24</f>
        <v/>
      </c>
      <c r="G372">
        <f>Skills!G24*IF(Skills!H24&gt;0,Skills!I24/Skills!H24,1)</f>
        <v/>
      </c>
      <c r="H372">
        <f>1-(1-Skills!J24/100)^Skills!K24</f>
        <v/>
      </c>
      <c r="I372" t="inlineStr">
        <is>
          <t>1</t>
        </is>
      </c>
      <c r="J372" t="inlineStr"/>
      <c r="K372" t="inlineStr"/>
      <c r="L372" t="inlineStr"/>
      <c r="M372" t="inlineStr"/>
      <c r="N372" t="inlineStr"/>
      <c r="O372">
        <f>(1-Summary!$B$55)*T372+Summary!$B$55*V372</f>
        <v/>
      </c>
      <c r="P372">
        <f>IF(B390=0,0,O372/B390)</f>
        <v/>
      </c>
      <c r="Q372" t="n">
        <v>0</v>
      </c>
      <c r="R372" t="n">
        <v>0</v>
      </c>
      <c r="S372" t="n">
        <v>0</v>
      </c>
      <c r="T372" t="n">
        <v>0</v>
      </c>
      <c r="V372" t="n">
        <v>0</v>
      </c>
    </row>
    <row r="373">
      <c r="A373">
        <f>Skills!A25</f>
        <v/>
      </c>
      <c r="B373">
        <f>Skills!B25</f>
        <v/>
      </c>
      <c r="C373">
        <f>Inputs!$B$3&gt;=125</f>
        <v/>
      </c>
      <c r="D373">
        <f>IF(Skills!C25=1,60+Inputs!$B$25+Inputs!$B$29,IF(Skills!C25=2,90+Inputs!$B$26+Inputs!$B$29,IF(Skills!C25=3,120+Inputs!$B$27+Inputs!$B$29,MAX(0,(Inputs!$B$3-100)*3)+Inputs!$B$28+Inputs!$B$29)))</f>
        <v/>
      </c>
      <c r="E373">
        <f>INDEX(FactorTable!$B$2:$Y$301, MATCH(ROUND(MIN(300,MAX(1,D373)),0), FactorTable!$A$2:$A$301,0), Skills!M25+1)</f>
        <v/>
      </c>
      <c r="F373">
        <f>IF(Skills!N25=TRUE,(Skills!L25/10)*(E373/1000),Skills!L25/10)+Skills!O25</f>
        <v/>
      </c>
      <c r="G373">
        <f>Skills!G25*IF(Skills!H25&gt;0,Skills!I25/Skills!H25,1)</f>
        <v/>
      </c>
      <c r="H373">
        <f>1-(1-Skills!J25/100)^Skills!K25</f>
        <v/>
      </c>
      <c r="I373" t="inlineStr">
        <is>
          <t>1</t>
        </is>
      </c>
      <c r="J373" t="inlineStr"/>
      <c r="K373" t="inlineStr"/>
      <c r="L373" t="inlineStr"/>
      <c r="M373" t="inlineStr"/>
      <c r="N373" t="inlineStr"/>
      <c r="O373">
        <f>(1-Summary!$B$55)*T373+Summary!$B$55*V373</f>
        <v/>
      </c>
      <c r="P373">
        <f>IF(B390=0,0,O373/B390)</f>
        <v/>
      </c>
      <c r="Q373" t="n">
        <v>0</v>
      </c>
      <c r="R373" t="n">
        <v>0</v>
      </c>
      <c r="S373" t="n">
        <v>0</v>
      </c>
      <c r="T373" t="n">
        <v>0</v>
      </c>
      <c r="V373" t="n">
        <v>0</v>
      </c>
    </row>
    <row r="374">
      <c r="A374">
        <f>Skills!A26</f>
        <v/>
      </c>
      <c r="B374">
        <f>Skills!B26</f>
        <v/>
      </c>
      <c r="C374">
        <f>Inputs!$B$3&gt;=125</f>
        <v/>
      </c>
      <c r="D374">
        <f>IF(Skills!C26=1,60+Inputs!$B$25+Inputs!$B$29,IF(Skills!C26=2,90+Inputs!$B$26+Inputs!$B$29,IF(Skills!C26=3,120+Inputs!$B$27+Inputs!$B$29,MAX(0,(Inputs!$B$3-100)*3)+Inputs!$B$28+Inputs!$B$29)))</f>
        <v/>
      </c>
      <c r="E374">
        <f>INDEX(FactorTable!$B$2:$Y$301, MATCH(ROUND(MIN(300,MAX(1,D374)),0), FactorTable!$A$2:$A$301,0), Skills!M26+1)</f>
        <v/>
      </c>
      <c r="F374">
        <f>IF(Skills!N26=TRUE,(Skills!L26/10)*(E374/1000),Skills!L26/10)+Skills!O26</f>
        <v/>
      </c>
      <c r="G374">
        <f>Skills!G26*IF(Skills!H26&gt;0,Skills!I26/Skills!H26,1)</f>
        <v/>
      </c>
      <c r="H374">
        <f>1-(1-Skills!J26/100)^Skills!K26</f>
        <v/>
      </c>
      <c r="I374" t="inlineStr">
        <is>
          <t>1</t>
        </is>
      </c>
      <c r="J374" t="inlineStr"/>
      <c r="K374" t="inlineStr"/>
      <c r="L374" t="inlineStr"/>
      <c r="M374" t="inlineStr"/>
      <c r="N374" t="inlineStr"/>
      <c r="O374">
        <f>(1-Summary!$B$55)*T374+Summary!$B$55*V374</f>
        <v/>
      </c>
      <c r="P374">
        <f>IF(B390=0,0,O374/B390)</f>
        <v/>
      </c>
      <c r="Q374" t="n">
        <v>0</v>
      </c>
      <c r="R374" t="n">
        <v>0</v>
      </c>
      <c r="S374" t="n">
        <v>0</v>
      </c>
      <c r="T374" t="n">
        <v>0</v>
      </c>
      <c r="V374" t="n">
        <v>0</v>
      </c>
    </row>
    <row r="375">
      <c r="A375">
        <f>Skills!A27</f>
        <v/>
      </c>
      <c r="B375">
        <f>Skills!B27</f>
        <v/>
      </c>
      <c r="C375">
        <f>Inputs!$B$3&gt;=120</f>
        <v/>
      </c>
      <c r="D375">
        <f>IF(Skills!C27=1,60+Inputs!$B$25+Inputs!$B$29,IF(Skills!C27=2,90+Inputs!$B$26+Inputs!$B$29,IF(Skills!C27=3,120+Inputs!$B$27+Inputs!$B$29,MAX(0,(Inputs!$B$3-100)*3)+Inputs!$B$28+Inputs!$B$29)))</f>
        <v/>
      </c>
      <c r="E375">
        <f>INDEX(FactorTable!$B$2:$Y$301, MATCH(ROUND(MIN(300,MAX(1,D375)),0), FactorTable!$A$2:$A$301,0), Skills!M27+1)</f>
        <v/>
      </c>
      <c r="F375">
        <f>IF(Skills!N27=TRUE,(Skills!L27/10)*(E375/1000),Skills!L27/10)+Skills!O27</f>
        <v/>
      </c>
      <c r="G375">
        <f>Skills!G27*IF(Skills!H27&gt;0,Skills!I27/Skills!H27,1)</f>
        <v/>
      </c>
      <c r="H375">
        <f>1-(1-Skills!J27/100)^Skills!K27</f>
        <v/>
      </c>
      <c r="I375" t="inlineStr">
        <is>
          <t>1</t>
        </is>
      </c>
      <c r="J375" t="inlineStr"/>
      <c r="K375" t="inlineStr"/>
      <c r="L375" t="inlineStr"/>
      <c r="M375" t="inlineStr"/>
      <c r="N375" t="inlineStr"/>
      <c r="O375">
        <f>(1-Summary!$B$55)*T375+Summary!$B$55*V375</f>
        <v/>
      </c>
      <c r="P375">
        <f>IF(B390=0,0,O375/B390)</f>
        <v/>
      </c>
      <c r="Q375" t="n">
        <v>0</v>
      </c>
      <c r="R375" t="n">
        <v>0</v>
      </c>
      <c r="S375" t="n">
        <v>0</v>
      </c>
      <c r="T375" t="n">
        <v>0</v>
      </c>
      <c r="V375" t="n">
        <v>0</v>
      </c>
    </row>
    <row r="376">
      <c r="A376">
        <f>Skills!A28</f>
        <v/>
      </c>
      <c r="B376">
        <f>Skills!B28</f>
        <v/>
      </c>
      <c r="C376">
        <f>Inputs!$B$3&gt;=120</f>
        <v/>
      </c>
      <c r="D376">
        <f>IF(Skills!C28=1,60+Inputs!$B$25+Inputs!$B$29,IF(Skills!C28=2,90+Inputs!$B$26+Inputs!$B$29,IF(Skills!C28=3,120+Inputs!$B$27+Inputs!$B$29,MAX(0,(Inputs!$B$3-100)*3)+Inputs!$B$28+Inputs!$B$29)))</f>
        <v/>
      </c>
      <c r="E376">
        <f>INDEX(FactorTable!$B$2:$Y$301, MATCH(ROUND(MIN(300,MAX(1,D376)),0), FactorTable!$A$2:$A$301,0), Skills!M28+1)</f>
        <v/>
      </c>
      <c r="F376">
        <f>IF(Skills!N28=TRUE,(Skills!L28/10)*(E376/1000),Skills!L28/10)+Skills!O28</f>
        <v/>
      </c>
      <c r="G376">
        <f>Skills!G28*IF(Skills!H28&gt;0,Skills!I28/Skills!H28,1)</f>
        <v/>
      </c>
      <c r="H376">
        <f>1-(1-Skills!J28/100)^Skills!K28</f>
        <v/>
      </c>
      <c r="I376" t="inlineStr">
        <is>
          <t>1</t>
        </is>
      </c>
      <c r="J376" t="inlineStr"/>
      <c r="K376" t="inlineStr"/>
      <c r="L376" t="inlineStr"/>
      <c r="M376" t="inlineStr"/>
      <c r="N376" t="inlineStr"/>
      <c r="O376">
        <f>(1-Summary!$B$55)*T376+Summary!$B$55*V376</f>
        <v/>
      </c>
      <c r="P376">
        <f>IF(B390=0,0,O376/B390)</f>
        <v/>
      </c>
      <c r="Q376" t="n">
        <v>0</v>
      </c>
      <c r="R376" t="n">
        <v>0</v>
      </c>
      <c r="S376" t="n">
        <v>0</v>
      </c>
      <c r="T376" t="n">
        <v>0</v>
      </c>
      <c r="V376" t="n">
        <v>0</v>
      </c>
    </row>
    <row r="377">
      <c r="A377">
        <f>Skills!A29</f>
        <v/>
      </c>
      <c r="B377">
        <f>Skills!B29</f>
        <v/>
      </c>
      <c r="C377">
        <f>Inputs!$B$3&gt;=45</f>
        <v/>
      </c>
      <c r="D377">
        <f>IF(Skills!C29=1,60+Inputs!$B$25+Inputs!$B$29,IF(Skills!C29=2,90+Inputs!$B$26+Inputs!$B$29,IF(Skills!C29=3,120+Inputs!$B$27+Inputs!$B$29,MAX(0,(Inputs!$B$3-100)*3)+Inputs!$B$28+Inputs!$B$29)))</f>
        <v/>
      </c>
      <c r="E377">
        <f>INDEX(FactorTable!$B$2:$Y$301, MATCH(ROUND(MIN(300,MAX(1,D377)),0), FactorTable!$A$2:$A$301,0), Skills!M29+1)</f>
        <v/>
      </c>
      <c r="F377">
        <f>IF(Skills!N29=TRUE,(Skills!L29/10)*(E377/1000),Skills!L29/10)+Skills!O29</f>
        <v/>
      </c>
      <c r="G377">
        <f>Skills!G29*IF(Skills!H29&gt;0,Skills!I29/Skills!H29,1)</f>
        <v/>
      </c>
      <c r="H377">
        <f>1-(1-Skills!J29/100)^Skills!K29</f>
        <v/>
      </c>
      <c r="I377" t="inlineStr">
        <is>
          <t>1</t>
        </is>
      </c>
      <c r="J377" t="inlineStr"/>
      <c r="K377" t="inlineStr"/>
      <c r="L377" t="inlineStr"/>
      <c r="M377" t="inlineStr"/>
      <c r="N377" t="inlineStr"/>
      <c r="O377">
        <f>(1-Summary!$B$55)*T377+Summary!$B$55*V377</f>
        <v/>
      </c>
      <c r="P377">
        <f>IF(B390=0,0,O377/B390)</f>
        <v/>
      </c>
      <c r="Q377" t="n">
        <v>0</v>
      </c>
      <c r="R377" t="n">
        <v>0</v>
      </c>
      <c r="S377" t="n">
        <v>0</v>
      </c>
      <c r="T377" t="n">
        <v>0</v>
      </c>
      <c r="V377" t="n">
        <v>0</v>
      </c>
    </row>
    <row r="379">
      <c r="A379" t="inlineStr">
        <is>
          <t>Attack% Bucket Multiplier</t>
        </is>
      </c>
      <c r="B379">
        <f>(1+(((C361=TRUE)*F361)+((C362=TRUE)*IF(Inputs!$B$38="pvp",F362,(1-Summary!$B$55)*(F362)+Summary!$B$55*(0)))+((C363=TRUE)*F363*IF(AND(Inputs!$B$38&lt;&gt;"pvp",Inputs!$B$43&gt;0),(((R363-1)*(Skills!T15*(1+Inputs!$B$34/100))+MIN((Skills!T15*(1+Inputs!$B$34/100)),MAX(0,Inputs!$B$43-((R363-1)*Skills!D15))))/Inputs!$B$43),IF(Inputs!$B$38="pvp",MIN((Skills!T15*(1+Inputs!$B$34/100)),15)/15,(Skills!T15*(1+Inputs!$B$34/100))/Skills!D15)))+((C360=TRUE)*F360)+((C377=TRUE)*(F377-Calc!F29)))/100)</f>
        <v/>
      </c>
    </row>
    <row r="380">
      <c r="A380" t="inlineStr">
        <is>
          <t>Global Crit Rate Bonus %</t>
        </is>
      </c>
      <c r="B380">
        <f>(C364=TRUE)*20*IF(AND(Inputs!$B$38&lt;&gt;"pvp",Inputs!$B$43&gt;0),(((R364-1)*(Skills!T16*(1+Inputs!$B$34/100))+MIN((Skills!T16*(1+Inputs!$B$34/100)),MAX(0,Inputs!$B$43-((R364-1)*Skills!D16))))/Inputs!$B$43),IF(Inputs!$B$38="pvp",MIN((Skills!T16*(1+Inputs!$B$34/100)),15)/15,(Skills!T16*(1+Inputs!$B$34/100))/Skills!D16))</f>
        <v/>
      </c>
    </row>
    <row r="381">
      <c r="A381" t="inlineStr">
        <is>
          <t>Attack Speed Buff Bonus %</t>
        </is>
      </c>
      <c r="B381">
        <f>((C366=TRUE)*F366*IF(AND(Inputs!$B$38&lt;&gt;"pvp",Inputs!$B$43&gt;0),(((R366-1)*(Skills!T18*(1+Inputs!$B$34/100))+MIN((Skills!T18*(1+Inputs!$B$34/100)),MAX(0,Inputs!$B$43-((R366-1)*Skills!D18))))/Inputs!$B$43),IF(Inputs!$B$38="pvp",MIN((Skills!T18*(1+Inputs!$B$34/100)),15)/15,(Skills!T18*(1+Inputs!$B$34/100))/Skills!D18)))</f>
        <v/>
      </c>
    </row>
    <row r="382">
      <c r="A382" t="inlineStr">
        <is>
          <t>Actions Per Second</t>
        </is>
      </c>
      <c r="B382">
        <f>1+MIN(150,150*(1-(1-(Inputs!$B$11+((C368=TRUE)*(F368-Calc!F20))+((C369=TRUE)*(F369-Calc!F21)))/150)*(1-B381/150)))/100</f>
        <v/>
      </c>
    </row>
    <row r="383">
      <c r="A383" t="inlineStr">
        <is>
          <t>Skill + Buff Cast Rate</t>
        </is>
      </c>
      <c r="B383">
        <f>IF(AND(Inputs!$B$38&lt;&gt;"pvp",Inputs!$B$43&gt;0),SUMPRODUCT((Skills!E2:E29=TRUE)*(C350:C377=TRUE)*R350:R377*Skills!F2:F29)/Inputs!$B$43,SUMPRODUCT((Skills!E2:E29=TRUE)*(C350:C377=TRUE)*Q350:Q377*Skills!F2:F29))</f>
        <v/>
      </c>
    </row>
    <row r="384">
      <c r="A384" t="inlineStr">
        <is>
          <t>Empowered Piercing Arrow Casts Per Second</t>
        </is>
      </c>
      <c r="B384">
        <f>MAX(0,B382-B383)</f>
        <v/>
      </c>
    </row>
    <row r="385">
      <c r="A385" t="inlineStr">
        <is>
          <t>Global Critical Damage Bonus % (Sharp Eyes)</t>
        </is>
      </c>
      <c r="B385">
        <f>(C364=TRUE)*F364*IF(AND(Inputs!$B$38&lt;&gt;"pvp",Inputs!$B$43&gt;0),(((R364-1)*(Skills!T16*(1+Inputs!$B$34/100))+MIN((Skills!T16*(1+Inputs!$B$34/100)),MAX(0,Inputs!$B$43-((R364-1)*Skills!D16))))/Inputs!$B$43),IF(Inputs!$B$38="pvp",MIN((Skills!T16*(1+Inputs!$B$34/100)),15)/15,(Skills!T16*(1+Inputs!$B$34/100))/Skills!D16))</f>
        <v/>
      </c>
    </row>
    <row r="386">
      <c r="A386" t="inlineStr">
        <is>
          <t>Global Final Damage Bonus % (Mortal Blow + Last Man Standing conditional half)</t>
        </is>
      </c>
      <c r="B386">
        <f>(C365=TRUE)*F365+((C374=TRUE)*IF(Inputs!$B$38="pvp",F374,(1-Summary!$B$55)*(F374)+Summary!$B$55*(0)))</f>
        <v/>
      </c>
    </row>
    <row r="387">
      <c r="A387" t="inlineStr">
        <is>
          <t>Buff-Casting Startup Delay (s, fixed-duration only)</t>
        </is>
      </c>
      <c r="B387">
        <f>IF(AND(Inputs!$B$38&lt;&gt;"pvp",Inputs!$B$43&gt;0),SUMPRODUCT((Skills!T2:T29&gt;0)*(Skills!E2:E29=TRUE)*(C350:C377=TRUE))/B382,0)</f>
        <v/>
      </c>
    </row>
    <row r="388">
      <c r="A388" t="inlineStr">
        <is>
          <t>Boss-Only Total DPS (this block's swept value)</t>
        </is>
      </c>
      <c r="B388">
        <f>SUM(T350:T377)</f>
        <v/>
      </c>
    </row>
    <row r="389">
      <c r="A389" t="inlineStr">
        <is>
          <t>Normal-Only Total DPS (this block's swept value)</t>
        </is>
      </c>
      <c r="B389">
        <f>SUM(V350:V377)</f>
        <v/>
      </c>
    </row>
    <row r="390">
      <c r="A390" s="5" t="inlineStr">
        <is>
          <t>TOTAL DPS</t>
        </is>
      </c>
      <c r="B390" s="5">
        <f>SUM(O350:O377)</f>
        <v/>
      </c>
    </row>
    <row r="393">
      <c r="A393" s="5" t="inlineStr">
        <is>
          <t>Stat: MIN_DAMAGE %</t>
        </is>
      </c>
    </row>
    <row r="394">
      <c r="A394" s="9" t="inlineStr">
        <is>
          <t>Key</t>
        </is>
      </c>
      <c r="B394" s="9" t="inlineStr">
        <is>
          <t>Name</t>
        </is>
      </c>
      <c r="C394" s="9" t="inlineStr">
        <is>
          <t>Unlocked</t>
        </is>
      </c>
      <c r="D394" s="9" t="inlineStr">
        <is>
          <t>InputLevel</t>
        </is>
      </c>
      <c r="E394" s="9" t="inlineStr">
        <is>
          <t>Factor</t>
        </is>
      </c>
      <c r="F394" s="9" t="inlineStr">
        <is>
          <t>CoefficientPercent</t>
        </is>
      </c>
      <c r="G394" s="9" t="inlineStr">
        <is>
          <t>EffectiveHits</t>
        </is>
      </c>
      <c r="H394" s="9" t="inlineStr">
        <is>
          <t>ProcProbability</t>
        </is>
      </c>
      <c r="I394" s="9" t="inlineStr">
        <is>
          <t>MapleHeroMultiplier</t>
        </is>
      </c>
      <c r="J394" s="9" t="inlineStr">
        <is>
          <t>BaseDamage</t>
        </is>
      </c>
      <c r="K394" s="9" t="inlineStr">
        <is>
          <t>BaseHitDamage</t>
        </is>
      </c>
      <c r="L394" s="9" t="inlineStr">
        <is>
          <t>NonCritAvg</t>
        </is>
      </c>
      <c r="M394" s="9" t="inlineStr">
        <is>
          <t>CritAvg</t>
        </is>
      </c>
      <c r="N394" s="9" t="inlineStr">
        <is>
          <t>ExpectedDamage(perHit)</t>
        </is>
      </c>
      <c r="O394" s="9" t="inlineStr">
        <is>
          <t>DPS</t>
        </is>
      </c>
      <c r="P394" s="9" t="inlineStr">
        <is>
          <t>% of Total</t>
        </is>
      </c>
      <c r="Q394" s="9" t="inlineStr">
        <is>
          <t>InvCooldown</t>
        </is>
      </c>
      <c r="R394" s="9" t="inlineStr">
        <is>
          <t>CastsInFight</t>
        </is>
      </c>
      <c r="S394" s="9"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((Inputs!$B$6*(1+Inputs!$B$7/100))+(((Inputs!$B$12*(1+Inputs!$B$13/100))-(Inputs!$B$12*(1+Inputs!$B$13/100)))+0.25*(Inputs!$B$14-Inputs!$B$14))*(1+Inputs!$B$7/100))*(F395/100)</f>
        <v/>
      </c>
      <c r="K395">
        <f>J395*(1+((Inputs!$B$12*(1+Inputs!$B$13/100))*0.01+Inputs!$B$14*0.0025)/100)*(1+Inputs!$B$15/100)*(1+Inputs!$B$16/100)*(5000/(6000+Inputs!$B$42*(1-(Inputs!$B$19+0)/100)))*(1+(Inputs!$B$24+((C417=TRUE)*(F417-Calc!F24))+((C418=TRUE)*(F418-Calc!F25))+B431)/100)*(1+(IF(Skills!A2="EMPOWERED_PIERCING_ARROW",Inputs!$B$17+((C415=TRUE)*(F415-Calc!F22)),Inputs!$B$18+((C420=TRUE)*(F420-Calc!F27))))/100)*((1+(((C406=TRUE)*F406)+((C407=TRUE)*IF(Inputs!$B$38="pvp",F407,(1-Summary!$B$55)*(F407)+Summary!$B$55*(0)))+((C408=TRUE)*F408*IF(AND(Inputs!$B$38&lt;&gt;"pvp",Inputs!$B$43&gt;0),(((R408-1)*(Skills!T15*(1+Inputs!$B$34/100))+MIN((Skills!T15*(1+Inputs!$B$34/100)),MAX(0,Inputs!$B$43-((R408-1)*Skills!D15))))/Inputs!$B$43),IF(Inputs!$B$38="pvp",MIN((Skills!T15*(1+Inputs!$B$34/100)),15)/15,(Skills!T15*(1+Inputs!$B$34/100))/Skills!D15)))+((C405=TRUE)*F405)+((C422=TRUE)*(F422-Calc!F29)))/100)*I395)</f>
        <v/>
      </c>
      <c r="L395">
        <f>K395*(MIN((Inputs!$B$22+1)+((C416=TRUE)*(F416-Calc!F23)),Inputs!$B$23+((C421=TRUE)*(F421-Calc!F28)))/100+(Inputs!$B$23+((C421=TRUE)*(F421-Calc!F28)))/100)/2</f>
        <v/>
      </c>
      <c r="M395">
        <f>L395*(1+(Inputs!$B$10+0+B430)/100)</f>
        <v/>
      </c>
      <c r="N395">
        <f>L395*(1-MIN((Inputs!$B$9+((C412=TRUE)*(F412-Calc!F19))+B425),100)/100)+M395*(MIN((Inputs!$B$9+((C412=TRUE)*(F412-Calc!F19))+B425),100)/100)</f>
        <v/>
      </c>
      <c r="O395">
        <f>(1-Summary!$B$55)*T395+Summary!$B$55*V395</f>
        <v/>
      </c>
      <c r="P395">
        <f>IF(B435=0,0,O395/B435)</f>
        <v/>
      </c>
      <c r="Q395" t="n">
        <v>0</v>
      </c>
      <c r="R395" t="n">
        <v>0</v>
      </c>
      <c r="S395">
        <f>IFERROR((Skills!G2*N395*B429)/N395*IF(Inputs!$B$38="pvp",1,(1-Summary!$B$55)*1+Summary!$B$55*(MIN((6+Inputs!$B$33),Inputs!$B$37))),0)</f>
        <v/>
      </c>
      <c r="T395">
        <f>IF(C395,(Skills!G2*N395*B429)*IF(Inputs!$B$38="pvp",1,1+(Inputs!$B$20+0+Skills!P2)/100),0)</f>
        <v/>
      </c>
      <c r="U395">
        <f>MAX(0,(Inputs!$B$3-100)*3)+Inputs!$B$28+Inputs!$B$29</f>
        <v/>
      </c>
      <c r="V395">
        <f>IF(C395,(Skills!G2*N395*B429)*IF(Inputs!$B$38="pvp",1,(1+(Inputs!$B$21+Skills!Q2)/100)*(MIN((6+Inputs!$B$33),Inputs!$B$37))),0)</f>
        <v/>
      </c>
    </row>
    <row r="396">
      <c r="A396">
        <f>Skills!A3</f>
        <v/>
      </c>
      <c r="B396">
        <f>Skills!B3</f>
        <v/>
      </c>
      <c r="C396">
        <f>Inputs!$B$3&gt;=50</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t="inlineStr"/>
      <c r="H396" t="inlineStr"/>
      <c r="I396" t="inlineStr">
        <is>
          <t>1</t>
        </is>
      </c>
      <c r="J396" t="inlineStr"/>
      <c r="K396" t="inlineStr"/>
      <c r="L396" t="inlineStr"/>
      <c r="M396" t="inlineStr"/>
      <c r="N396" t="inlineStr"/>
      <c r="O396" t="inlineStr"/>
      <c r="P396" t="inlineStr"/>
      <c r="Q396" t="inlineStr"/>
      <c r="R396" t="inlineStr"/>
      <c r="S396" t="inlineStr"/>
      <c r="T396" t="inlineStr"/>
      <c r="U396">
        <f>INDEX(FactorTable!$B$2:$Y$301, MATCH(ROUND(MIN(300,MAX(1,U395)),0), FactorTable!$A$2:$A$301,0), 22)</f>
        <v/>
      </c>
      <c r="V396" t="inlineStr"/>
    </row>
    <row r="397">
      <c r="A397">
        <f>Skills!A4</f>
        <v/>
      </c>
      <c r="B397">
        <f>Skills!B4</f>
        <v/>
      </c>
      <c r="C397">
        <f>Inputs!$B$3&gt;=105</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t="inlineStr"/>
      <c r="H397" t="inlineStr"/>
      <c r="I397" t="inlineStr">
        <is>
          <t>1</t>
        </is>
      </c>
      <c r="J397" t="inlineStr"/>
      <c r="K397" t="inlineStr"/>
      <c r="L397" t="inlineStr"/>
      <c r="M397" t="inlineStr"/>
      <c r="N397" t="inlineStr"/>
      <c r="O397" t="inlineStr"/>
      <c r="P397" t="inlineStr"/>
      <c r="Q397" t="inlineStr"/>
      <c r="R397" t="inlineStr"/>
      <c r="S397" t="inlineStr"/>
      <c r="T397" t="inlineStr"/>
      <c r="U397">
        <f>290*U396/1000</f>
        <v/>
      </c>
      <c r="V397" t="inlineStr"/>
    </row>
    <row r="398">
      <c r="A398">
        <f>Skills!A5</f>
        <v/>
      </c>
      <c r="B398">
        <f>Skills!B5</f>
        <v/>
      </c>
      <c r="C398">
        <f>Inputs!$B$3&gt;=35</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f>((Inputs!$B$6*(1+Inputs!$B$7/100))+(((Inputs!$B$12*(1+Inputs!$B$13/100))-(Inputs!$B$12*(1+Inputs!$B$13/100)))+0.25*(Inputs!$B$14-Inputs!$B$14))*(1+Inputs!$B$7/100))*(F398/100)</f>
        <v/>
      </c>
      <c r="K398">
        <f>J398*(1+((Inputs!$B$12*(1+Inputs!$B$13/100))*0.01+Inputs!$B$14*0.0025)/100)*(1+Inputs!$B$15/100)*(1+Inputs!$B$16/100)*(5000/(6000+Inputs!$B$42*(1-(Inputs!$B$19+0)/100)))*(1+(Inputs!$B$24+((C417=TRUE)*(F417-Calc!F24))+((C418=TRUE)*(F418-Calc!F25))+B431)/100)*(1+4.0*IF(C401=TRUE,F401,0)/100)*(1+(IF(Skills!A5="EMPOWERED_PIERCING_ARROW",Inputs!$B$17+((C415=TRUE)*(F415-Calc!F22)),Inputs!$B$18+((C420=TRUE)*(F420-Calc!F27))))/100)*((1+(((C406=TRUE)*F406)+((C407=TRUE)*IF(Inputs!$B$38="pvp",F407,(1-Summary!$B$55)*(F407)+Summary!$B$55*(0)))+((C408=TRUE)*F408*IF(AND(Inputs!$B$38&lt;&gt;"pvp",Inputs!$B$43&gt;0),(((R408-1)*(Skills!T15*(1+Inputs!$B$34/100))+MIN((Skills!T15*(1+Inputs!$B$34/100)),MAX(0,Inputs!$B$43-((R408-1)*Skills!D15))))/Inputs!$B$43),IF(Inputs!$B$38="pvp",MIN((Skills!T15*(1+Inputs!$B$34/100)),15)/15,(Skills!T15*(1+Inputs!$B$34/100))/Skills!D15)))+((C405=TRUE)*F405)+((C422=TRUE)*(F422-Calc!F29)))/100)*I398)</f>
        <v/>
      </c>
      <c r="L398">
        <f>K398*(MIN((Inputs!$B$22+1)+((C416=TRUE)*(F416-Calc!F23)),Inputs!$B$23+((C421=TRUE)*(F421-Calc!F28)))/100+(Inputs!$B$23+((C421=TRUE)*(F421-Calc!F28)))/100)/2</f>
        <v/>
      </c>
      <c r="M398">
        <f>L398*(1+(Inputs!$B$10+0+B430)/100)</f>
        <v/>
      </c>
      <c r="N398">
        <f>L398*(1-MIN((Inputs!$B$9+((C412=TRUE)*(F412-Calc!F19))+B425),100)/100)+M398*(MIN((Inputs!$B$9+((C412=TRUE)*(F412-Calc!F19))+B425),100)/100)</f>
        <v/>
      </c>
      <c r="O398">
        <f>(1-Summary!$B$55)*T398+Summary!$B$55*V398</f>
        <v/>
      </c>
      <c r="P398">
        <f>IF(B435=0,0,O398/B435)</f>
        <v/>
      </c>
      <c r="Q398">
        <f>IFERROR(1/IF(Inputs!$B$38="pvp",15,MAX(0.1,Skills!D5-IF(Skills!E5=TRUE,Inputs!$B$32,0))),0)</f>
        <v/>
      </c>
      <c r="R398">
        <f>IF(AND(Inputs!$B$38&lt;&gt;"pvp",Inputs!$B$43&gt;0),IF(MAX(0,Inputs!$B$43-B432)&lt;=0,0,(INT(MAX(0,Inputs!$B$43-B432)/IF(Inputs!$B$38="pvp",15,MAX(0.1,Skills!D5-IF(Skills!E5=TRUE,Inputs!$B$32,0))))+1)),0)</f>
        <v/>
      </c>
      <c r="S398">
        <f>IFERROR((H398*N398*IF(AND(Inputs!$B$38&lt;&gt;"pvp",Inputs!$B$43&gt;0),((Skills!G5*((R398-1)*IF(Skills!H5&gt;0,Skills!I5/Skills!H5,1)+IF(Skills!H5&gt;0,MIN(Skills!I5,MAX(0,MAX(0,Inputs!$B$43-B432)-((R398-1)*IF(Inputs!$B$38="pvp",15,MAX(0.1,Skills!D5-IF(Skills!E5=TRUE,Inputs!$B$32,0))))))/Skills!H5,1)))/Inputs!$B$43),G398*Q398))/N398*IF(Inputs!$B$38="pvp",1,(1-Summary!$B$55)*1+Summary!$B$55*(MIN(Skills!R5,Inputs!$B$37))),0)</f>
        <v/>
      </c>
      <c r="T398">
        <f>IF(C398,(H398*N398*IF(AND(Inputs!$B$38&lt;&gt;"pvp",Inputs!$B$43&gt;0),((Skills!G5*((R398-1)*IF(Skills!H5&gt;0,Skills!I5/Skills!H5,1)+IF(Skills!H5&gt;0,MIN(Skills!I5,MAX(0,MAX(0,Inputs!$B$43-B432)-((R398-1)*IF(Inputs!$B$38="pvp",15,MAX(0.1,Skills!D5-IF(Skills!E5=TRUE,Inputs!$B$32,0))))))/Skills!H5,1)))/Inputs!$B$43),G398*Q398))*IF(Inputs!$B$38="pvp",1,1+(Inputs!$B$20+0+Skills!P5)/100),0)</f>
        <v/>
      </c>
      <c r="V398">
        <f>IF(C398,(H398*N398*IF(AND(Inputs!$B$38&lt;&gt;"pvp",Inputs!$B$43&gt;0),((Skills!G5*((R398-1)*IF(Skills!H5&gt;0,Skills!I5/Skills!H5,1)+IF(Skills!H5&gt;0,MIN(Skills!I5,MAX(0,MAX(0,Inputs!$B$43-B432)-((R398-1)*IF(Inputs!$B$38="pvp",15,MAX(0.1,Skills!D5-IF(Skills!E5=TRUE,Inputs!$B$32,0))))))/Skills!H5,1)))/Inputs!$B$43),G398*Q398))*IF(Inputs!$B$38="pvp",1,(1+(Inputs!$B$21+Skills!Q5)/100)*(MIN(Skills!R5,Inputs!$B$37))),0)</f>
        <v/>
      </c>
    </row>
    <row r="399">
      <c r="A399">
        <f>Skills!A6</f>
        <v/>
      </c>
      <c r="B399">
        <f>Skills!B6</f>
        <v/>
      </c>
      <c r="C399">
        <f>Inputs!$B$3&gt;=63</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((Inputs!$B$6*(1+Inputs!$B$7/100))+(((Inputs!$B$12*(1+Inputs!$B$13/100))-(Inputs!$B$12*(1+Inputs!$B$13/100)))+0.25*(Inputs!$B$14-Inputs!$B$14))*(1+Inputs!$B$7/100))*(F399/100)</f>
        <v/>
      </c>
      <c r="K399">
        <f>J399*(1+((Inputs!$B$12*(1+Inputs!$B$13/100))*0.01+Inputs!$B$14*0.0025)/100)*(1+Inputs!$B$15/100)*(1+Inputs!$B$16/100)*(5000/(6000+Inputs!$B$42*(1-(Inputs!$B$19+0)/100)))*(1+(Inputs!$B$24+((C417=TRUE)*(F417-Calc!F24))+((C418=TRUE)*(F418-Calc!F25))+B431)/100)*(1+1.0*IF(C401=TRUE,F401,0)/100)*(1+(IF(Skills!A6="EMPOWERED_PIERCING_ARROW",Inputs!$B$17+((C415=TRUE)*(F415-Calc!F22)),Inputs!$B$18+((C420=TRUE)*(F420-Calc!F27))))/100)*((1+(((C406=TRUE)*F406)+((C407=TRUE)*IF(Inputs!$B$38="pvp",F407,(1-Summary!$B$55)*(F407)+Summary!$B$55*(0)))+((C408=TRUE)*F408*IF(AND(Inputs!$B$38&lt;&gt;"pvp",Inputs!$B$43&gt;0),(((R408-1)*(Skills!T15*(1+Inputs!$B$34/100))+MIN((Skills!T15*(1+Inputs!$B$34/100)),MAX(0,Inputs!$B$43-((R408-1)*Skills!D15))))/Inputs!$B$43),IF(Inputs!$B$38="pvp",MIN((Skills!T15*(1+Inputs!$B$34/100)),15)/15,(Skills!T15*(1+Inputs!$B$34/100))/Skills!D15)))+((C405=TRUE)*F405)+((C422=TRUE)*(F422-Calc!F29)))/100)*I399)</f>
        <v/>
      </c>
      <c r="L399">
        <f>K399*(MIN((Inputs!$B$22+1)+((C416=TRUE)*(F416-Calc!F23)),Inputs!$B$23+((C421=TRUE)*(F421-Calc!F28)))/100+(Inputs!$B$23+((C421=TRUE)*(F421-Calc!F28)))/100)/2</f>
        <v/>
      </c>
      <c r="M399">
        <f>L399*(1+(Inputs!$B$10+0+B430)/100)</f>
        <v/>
      </c>
      <c r="N399">
        <f>L399*(1-MIN((Inputs!$B$9+((C412=TRUE)*(F412-Calc!F19))+B425),100)/100)+M399*(MIN((Inputs!$B$9+((C412=TRUE)*(F412-Calc!F19))+B425),100)/100)</f>
        <v/>
      </c>
      <c r="O399">
        <f>(1-Summary!$B$55)*T399+Summary!$B$55*V399</f>
        <v/>
      </c>
      <c r="P399">
        <f>IF(B435=0,0,O399/B435)</f>
        <v/>
      </c>
      <c r="Q399">
        <f>IFERROR(1/IF(Inputs!$B$38="pvp",15,MAX(0.1,Skills!D6-IF(Skills!E6=TRUE,Inputs!$B$32,0))),0)</f>
        <v/>
      </c>
      <c r="R399">
        <f>IF(AND(Inputs!$B$38&lt;&gt;"pvp",Inputs!$B$43&gt;0),IF(MAX(0,Inputs!$B$43-B432)&lt;=0,0,(INT(MAX(0,Inputs!$B$43-B432)/IF(Inputs!$B$38="pvp",15,MAX(0.1,Skills!D6-IF(Skills!E6=TRUE,Inputs!$B$32,0))))+1)),0)</f>
        <v/>
      </c>
      <c r="S399">
        <f>IFERROR((H399*N399*IF(AND(Inputs!$B$38&lt;&gt;"pvp",Inputs!$B$43&gt;0),((Skills!G6*((R399-1)*IF(Skills!H6&gt;0,Skills!I6/Skills!H6,1)+IF(Skills!H6&gt;0,MIN(Skills!I6,MAX(0,MAX(0,Inputs!$B$43-B432)-((R399-1)*IF(Inputs!$B$38="pvp",15,MAX(0.1,Skills!D6-IF(Skills!E6=TRUE,Inputs!$B$32,0))))))/Skills!H6,1)))/Inputs!$B$43),G399*Q399))/N399*IF(Inputs!$B$38="pvp",1,(1-Summary!$B$55)*1+Summary!$B$55*(MIN(Skills!R6,Inputs!$B$37))),0)</f>
        <v/>
      </c>
      <c r="T399">
        <f>IF(C399,(H399*N399*IF(AND(Inputs!$B$38&lt;&gt;"pvp",Inputs!$B$43&gt;0),((Skills!G6*((R399-1)*IF(Skills!H6&gt;0,Skills!I6/Skills!H6,1)+IF(Skills!H6&gt;0,MIN(Skills!I6,MAX(0,MAX(0,Inputs!$B$43-B432)-((R399-1)*IF(Inputs!$B$38="pvp",15,MAX(0.1,Skills!D6-IF(Skills!E6=TRUE,Inputs!$B$32,0))))))/Skills!H6,1)))/Inputs!$B$43),G399*Q399))*IF(Inputs!$B$38="pvp",1,1+(Inputs!$B$20+0+Skills!P6)/100),0)</f>
        <v/>
      </c>
      <c r="V399">
        <f>IF(C399,(H399*N399*IF(AND(Inputs!$B$38&lt;&gt;"pvp",Inputs!$B$43&gt;0),((Skills!G6*((R399-1)*IF(Skills!H6&gt;0,Skills!I6/Skills!H6,1)+IF(Skills!H6&gt;0,MIN(Skills!I6,MAX(0,MAX(0,Inputs!$B$43-B432)-((R399-1)*IF(Inputs!$B$38="pvp",15,MAX(0.1,Skills!D6-IF(Skills!E6=TRUE,Inputs!$B$32,0))))))/Skills!H6,1)))/Inputs!$B$43),G399*Q399))*IF(Inputs!$B$38="pvp",1,(1+(Inputs!$B$21+Skills!Q6)/100)*(MIN(Skills!R6,Inputs!$B$37))),0)</f>
        <v/>
      </c>
    </row>
    <row r="400">
      <c r="A400">
        <f>Skills!A7</f>
        <v/>
      </c>
      <c r="B400">
        <f>Skills!B7</f>
        <v/>
      </c>
      <c r="C400">
        <f>Inputs!$B$3&gt;=69</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((Inputs!$B$6*(1+Inputs!$B$7/100))+(((Inputs!$B$12*(1+Inputs!$B$13/100))-(Inputs!$B$12*(1+Inputs!$B$13/100)))+0.25*(Inputs!$B$14-Inputs!$B$14))*(1+Inputs!$B$7/100))*(F400/100)</f>
        <v/>
      </c>
      <c r="K400">
        <f>J400*(1+((Inputs!$B$12*(1+Inputs!$B$13/100))*0.01+Inputs!$B$14*0.0025)/100)*(1+Inputs!$B$15/100)*(1+Inputs!$B$16/100)*(5000/(6000+Inputs!$B$42*(1-(Inputs!$B$19+0)/100)))*(1+(Inputs!$B$24+((C417=TRUE)*(F417-Calc!F24))+((C418=TRUE)*(F418-Calc!F25))+B431)/100)*(1+1.2*IF(C401=TRUE,F401,0)/100)*(1+(IF(Skills!A7="EMPOWERED_PIERCING_ARROW",Inputs!$B$17+((C415=TRUE)*(F415-Calc!F22)),Inputs!$B$18+((C420=TRUE)*(F420-Calc!F27))))/100)*((1+(((C406=TRUE)*F406)+((C407=TRUE)*IF(Inputs!$B$38="pvp",F407,(1-Summary!$B$55)*(F407)+Summary!$B$55*(0)))+((C408=TRUE)*F408*IF(AND(Inputs!$B$38&lt;&gt;"pvp",Inputs!$B$43&gt;0),(((R408-1)*(Skills!T15*(1+Inputs!$B$34/100))+MIN((Skills!T15*(1+Inputs!$B$34/100)),MAX(0,Inputs!$B$43-((R408-1)*Skills!D15))))/Inputs!$B$43),IF(Inputs!$B$38="pvp",MIN((Skills!T15*(1+Inputs!$B$34/100)),15)/15,(Skills!T15*(1+Inputs!$B$34/100))/Skills!D15)))+((C405=TRUE)*F405)+((C422=TRUE)*(F422-Calc!F29)))/100)*I400)</f>
        <v/>
      </c>
      <c r="L400">
        <f>K400*(MIN((Inputs!$B$22+1)+((C416=TRUE)*(F416-Calc!F23)),Inputs!$B$23+((C421=TRUE)*(F421-Calc!F28)))/100+(Inputs!$B$23+((C421=TRUE)*(F421-Calc!F28)))/100)/2</f>
        <v/>
      </c>
      <c r="M400">
        <f>L400*(1+(Inputs!$B$10+0+B430)/100)</f>
        <v/>
      </c>
      <c r="N400">
        <f>L400*(1-MIN((Inputs!$B$9+((C412=TRUE)*(F412-Calc!F19))+B425),100)/100)+M400*(MIN((Inputs!$B$9+((C412=TRUE)*(F412-Calc!F19))+B425),100)/100)</f>
        <v/>
      </c>
      <c r="O400">
        <f>(1-Summary!$B$55)*T400+Summary!$B$55*V400</f>
        <v/>
      </c>
      <c r="P400">
        <f>IF(B435=0,0,O400/B435)</f>
        <v/>
      </c>
      <c r="Q400">
        <f>IFERROR(1/IF(Inputs!$B$38="pvp",15,MAX(0.1,Skills!D7-IF(Skills!E7=TRUE,Inputs!$B$32,0))),0)</f>
        <v/>
      </c>
      <c r="R400">
        <f>IF(AND(Inputs!$B$38&lt;&gt;"pvp",Inputs!$B$43&gt;0),IF(MAX(0,Inputs!$B$43-B432)&lt;=0,0,(INT(MAX(0,Inputs!$B$43-B432)/IF(Inputs!$B$38="pvp",15,MAX(0.1,Skills!D7-IF(Skills!E7=TRUE,Inputs!$B$32,0))))+1)),0)</f>
        <v/>
      </c>
      <c r="S400">
        <f>IFERROR((H400*N400*IF(AND(Inputs!$B$38&lt;&gt;"pvp",Inputs!$B$43&gt;0),((Skills!G7*((R400-1)*IF(Skills!H7&gt;0,Skills!I7/Skills!H7,1)+IF(Skills!H7&gt;0,MIN(Skills!I7,MAX(0,MAX(0,Inputs!$B$43-B432)-((R400-1)*IF(Inputs!$B$38="pvp",15,MAX(0.1,Skills!D7-IF(Skills!E7=TRUE,Inputs!$B$32,0))))))/Skills!H7,1)))/Inputs!$B$43),G400*Q400))/N400*IF(Inputs!$B$38="pvp",1,(1-Summary!$B$55)*1+Summary!$B$55*(MIN(Skills!R7,Inputs!$B$37))),0)</f>
        <v/>
      </c>
      <c r="T400">
        <f>IF(C400,(H400*N400*IF(AND(Inputs!$B$38&lt;&gt;"pvp",Inputs!$B$43&gt;0),((Skills!G7*((R400-1)*IF(Skills!H7&gt;0,Skills!I7/Skills!H7,1)+IF(Skills!H7&gt;0,MIN(Skills!I7,MAX(0,MAX(0,Inputs!$B$43-B432)-((R400-1)*IF(Inputs!$B$38="pvp",15,MAX(0.1,Skills!D7-IF(Skills!E7=TRUE,Inputs!$B$32,0))))))/Skills!H7,1)))/Inputs!$B$43),G400*Q400))*IF(Inputs!$B$38="pvp",1,1+(Inputs!$B$20+0+Skills!P7)/100),0)</f>
        <v/>
      </c>
      <c r="V400">
        <f>IF(C400,(H400*N400*IF(AND(Inputs!$B$38&lt;&gt;"pvp",Inputs!$B$43&gt;0),((Skills!G7*((R400-1)*IF(Skills!H7&gt;0,Skills!I7/Skills!H7,1)+IF(Skills!H7&gt;0,MIN(Skills!I7,MAX(0,MAX(0,Inputs!$B$43-B432)-((R400-1)*IF(Inputs!$B$38="pvp",15,MAX(0.1,Skills!D7-IF(Skills!E7=TRUE,Inputs!$B$32,0))))))/Skills!H7,1)))/Inputs!$B$43),G400*Q400))*IF(Inputs!$B$38="pvp",1,(1+(Inputs!$B$21+Skills!Q7)/100)*(MIN(Skills!R7,Inputs!$B$37))),0)</f>
        <v/>
      </c>
    </row>
    <row r="401">
      <c r="A401">
        <f>Skills!A8</f>
        <v/>
      </c>
      <c r="B401">
        <f>Skills!B8</f>
        <v/>
      </c>
      <c r="C401">
        <f>Inputs!$B$3&gt;=100</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t="inlineStr"/>
      <c r="H401" t="inlineStr"/>
      <c r="I401" t="inlineStr">
        <is>
          <t>1</t>
        </is>
      </c>
      <c r="J401" t="inlineStr"/>
      <c r="K401" t="inlineStr"/>
      <c r="L401" t="inlineStr"/>
      <c r="M401" t="inlineStr"/>
      <c r="N401" t="inlineStr"/>
      <c r="O401" t="inlineStr"/>
      <c r="P401" t="inlineStr"/>
      <c r="Q401" t="inlineStr"/>
      <c r="R401" t="inlineStr"/>
      <c r="S401" t="inlineStr"/>
      <c r="T401" t="inlineStr"/>
      <c r="V401" t="inlineStr"/>
    </row>
    <row r="402">
      <c r="A402">
        <f>Skills!A9</f>
        <v/>
      </c>
      <c r="B402">
        <f>Skills!B9</f>
        <v/>
      </c>
      <c r="C402">
        <f>Inputs!$B$3&gt;=103</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((Inputs!$B$6*(1+Inputs!$B$7/100))+(((Inputs!$B$12*(1+Inputs!$B$13/100))-(Inputs!$B$12*(1+Inputs!$B$13/100)))+0.25*(Inputs!$B$14-Inputs!$B$14))*(1+Inputs!$B$7/100))*(F402/100)</f>
        <v/>
      </c>
      <c r="K402">
        <f>J402*(1+((Inputs!$B$12*(1+Inputs!$B$13/100))*0.01+Inputs!$B$14*0.0025)/100)*(1+Inputs!$B$15/100)*(1+Inputs!$B$16/100)*(5000/(6000+Inputs!$B$42*(1-(Inputs!$B$19+0)/100)))*(1+(Inputs!$B$24+((C417=TRUE)*(F417-Calc!F24))+((C418=TRUE)*(F418-Calc!F25))+B431)/100)*(1+(IF(Skills!A9="EMPOWERED_PIERCING_ARROW",Inputs!$B$17+((C415=TRUE)*(F415-Calc!F22)),Inputs!$B$18+((C420=TRUE)*(F420-Calc!F27))))/100)*((1+(((C406=TRUE)*F406)+((C407=TRUE)*IF(Inputs!$B$38="pvp",F407,(1-Summary!$B$55)*(F407)+Summary!$B$55*(0)))+((C408=TRUE)*F408*IF(AND(Inputs!$B$38&lt;&gt;"pvp",Inputs!$B$43&gt;0),(((R408-1)*(Skills!T15*(1+Inputs!$B$34/100))+MIN((Skills!T15*(1+Inputs!$B$34/100)),MAX(0,Inputs!$B$43-((R408-1)*Skills!D15))))/Inputs!$B$43),IF(Inputs!$B$38="pvp",MIN((Skills!T15*(1+Inputs!$B$34/100)),15)/15,(Skills!T15*(1+Inputs!$B$34/100))/Skills!D15)))+((C405=TRUE)*F405)+((C422=TRUE)*(F422-Calc!F29)))/100)*I402)</f>
        <v/>
      </c>
      <c r="L402">
        <f>K402*(MIN((Inputs!$B$22+1)+((C416=TRUE)*(F416-Calc!F23)),Inputs!$B$23+((C421=TRUE)*(F421-Calc!F28)))/100+(Inputs!$B$23+((C421=TRUE)*(F421-Calc!F28)))/100)/2</f>
        <v/>
      </c>
      <c r="M402">
        <f>L402*(1+(Inputs!$B$10+0+B430)/100)</f>
        <v/>
      </c>
      <c r="N402">
        <f>L402*(1-MIN((Inputs!$B$9+((C412=TRUE)*(F412-Calc!F19))+B425),100)/100)+M402*(MIN((Inputs!$B$9+((C412=TRUE)*(F412-Calc!F19))+B425),100)/100)</f>
        <v/>
      </c>
      <c r="O402">
        <f>(1-Summary!$B$55)*T402+Summary!$B$55*V402</f>
        <v/>
      </c>
      <c r="P402">
        <f>IF(B435=0,0,O402/B435)</f>
        <v/>
      </c>
      <c r="Q402">
        <f>IFERROR(1/IF(Inputs!$B$38="pvp",15,MAX(0.1,Skills!D9-IF(Skills!E9=TRUE,Inputs!$B$32,0))),0)</f>
        <v/>
      </c>
      <c r="R402">
        <f>IF(AND(Inputs!$B$38&lt;&gt;"pvp",Inputs!$B$43&gt;0),IF(MAX(0,Inputs!$B$43-B432)&lt;=0,0,(INT(MAX(0,Inputs!$B$43-B432)/IF(Inputs!$B$38="pvp",15,MAX(0.1,Skills!D9-IF(Skills!E9=TRUE,Inputs!$B$32,0))))+1)),0)</f>
        <v/>
      </c>
      <c r="S402">
        <f>IFERROR((H402*N402*IF(AND(Inputs!$B$38&lt;&gt;"pvp",Inputs!$B$43&gt;0),((Skills!G9*((R402-1)*IF(Skills!H9&gt;0,Skills!I9/Skills!H9,1)+IF(Skills!H9&gt;0,MIN(Skills!I9,MAX(0,MAX(0,Inputs!$B$43-B432)-((R402-1)*IF(Inputs!$B$38="pvp",15,MAX(0.1,Skills!D9-IF(Skills!E9=TRUE,Inputs!$B$32,0))))))/Skills!H9,1)))/Inputs!$B$43),G402*Q402))/N402*IF(Inputs!$B$38="pvp",1,(1-Summary!$B$55)*1+Summary!$B$55*(MIN(Skills!R9,Inputs!$B$37))),0)</f>
        <v/>
      </c>
      <c r="T402">
        <f>IF(C402,(H402*N402*IF(AND(Inputs!$B$38&lt;&gt;"pvp",Inputs!$B$43&gt;0),((Skills!G9*((R402-1)*IF(Skills!H9&gt;0,Skills!I9/Skills!H9,1)+IF(Skills!H9&gt;0,MIN(Skills!I9,MAX(0,MAX(0,Inputs!$B$43-B432)-((R402-1)*IF(Inputs!$B$38="pvp",15,MAX(0.1,Skills!D9-IF(Skills!E9=TRUE,Inputs!$B$32,0))))))/Skills!H9,1)))/Inputs!$B$43),G402*Q402))*IF(Inputs!$B$38="pvp",1,1+(Inputs!$B$20+0+Skills!P9)/100),0)</f>
        <v/>
      </c>
      <c r="V402">
        <f>IF(C402,(H402*N402*IF(AND(Inputs!$B$38&lt;&gt;"pvp",Inputs!$B$43&gt;0),((Skills!G9*((R402-1)*IF(Skills!H9&gt;0,Skills!I9/Skills!H9,1)+IF(Skills!H9&gt;0,MIN(Skills!I9,MAX(0,MAX(0,Inputs!$B$43-B432)-((R402-1)*IF(Inputs!$B$38="pvp",15,MAX(0.1,Skills!D9-IF(Skills!E9=TRUE,Inputs!$B$32,0))))))/Skills!H9,1)))/Inputs!$B$43),G402*Q402))*IF(Inputs!$B$38="pvp",1,(1+(Inputs!$B$21+Skills!Q9)/100)*(MIN(Skills!R9,Inputs!$B$37))),0)</f>
        <v/>
      </c>
    </row>
    <row r="403">
      <c r="A403">
        <f>Skills!A10</f>
        <v/>
      </c>
      <c r="B403">
        <f>Skills!B10</f>
        <v/>
      </c>
      <c r="C403">
        <f>Inputs!$B$3&gt;=107</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((Inputs!$B$6*(1+Inputs!$B$7/100))+(((Inputs!$B$12*(1+Inputs!$B$13/100))-(Inputs!$B$12*(1+Inputs!$B$13/100)))+0.25*(Inputs!$B$14-Inputs!$B$14))*(1+Inputs!$B$7/100))*(F403/100)</f>
        <v/>
      </c>
      <c r="K403">
        <f>J403*(1+((Inputs!$B$12*(1+Inputs!$B$13/100))*0.01+Inputs!$B$14*0.0025)/100)*(1+Inputs!$B$15/100)*(1+Inputs!$B$16/100)*(5000/(6000+Inputs!$B$42*(1-(Inputs!$B$19+0)/100)))*(1+(Inputs!$B$24+((C417=TRUE)*(F417-Calc!F24))+((C418=TRUE)*(F418-Calc!F25))+B431)/100)*(1+(IF(Skills!A10="EMPOWERED_PIERCING_ARROW",Inputs!$B$17+((C415=TRUE)*(F415-Calc!F22)),Inputs!$B$18+((C420=TRUE)*(F420-Calc!F27))))/100)*((1+(((C406=TRUE)*F406)+((C407=TRUE)*IF(Inputs!$B$38="pvp",F407,(1-Summary!$B$55)*(F407)+Summary!$B$55*(0)))+((C408=TRUE)*F408*IF(AND(Inputs!$B$38&lt;&gt;"pvp",Inputs!$B$43&gt;0),(((R408-1)*(Skills!T15*(1+Inputs!$B$34/100))+MIN((Skills!T15*(1+Inputs!$B$34/100)),MAX(0,Inputs!$B$43-((R408-1)*Skills!D15))))/Inputs!$B$43),IF(Inputs!$B$38="pvp",MIN((Skills!T15*(1+Inputs!$B$34/100)),15)/15,(Skills!T15*(1+Inputs!$B$34/100))/Skills!D15)))+((C405=TRUE)*F405)+((C422=TRUE)*(F422-Calc!F29)))/100)*I403)</f>
        <v/>
      </c>
      <c r="L403">
        <f>K403*(MIN((Inputs!$B$22+1)+((C416=TRUE)*(F416-Calc!F23)),Inputs!$B$23+((C421=TRUE)*(F421-Calc!F28)))/100+(Inputs!$B$23+((C421=TRUE)*(F421-Calc!F28)))/100)/2</f>
        <v/>
      </c>
      <c r="M403">
        <f>L403*(1+(Inputs!$B$10+0+B430)/100)</f>
        <v/>
      </c>
      <c r="N403">
        <f>L403*(1-MIN((Inputs!$B$9+((C412=TRUE)*(F412-Calc!F19))+B425),100)/100)+M403*(MIN((Inputs!$B$9+((C412=TRUE)*(F412-Calc!F19))+B425),100)/100)</f>
        <v/>
      </c>
      <c r="O403">
        <f>(1-Summary!$B$55)*T403+Summary!$B$55*V403</f>
        <v/>
      </c>
      <c r="P403">
        <f>IF(B435=0,0,O403/B435)</f>
        <v/>
      </c>
      <c r="Q403" t="n">
        <v>0</v>
      </c>
      <c r="R403" t="n">
        <v>0</v>
      </c>
      <c r="S403" t="n">
        <v>0</v>
      </c>
      <c r="T403">
        <f>IF(C403,(0.15*SUMPRODUCT((Skills!U2:U29=TRUE)*(C395:C422=TRUE)*S395:S422)*Skills!G10*N403)*IF(Inputs!$B$38="pvp",1,1+(Inputs!$B$20+0+Skills!P10)/100),0)</f>
        <v/>
      </c>
      <c r="V403">
        <f>IF(C403,(0.15*SUMPRODUCT((Skills!U2:U29=TRUE)*(C395:C422=TRUE)*S395:S422)*Skills!G10*N403)*IF(Inputs!$B$38="pvp",1,(1+(Inputs!$B$21+Skills!Q10)/100)*(MIN(Skills!R10,Inputs!$B$37))),0)</f>
        <v/>
      </c>
    </row>
    <row r="404">
      <c r="A404">
        <f>Skills!A11</f>
        <v/>
      </c>
      <c r="B404">
        <f>Skills!B11</f>
        <v/>
      </c>
      <c r="C404">
        <f>Inputs!$B$3&gt;=110</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((Inputs!$B$6*(1+Inputs!$B$7/100))+(((Inputs!$B$12*(1+Inputs!$B$13/100))-(Inputs!$B$12*(1+Inputs!$B$13/100)))+0.25*(Inputs!$B$14-Inputs!$B$14))*(1+Inputs!$B$7/100))*(F404/100)</f>
        <v/>
      </c>
      <c r="K404">
        <f>J404*(1+((Inputs!$B$12*(1+Inputs!$B$13/100))*0.01+Inputs!$B$14*0.0025)/100)*(1+Inputs!$B$15/100)*(1+Inputs!$B$16/100)*(5000/(6000+Inputs!$B$42*(1-(Inputs!$B$19+0)/100)))*(1+(Inputs!$B$24+((C417=TRUE)*(F417-Calc!F24))+((C418=TRUE)*(F418-Calc!F25))+B431)/100)*(1+(IF(Skills!A11="EMPOWERED_PIERCING_ARROW",Inputs!$B$17+((C415=TRUE)*(F415-Calc!F22)),Inputs!$B$18+((C420=TRUE)*(F420-Calc!F27))))/100)*((1+(((C406=TRUE)*F406)+((C407=TRUE)*IF(Inputs!$B$38="pvp",F407,(1-Summary!$B$55)*(F407)+Summary!$B$55*(0)))+((C408=TRUE)*F408*IF(AND(Inputs!$B$38&lt;&gt;"pvp",Inputs!$B$43&gt;0),(((R408-1)*(Skills!T15*(1+Inputs!$B$34/100))+MIN((Skills!T15*(1+Inputs!$B$34/100)),MAX(0,Inputs!$B$43-((R408-1)*Skills!D15))))/Inputs!$B$43),IF(Inputs!$B$38="pvp",MIN((Skills!T15*(1+Inputs!$B$34/100)),15)/15,(Skills!T15*(1+Inputs!$B$34/100))/Skills!D15)))+((C405=TRUE)*F405)+((C422=TRUE)*(F422-Calc!F29)))/100)*I404)</f>
        <v/>
      </c>
      <c r="L404">
        <f>K404*(MIN((Inputs!$B$22+1)+((C416=TRUE)*(F416-Calc!F23)),Inputs!$B$23+((C421=TRUE)*(F421-Calc!F28)))/100+(Inputs!$B$23+((C421=TRUE)*(F421-Calc!F28)))/100)/2</f>
        <v/>
      </c>
      <c r="M404">
        <f>L404*(1+(Inputs!$B$10+0+B430)/100)</f>
        <v/>
      </c>
      <c r="N404">
        <f>L404*(1-MIN((Inputs!$B$9+((C412=TRUE)*(F412-Calc!F19))+B425),100)/100)+M404*(MIN((Inputs!$B$9+((C412=TRUE)*(F412-Calc!F19))+B425),100)/100)</f>
        <v/>
      </c>
      <c r="O404">
        <f>(1-Summary!$B$55)*T404+Summary!$B$55*V404</f>
        <v/>
      </c>
      <c r="P404">
        <f>IF(B435=0,0,O404/B435)</f>
        <v/>
      </c>
      <c r="Q404">
        <f>IFERROR(1/IF(Inputs!$B$38="pvp",15,MAX(0.1,Skills!D11-IF(Skills!E11=TRUE,Inputs!$B$32,0))),0)</f>
        <v/>
      </c>
      <c r="R404">
        <f>IF(AND(Inputs!$B$38&lt;&gt;"pvp",Inputs!$B$43&gt;0),IF(MAX(0,Inputs!$B$43-B432)&lt;=0,0,(INT(MAX(0,Inputs!$B$43-B432)/IF(Inputs!$B$38="pvp",15,MAX(0.1,Skills!D11-IF(Skills!E11=TRUE,Inputs!$B$32,0))))+1)),0)</f>
        <v/>
      </c>
      <c r="S404">
        <f>IFERROR((H404*N404*IF(AND(Inputs!$B$38&lt;&gt;"pvp",Inputs!$B$43&gt;0),((Skills!G11*((R404-1)*IF(Skills!H11&gt;0,Skills!I11/Skills!H11,1)+IF(Skills!H11&gt;0,MIN(Skills!I11,MAX(0,MAX(0,Inputs!$B$43-B432)-((R404-1)*IF(Inputs!$B$38="pvp",15,MAX(0.1,Skills!D11-IF(Skills!E11=TRUE,Inputs!$B$32,0))))))/Skills!H11,1)))/Inputs!$B$43),G404*Q404))/N404*IF(Inputs!$B$38="pvp",1,(1-Summary!$B$55)*1+Summary!$B$55*(MIN(Skills!R11,Inputs!$B$37))),0)</f>
        <v/>
      </c>
      <c r="T404">
        <f>IF(C404,(H404*N404*IF(AND(Inputs!$B$38&lt;&gt;"pvp",Inputs!$B$43&gt;0),((Skills!G11*((R404-1)*IF(Skills!H11&gt;0,Skills!I11/Skills!H11,1)+IF(Skills!H11&gt;0,MIN(Skills!I11,MAX(0,MAX(0,Inputs!$B$43-B432)-((R404-1)*IF(Inputs!$B$38="pvp",15,MAX(0.1,Skills!D11-IF(Skills!E11=TRUE,Inputs!$B$32,0))))))/Skills!H11,1)))/Inputs!$B$43),G404*Q404))*IF(Inputs!$B$38="pvp",1,1+(Inputs!$B$20+0+Skills!P11)/100),0)</f>
        <v/>
      </c>
      <c r="V404">
        <f>IF(C404,(H404*N404*IF(AND(Inputs!$B$38&lt;&gt;"pvp",Inputs!$B$43&gt;0),((Skills!G11*((R404-1)*IF(Skills!H11&gt;0,Skills!I11/Skills!H11,1)+IF(Skills!H11&gt;0,MIN(Skills!I11,MAX(0,MAX(0,Inputs!$B$43-B432)-((R404-1)*IF(Inputs!$B$38="pvp",15,MAX(0.1,Skills!D11-IF(Skills!E11=TRUE,Inputs!$B$32,0))))))/Skills!H11,1)))/Inputs!$B$43),G404*Q404))*IF(Inputs!$B$38="pvp",1,(1+(Inputs!$B$21+Skills!Q11)/100)*(MIN(Skills!R11,Inputs!$B$37))),0)</f>
        <v/>
      </c>
    </row>
    <row r="405">
      <c r="A405">
        <f>Skills!A12</f>
        <v/>
      </c>
      <c r="B405">
        <f>Skills!B12</f>
        <v/>
      </c>
      <c r="C405">
        <f>Inputs!$B$3&gt;=60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f>Skills!G12*IF(Skills!H12&gt;0,Skills!I12/Skills!H12,1)</f>
        <v/>
      </c>
      <c r="H405">
        <f>1-(1-Skills!J12/100)^Skills!K12</f>
        <v/>
      </c>
      <c r="I405" t="inlineStr">
        <is>
          <t>1</t>
        </is>
      </c>
      <c r="J405" t="inlineStr"/>
      <c r="K405" t="inlineStr"/>
      <c r="L405" t="inlineStr"/>
      <c r="M405" t="inlineStr"/>
      <c r="N405" t="inlineStr"/>
      <c r="O405">
        <f>(1-Summary!$B$55)*T405+Summary!$B$55*V405</f>
        <v/>
      </c>
      <c r="P405">
        <f>IF(B435=0,0,O405/B435)</f>
        <v/>
      </c>
      <c r="Q405" t="n">
        <v>0</v>
      </c>
      <c r="R405" t="n">
        <v>0</v>
      </c>
      <c r="S405" t="n">
        <v>0</v>
      </c>
      <c r="T405" t="n">
        <v>0</v>
      </c>
      <c r="V405" t="n">
        <v>0</v>
      </c>
    </row>
    <row r="406">
      <c r="A406">
        <f>Skills!A13</f>
        <v/>
      </c>
      <c r="B406">
        <f>Skills!B13</f>
        <v/>
      </c>
      <c r="C406">
        <f>Inputs!$B$3&gt;=74</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f>(1-Summary!$B$55)*T406+Summary!$B$55*V406</f>
        <v/>
      </c>
      <c r="P406">
        <f>IF(B435=0,0,O406/B435)</f>
        <v/>
      </c>
      <c r="Q406" t="n">
        <v>0</v>
      </c>
      <c r="R406" t="n">
        <v>0</v>
      </c>
      <c r="S406" t="n">
        <v>0</v>
      </c>
      <c r="T406" t="n">
        <v>0</v>
      </c>
      <c r="V406" t="n">
        <v>0</v>
      </c>
    </row>
    <row r="407">
      <c r="A407">
        <f>Skills!A14</f>
        <v/>
      </c>
      <c r="B407">
        <f>Skills!B14</f>
        <v/>
      </c>
      <c r="C407">
        <f>Inputs!$B$3&gt;=74</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f>(1-Summary!$B$55)*T407+Summary!$B$55*V407</f>
        <v/>
      </c>
      <c r="P407">
        <f>IF(B435=0,0,O407/B435)</f>
        <v/>
      </c>
      <c r="Q407" t="n">
        <v>0</v>
      </c>
      <c r="R407" t="n">
        <v>0</v>
      </c>
      <c r="S407" t="n">
        <v>0</v>
      </c>
      <c r="T407" t="n">
        <v>0</v>
      </c>
      <c r="V407" t="n">
        <v>0</v>
      </c>
    </row>
    <row r="408">
      <c r="A408">
        <f>Skills!A15</f>
        <v/>
      </c>
      <c r="B408">
        <f>Skills!B15</f>
        <v/>
      </c>
      <c r="C408">
        <f>Inputs!$B$3&gt;=117</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f>(1-Summary!$B$55)*T408+Summary!$B$55*V408</f>
        <v/>
      </c>
      <c r="P408">
        <f>IF(B435=0,0,O408/B435)</f>
        <v/>
      </c>
      <c r="Q408">
        <f>IFERROR(1/IF(Inputs!$B$38="pvp",15,MAX(0.1,Skills!D15-IF(Skills!E15=TRUE,Inputs!$B$32,0))),0)</f>
        <v/>
      </c>
      <c r="R408">
        <f>IF(AND(Inputs!$B$38&lt;&gt;"pvp",Inputs!$B$43&gt;0),IF(Inputs!$B$43&lt;=0,0,(INT(Inputs!$B$43/IF(Inputs!$B$38="pvp",15,MAX(0.1,Skills!D15-IF(Skills!E15=TRUE,Inputs!$B$32,0))))+1)),0)</f>
        <v/>
      </c>
      <c r="S408" t="n">
        <v>0</v>
      </c>
      <c r="T408" t="n">
        <v>0</v>
      </c>
      <c r="V408" t="n">
        <v>0</v>
      </c>
    </row>
    <row r="409">
      <c r="A409">
        <f>Skills!A16</f>
        <v/>
      </c>
      <c r="B409">
        <f>Skills!B16</f>
        <v/>
      </c>
      <c r="C409">
        <f>Inputs!$B$3&gt;=115</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f>(1-Summary!$B$55)*T409+Summary!$B$55*V409</f>
        <v/>
      </c>
      <c r="P409">
        <f>IF(B435=0,0,O409/B435)</f>
        <v/>
      </c>
      <c r="Q409">
        <f>IFERROR(1/IF(Inputs!$B$38="pvp",15,MAX(0.1,Skills!D16-IF(Skills!E16=TRUE,Inputs!$B$32,0))),0)</f>
        <v/>
      </c>
      <c r="R409">
        <f>IF(AND(Inputs!$B$38&lt;&gt;"pvp",Inputs!$B$43&gt;0),IF(Inputs!$B$43&lt;=0,0,(INT(Inputs!$B$43/IF(Inputs!$B$38="pvp",15,MAX(0.1,Skills!D16-IF(Skills!E16=TRUE,Inputs!$B$32,0))))+1)),0)</f>
        <v/>
      </c>
      <c r="S409" t="n">
        <v>0</v>
      </c>
      <c r="T409" t="n">
        <v>0</v>
      </c>
      <c r="V409" t="n">
        <v>0</v>
      </c>
    </row>
    <row r="410">
      <c r="A410">
        <f>Skills!A17</f>
        <v/>
      </c>
      <c r="B410">
        <f>Skills!B17</f>
        <v/>
      </c>
      <c r="C410">
        <f>Inputs!$B$3&gt;=72</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f>(1-Summary!$B$55)*T410+Summary!$B$55*V410</f>
        <v/>
      </c>
      <c r="P410">
        <f>IF(B435=0,0,O410/B435)</f>
        <v/>
      </c>
      <c r="Q410" t="n">
        <v>0</v>
      </c>
      <c r="R410" t="n">
        <v>0</v>
      </c>
      <c r="S410" t="n">
        <v>0</v>
      </c>
      <c r="T410" t="n">
        <v>0</v>
      </c>
      <c r="V410" t="n">
        <v>0</v>
      </c>
    </row>
    <row r="411">
      <c r="A411">
        <f>Skills!A18</f>
        <v/>
      </c>
      <c r="B411">
        <f>Skills!B18</f>
        <v/>
      </c>
      <c r="C411">
        <f>TRUE</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f>(1-Summary!$B$55)*T411+Summary!$B$55*V411</f>
        <v/>
      </c>
      <c r="P411">
        <f>IF(B435=0,0,O411/B435)</f>
        <v/>
      </c>
      <c r="Q411">
        <f>IFERROR(1/IF(Inputs!$B$38="pvp",15,MAX(0.1,Skills!D18-IF(Skills!E18=TRUE,Inputs!$B$32,0))),0)</f>
        <v/>
      </c>
      <c r="R411">
        <f>IF(AND(Inputs!$B$38&lt;&gt;"pvp",Inputs!$B$43&gt;0),IF(Inputs!$B$43&lt;=0,0,(INT(Inputs!$B$43/IF(Inputs!$B$38="pvp",15,MAX(0.1,Skills!D18-IF(Skills!E18=TRUE,Inputs!$B$32,0))))+1)),0)</f>
        <v/>
      </c>
      <c r="S411" t="n">
        <v>0</v>
      </c>
      <c r="T411" t="n">
        <v>0</v>
      </c>
      <c r="V411" t="n">
        <v>0</v>
      </c>
    </row>
    <row r="412">
      <c r="A412">
        <f>Skills!A19</f>
        <v/>
      </c>
      <c r="B412">
        <f>Skills!B19</f>
        <v/>
      </c>
      <c r="C412">
        <f>Inputs!$B$3&gt;=15</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f>(1-Summary!$B$55)*T412+Summary!$B$55*V412</f>
        <v/>
      </c>
      <c r="P412">
        <f>IF(B435=0,0,O412/B435)</f>
        <v/>
      </c>
      <c r="Q412" t="n">
        <v>0</v>
      </c>
      <c r="R412" t="n">
        <v>0</v>
      </c>
      <c r="S412" t="n">
        <v>0</v>
      </c>
      <c r="T412" t="n">
        <v>0</v>
      </c>
      <c r="V412" t="n">
        <v>0</v>
      </c>
    </row>
    <row r="413">
      <c r="A413">
        <f>Skills!A20</f>
        <v/>
      </c>
      <c r="B413">
        <f>Skills!B20</f>
        <v/>
      </c>
      <c r="C413">
        <f>Inputs!$B$3&gt;=10</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f>(1-Summary!$B$55)*T413+Summary!$B$55*V413</f>
        <v/>
      </c>
      <c r="P413">
        <f>IF(B435=0,0,O413/B435)</f>
        <v/>
      </c>
      <c r="Q413" t="n">
        <v>0</v>
      </c>
      <c r="R413" t="n">
        <v>0</v>
      </c>
      <c r="S413" t="n">
        <v>0</v>
      </c>
      <c r="T413" t="n">
        <v>0</v>
      </c>
      <c r="V413" t="n">
        <v>0</v>
      </c>
    </row>
    <row r="414">
      <c r="A414">
        <f>Skills!A21</f>
        <v/>
      </c>
      <c r="B414">
        <f>Skills!B21</f>
        <v/>
      </c>
      <c r="C414">
        <f>Inputs!$B$3&gt;=33</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f>(1-Summary!$B$55)*T414+Summary!$B$55*V414</f>
        <v/>
      </c>
      <c r="P414">
        <f>IF(B435=0,0,O414/B435)</f>
        <v/>
      </c>
      <c r="Q414" t="n">
        <v>0</v>
      </c>
      <c r="R414" t="n">
        <v>0</v>
      </c>
      <c r="S414" t="n">
        <v>0</v>
      </c>
      <c r="T414" t="n">
        <v>0</v>
      </c>
      <c r="V414" t="n">
        <v>0</v>
      </c>
    </row>
    <row r="415">
      <c r="A415">
        <f>Skills!A22</f>
        <v/>
      </c>
      <c r="B415">
        <f>Skills!B22</f>
        <v/>
      </c>
      <c r="C415">
        <f>Inputs!$B$3&gt;=38</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f>(1-Summary!$B$55)*T415+Summary!$B$55*V415</f>
        <v/>
      </c>
      <c r="P415">
        <f>IF(B435=0,0,O415/B435)</f>
        <v/>
      </c>
      <c r="Q415" t="n">
        <v>0</v>
      </c>
      <c r="R415" t="n">
        <v>0</v>
      </c>
      <c r="S415" t="n">
        <v>0</v>
      </c>
      <c r="T415" t="n">
        <v>0</v>
      </c>
      <c r="V415" t="n">
        <v>0</v>
      </c>
    </row>
    <row r="416">
      <c r="A416">
        <f>Skills!A23</f>
        <v/>
      </c>
      <c r="B416">
        <f>Skills!B23</f>
        <v/>
      </c>
      <c r="C416">
        <f>Inputs!$B$3&gt;=43</f>
        <v/>
      </c>
      <c r="D416">
        <f>IF(Skills!C23=1,60+Inputs!$B$25+Inputs!$B$29,IF(Skills!C23=2,90+Inputs!$B$26+Inputs!$B$29,IF(Skills!C23=3,120+Inputs!$B$27+Inputs!$B$29,MAX(0,(Inputs!$B$3-100)*3)+Inputs!$B$28+Inputs!$B$29)))</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f>(1-Summary!$B$55)*T416+Summary!$B$55*V416</f>
        <v/>
      </c>
      <c r="P416">
        <f>IF(B435=0,0,O416/B435)</f>
        <v/>
      </c>
      <c r="Q416" t="n">
        <v>0</v>
      </c>
      <c r="R416" t="n">
        <v>0</v>
      </c>
      <c r="S416" t="n">
        <v>0</v>
      </c>
      <c r="T416" t="n">
        <v>0</v>
      </c>
      <c r="V416" t="n">
        <v>0</v>
      </c>
    </row>
    <row r="417">
      <c r="A417">
        <f>Skills!A24</f>
        <v/>
      </c>
      <c r="B417">
        <f>Skills!B24</f>
        <v/>
      </c>
      <c r="C417">
        <f>Inputs!$B$3&gt;=75</f>
        <v/>
      </c>
      <c r="D417">
        <f>IF(Skills!C24=1,60+Inputs!$B$25+Inputs!$B$29,IF(Skills!C24=2,90+Inputs!$B$26+Inputs!$B$29,IF(Skills!C24=3,120+Inputs!$B$27+Inputs!$B$29,MAX(0,(Inputs!$B$3-100)*3)+Inputs!$B$28+Inputs!$B$29)))</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f>(1-Summary!$B$55)*T417+Summary!$B$55*V417</f>
        <v/>
      </c>
      <c r="P417">
        <f>IF(B435=0,0,O417/B435)</f>
        <v/>
      </c>
      <c r="Q417" t="n">
        <v>0</v>
      </c>
      <c r="R417" t="n">
        <v>0</v>
      </c>
      <c r="S417" t="n">
        <v>0</v>
      </c>
      <c r="T417" t="n">
        <v>0</v>
      </c>
      <c r="V417" t="n">
        <v>0</v>
      </c>
    </row>
    <row r="418">
      <c r="A418">
        <f>Skills!A25</f>
        <v/>
      </c>
      <c r="B418">
        <f>Skills!B25</f>
        <v/>
      </c>
      <c r="C418">
        <f>Inputs!$B$3&gt;=125</f>
        <v/>
      </c>
      <c r="D418">
        <f>IF(Skills!C25=1,60+Inputs!$B$25+Inputs!$B$29,IF(Skills!C25=2,90+Inputs!$B$26+Inputs!$B$29,IF(Skills!C25=3,120+Inputs!$B$27+Inputs!$B$29,MAX(0,(Inputs!$B$3-100)*3)+Inputs!$B$28+Inputs!$B$29)))</f>
        <v/>
      </c>
      <c r="E418">
        <f>INDEX(FactorTable!$B$2:$Y$301, MATCH(ROUND(MIN(300,MAX(1,D418)),0), FactorTable!$A$2:$A$301,0), Skills!M25+1)</f>
        <v/>
      </c>
      <c r="F418">
        <f>IF(Skills!N25=TRUE,(Skills!L25/10)*(E418/1000),Skills!L25/10)+Skills!O25</f>
        <v/>
      </c>
      <c r="G418">
        <f>Skills!G25*IF(Skills!H25&gt;0,Skills!I25/Skills!H25,1)</f>
        <v/>
      </c>
      <c r="H418">
        <f>1-(1-Skills!J25/100)^Skills!K25</f>
        <v/>
      </c>
      <c r="I418" t="inlineStr">
        <is>
          <t>1</t>
        </is>
      </c>
      <c r="J418" t="inlineStr"/>
      <c r="K418" t="inlineStr"/>
      <c r="L418" t="inlineStr"/>
      <c r="M418" t="inlineStr"/>
      <c r="N418" t="inlineStr"/>
      <c r="O418">
        <f>(1-Summary!$B$55)*T418+Summary!$B$55*V418</f>
        <v/>
      </c>
      <c r="P418">
        <f>IF(B435=0,0,O418/B435)</f>
        <v/>
      </c>
      <c r="Q418" t="n">
        <v>0</v>
      </c>
      <c r="R418" t="n">
        <v>0</v>
      </c>
      <c r="S418" t="n">
        <v>0</v>
      </c>
      <c r="T418" t="n">
        <v>0</v>
      </c>
      <c r="V418" t="n">
        <v>0</v>
      </c>
    </row>
    <row r="419">
      <c r="A419">
        <f>Skills!A26</f>
        <v/>
      </c>
      <c r="B419">
        <f>Skills!B26</f>
        <v/>
      </c>
      <c r="C419">
        <f>Inputs!$B$3&gt;=125</f>
        <v/>
      </c>
      <c r="D419">
        <f>IF(Skills!C26=1,60+Inputs!$B$25+Inputs!$B$29,IF(Skills!C26=2,90+Inputs!$B$26+Inputs!$B$29,IF(Skills!C26=3,120+Inputs!$B$27+Inputs!$B$29,MAX(0,(Inputs!$B$3-100)*3)+Inputs!$B$28+Inputs!$B$29)))</f>
        <v/>
      </c>
      <c r="E419">
        <f>INDEX(FactorTable!$B$2:$Y$301, MATCH(ROUND(MIN(300,MAX(1,D419)),0), FactorTable!$A$2:$A$301,0), Skills!M26+1)</f>
        <v/>
      </c>
      <c r="F419">
        <f>IF(Skills!N26=TRUE,(Skills!L26/10)*(E419/1000),Skills!L26/10)+Skills!O26</f>
        <v/>
      </c>
      <c r="G419">
        <f>Skills!G26*IF(Skills!H26&gt;0,Skills!I26/Skills!H26,1)</f>
        <v/>
      </c>
      <c r="H419">
        <f>1-(1-Skills!J26/100)^Skills!K26</f>
        <v/>
      </c>
      <c r="I419" t="inlineStr">
        <is>
          <t>1</t>
        </is>
      </c>
      <c r="J419" t="inlineStr"/>
      <c r="K419" t="inlineStr"/>
      <c r="L419" t="inlineStr"/>
      <c r="M419" t="inlineStr"/>
      <c r="N419" t="inlineStr"/>
      <c r="O419">
        <f>(1-Summary!$B$55)*T419+Summary!$B$55*V419</f>
        <v/>
      </c>
      <c r="P419">
        <f>IF(B435=0,0,O419/B435)</f>
        <v/>
      </c>
      <c r="Q419" t="n">
        <v>0</v>
      </c>
      <c r="R419" t="n">
        <v>0</v>
      </c>
      <c r="S419" t="n">
        <v>0</v>
      </c>
      <c r="T419" t="n">
        <v>0</v>
      </c>
      <c r="V419" t="n">
        <v>0</v>
      </c>
    </row>
    <row r="420">
      <c r="A420">
        <f>Skills!A27</f>
        <v/>
      </c>
      <c r="B420">
        <f>Skills!B27</f>
        <v/>
      </c>
      <c r="C420">
        <f>Inputs!$B$3&gt;=120</f>
        <v/>
      </c>
      <c r="D420">
        <f>IF(Skills!C27=1,60+Inputs!$B$25+Inputs!$B$29,IF(Skills!C27=2,90+Inputs!$B$26+Inputs!$B$29,IF(Skills!C27=3,120+Inputs!$B$27+Inputs!$B$29,MAX(0,(Inputs!$B$3-100)*3)+Inputs!$B$28+Inputs!$B$29)))</f>
        <v/>
      </c>
      <c r="E420">
        <f>INDEX(FactorTable!$B$2:$Y$301, MATCH(ROUND(MIN(300,MAX(1,D420)),0), FactorTable!$A$2:$A$301,0), Skills!M27+1)</f>
        <v/>
      </c>
      <c r="F420">
        <f>IF(Skills!N27=TRUE,(Skills!L27/10)*(E420/1000),Skills!L27/10)+Skills!O27</f>
        <v/>
      </c>
      <c r="G420">
        <f>Skills!G27*IF(Skills!H27&gt;0,Skills!I27/Skills!H27,1)</f>
        <v/>
      </c>
      <c r="H420">
        <f>1-(1-Skills!J27/100)^Skills!K27</f>
        <v/>
      </c>
      <c r="I420" t="inlineStr">
        <is>
          <t>1</t>
        </is>
      </c>
      <c r="J420" t="inlineStr"/>
      <c r="K420" t="inlineStr"/>
      <c r="L420" t="inlineStr"/>
      <c r="M420" t="inlineStr"/>
      <c r="N420" t="inlineStr"/>
      <c r="O420">
        <f>(1-Summary!$B$55)*T420+Summary!$B$55*V420</f>
        <v/>
      </c>
      <c r="P420">
        <f>IF(B435=0,0,O420/B435)</f>
        <v/>
      </c>
      <c r="Q420" t="n">
        <v>0</v>
      </c>
      <c r="R420" t="n">
        <v>0</v>
      </c>
      <c r="S420" t="n">
        <v>0</v>
      </c>
      <c r="T420" t="n">
        <v>0</v>
      </c>
      <c r="V420" t="n">
        <v>0</v>
      </c>
    </row>
    <row r="421">
      <c r="A421">
        <f>Skills!A28</f>
        <v/>
      </c>
      <c r="B421">
        <f>Skills!B28</f>
        <v/>
      </c>
      <c r="C421">
        <f>Inputs!$B$3&gt;=120</f>
        <v/>
      </c>
      <c r="D421">
        <f>IF(Skills!C28=1,60+Inputs!$B$25+Inputs!$B$29,IF(Skills!C28=2,90+Inputs!$B$26+Inputs!$B$29,IF(Skills!C28=3,120+Inputs!$B$27+Inputs!$B$29,MAX(0,(Inputs!$B$3-100)*3)+Inputs!$B$28+Inputs!$B$29)))</f>
        <v/>
      </c>
      <c r="E421">
        <f>INDEX(FactorTable!$B$2:$Y$301, MATCH(ROUND(MIN(300,MAX(1,D421)),0), FactorTable!$A$2:$A$301,0), Skills!M28+1)</f>
        <v/>
      </c>
      <c r="F421">
        <f>IF(Skills!N28=TRUE,(Skills!L28/10)*(E421/1000),Skills!L28/10)+Skills!O28</f>
        <v/>
      </c>
      <c r="G421">
        <f>Skills!G28*IF(Skills!H28&gt;0,Skills!I28/Skills!H28,1)</f>
        <v/>
      </c>
      <c r="H421">
        <f>1-(1-Skills!J28/100)^Skills!K28</f>
        <v/>
      </c>
      <c r="I421" t="inlineStr">
        <is>
          <t>1</t>
        </is>
      </c>
      <c r="J421" t="inlineStr"/>
      <c r="K421" t="inlineStr"/>
      <c r="L421" t="inlineStr"/>
      <c r="M421" t="inlineStr"/>
      <c r="N421" t="inlineStr"/>
      <c r="O421">
        <f>(1-Summary!$B$55)*T421+Summary!$B$55*V421</f>
        <v/>
      </c>
      <c r="P421">
        <f>IF(B435=0,0,O421/B435)</f>
        <v/>
      </c>
      <c r="Q421" t="n">
        <v>0</v>
      </c>
      <c r="R421" t="n">
        <v>0</v>
      </c>
      <c r="S421" t="n">
        <v>0</v>
      </c>
      <c r="T421" t="n">
        <v>0</v>
      </c>
      <c r="V421" t="n">
        <v>0</v>
      </c>
    </row>
    <row r="422">
      <c r="A422">
        <f>Skills!A29</f>
        <v/>
      </c>
      <c r="B422">
        <f>Skills!B29</f>
        <v/>
      </c>
      <c r="C422">
        <f>Inputs!$B$3&gt;=45</f>
        <v/>
      </c>
      <c r="D422">
        <f>IF(Skills!C29=1,60+Inputs!$B$25+Inputs!$B$29,IF(Skills!C29=2,90+Inputs!$B$26+Inputs!$B$29,IF(Skills!C29=3,120+Inputs!$B$27+Inputs!$B$29,MAX(0,(Inputs!$B$3-100)*3)+Inputs!$B$28+Inputs!$B$29)))</f>
        <v/>
      </c>
      <c r="E422">
        <f>INDEX(FactorTable!$B$2:$Y$301, MATCH(ROUND(MIN(300,MAX(1,D422)),0), FactorTable!$A$2:$A$301,0), Skills!M29+1)</f>
        <v/>
      </c>
      <c r="F422">
        <f>IF(Skills!N29=TRUE,(Skills!L29/10)*(E422/1000),Skills!L29/10)+Skills!O29</f>
        <v/>
      </c>
      <c r="G422">
        <f>Skills!G29*IF(Skills!H29&gt;0,Skills!I29/Skills!H29,1)</f>
        <v/>
      </c>
      <c r="H422">
        <f>1-(1-Skills!J29/100)^Skills!K29</f>
        <v/>
      </c>
      <c r="I422" t="inlineStr">
        <is>
          <t>1</t>
        </is>
      </c>
      <c r="J422" t="inlineStr"/>
      <c r="K422" t="inlineStr"/>
      <c r="L422" t="inlineStr"/>
      <c r="M422" t="inlineStr"/>
      <c r="N422" t="inlineStr"/>
      <c r="O422">
        <f>(1-Summary!$B$55)*T422+Summary!$B$55*V422</f>
        <v/>
      </c>
      <c r="P422">
        <f>IF(B435=0,0,O422/B435)</f>
        <v/>
      </c>
      <c r="Q422" t="n">
        <v>0</v>
      </c>
      <c r="R422" t="n">
        <v>0</v>
      </c>
      <c r="S422" t="n">
        <v>0</v>
      </c>
      <c r="T422" t="n">
        <v>0</v>
      </c>
      <c r="V422" t="n">
        <v>0</v>
      </c>
    </row>
    <row r="424">
      <c r="A424" t="inlineStr">
        <is>
          <t>Attack% Bucket Multiplier</t>
        </is>
      </c>
      <c r="B424">
        <f>(1+(((C406=TRUE)*F406)+((C407=TRUE)*IF(Inputs!$B$38="pvp",F407,(1-Summary!$B$55)*(F407)+Summary!$B$55*(0)))+((C408=TRUE)*F408*IF(AND(Inputs!$B$38&lt;&gt;"pvp",Inputs!$B$43&gt;0),(((R408-1)*(Skills!T15*(1+Inputs!$B$34/100))+MIN((Skills!T15*(1+Inputs!$B$34/100)),MAX(0,Inputs!$B$43-((R408-1)*Skills!D15))))/Inputs!$B$43),IF(Inputs!$B$38="pvp",MIN((Skills!T15*(1+Inputs!$B$34/100)),15)/15,(Skills!T15*(1+Inputs!$B$34/100))/Skills!D15)))+((C405=TRUE)*F405)+((C422=TRUE)*(F422-Calc!F29)))/100)</f>
        <v/>
      </c>
    </row>
    <row r="425">
      <c r="A425" t="inlineStr">
        <is>
          <t>Global Crit Rate Bonus %</t>
        </is>
      </c>
      <c r="B425">
        <f>(C409=TRUE)*20*IF(AND(Inputs!$B$38&lt;&gt;"pvp",Inputs!$B$43&gt;0),(((R409-1)*(Skills!T16*(1+Inputs!$B$34/100))+MIN((Skills!T16*(1+Inputs!$B$34/100)),MAX(0,Inputs!$B$43-((R409-1)*Skills!D16))))/Inputs!$B$43),IF(Inputs!$B$38="pvp",MIN((Skills!T16*(1+Inputs!$B$34/100)),15)/15,(Skills!T16*(1+Inputs!$B$34/100))/Skills!D16))</f>
        <v/>
      </c>
    </row>
    <row r="426">
      <c r="A426" t="inlineStr">
        <is>
          <t>Attack Speed Buff Bonus %</t>
        </is>
      </c>
      <c r="B426">
        <f>((C411=TRUE)*F411*IF(AND(Inputs!$B$38&lt;&gt;"pvp",Inputs!$B$43&gt;0),(((R411-1)*(Skills!T18*(1+Inputs!$B$34/100))+MIN((Skills!T18*(1+Inputs!$B$34/100)),MAX(0,Inputs!$B$43-((R411-1)*Skills!D18))))/Inputs!$B$43),IF(Inputs!$B$38="pvp",MIN((Skills!T18*(1+Inputs!$B$34/100)),15)/15,(Skills!T18*(1+Inputs!$B$34/100))/Skills!D18)))</f>
        <v/>
      </c>
    </row>
    <row r="427">
      <c r="A427" t="inlineStr">
        <is>
          <t>Actions Per Second</t>
        </is>
      </c>
      <c r="B427">
        <f>1+MIN(150,150*(1-(1-(Inputs!$B$11+((C413=TRUE)*(F413-Calc!F20))+((C414=TRUE)*(F414-Calc!F21)))/150)*(1-B426/150)))/100</f>
        <v/>
      </c>
    </row>
    <row r="428">
      <c r="A428" t="inlineStr">
        <is>
          <t>Skill + Buff Cast Rate</t>
        </is>
      </c>
      <c r="B428">
        <f>IF(AND(Inputs!$B$38&lt;&gt;"pvp",Inputs!$B$43&gt;0),SUMPRODUCT((Skills!E2:E29=TRUE)*(C395:C422=TRUE)*R395:R422*Skills!F2:F29)/Inputs!$B$43,SUMPRODUCT((Skills!E2:E29=TRUE)*(C395:C422=TRUE)*Q395:Q422*Skills!F2:F29))</f>
        <v/>
      </c>
    </row>
    <row r="429">
      <c r="A429" t="inlineStr">
        <is>
          <t>Empowered Piercing Arrow Casts Per Second</t>
        </is>
      </c>
      <c r="B429">
        <f>MAX(0,B427-B428)</f>
        <v/>
      </c>
    </row>
    <row r="430">
      <c r="A430" t="inlineStr">
        <is>
          <t>Global Critical Damage Bonus % (Sharp Eyes)</t>
        </is>
      </c>
      <c r="B430">
        <f>(C409=TRUE)*F409*IF(AND(Inputs!$B$38&lt;&gt;"pvp",Inputs!$B$43&gt;0),(((R409-1)*(Skills!T16*(1+Inputs!$B$34/100))+MIN((Skills!T16*(1+Inputs!$B$34/100)),MAX(0,Inputs!$B$43-((R409-1)*Skills!D16))))/Inputs!$B$43),IF(Inputs!$B$38="pvp",MIN((Skills!T16*(1+Inputs!$B$34/100)),15)/15,(Skills!T16*(1+Inputs!$B$34/100))/Skills!D16))</f>
        <v/>
      </c>
    </row>
    <row r="431">
      <c r="A431" t="inlineStr">
        <is>
          <t>Global Final Damage Bonus % (Mortal Blow + Last Man Standing conditional half)</t>
        </is>
      </c>
      <c r="B431">
        <f>(C410=TRUE)*F410+((C419=TRUE)*IF(Inputs!$B$38="pvp",F419,(1-Summary!$B$55)*(F419)+Summary!$B$55*(0)))</f>
        <v/>
      </c>
    </row>
    <row r="432">
      <c r="A432" t="inlineStr">
        <is>
          <t>Buff-Casting Startup Delay (s, fixed-duration only)</t>
        </is>
      </c>
      <c r="B432">
        <f>IF(AND(Inputs!$B$38&lt;&gt;"pvp",Inputs!$B$43&gt;0),SUMPRODUCT((Skills!T2:T29&gt;0)*(Skills!E2:E29=TRUE)*(C395:C422=TRUE))/B427,0)</f>
        <v/>
      </c>
    </row>
    <row r="433">
      <c r="A433" t="inlineStr">
        <is>
          <t>Boss-Only Total DPS (this block's swept value)</t>
        </is>
      </c>
      <c r="B433">
        <f>SUM(T395:T422)</f>
        <v/>
      </c>
    </row>
    <row r="434">
      <c r="A434" t="inlineStr">
        <is>
          <t>Normal-Only Total DPS (this block's swept value)</t>
        </is>
      </c>
      <c r="B434">
        <f>SUM(V395:V422)</f>
        <v/>
      </c>
    </row>
    <row r="435">
      <c r="A435" s="5" t="inlineStr">
        <is>
          <t>TOTAL DPS</t>
        </is>
      </c>
      <c r="B435" s="5">
        <f>SUM(O395:O422)</f>
        <v/>
      </c>
    </row>
    <row r="438">
      <c r="A438" s="5" t="inlineStr">
        <is>
          <t>Stat: MAX_DAMAGE %</t>
        </is>
      </c>
    </row>
    <row r="439">
      <c r="A439" s="9" t="inlineStr">
        <is>
          <t>Key</t>
        </is>
      </c>
      <c r="B439" s="9" t="inlineStr">
        <is>
          <t>Name</t>
        </is>
      </c>
      <c r="C439" s="9" t="inlineStr">
        <is>
          <t>Unlocked</t>
        </is>
      </c>
      <c r="D439" s="9" t="inlineStr">
        <is>
          <t>InputLevel</t>
        </is>
      </c>
      <c r="E439" s="9" t="inlineStr">
        <is>
          <t>Factor</t>
        </is>
      </c>
      <c r="F439" s="9" t="inlineStr">
        <is>
          <t>CoefficientPercent</t>
        </is>
      </c>
      <c r="G439" s="9" t="inlineStr">
        <is>
          <t>EffectiveHits</t>
        </is>
      </c>
      <c r="H439" s="9" t="inlineStr">
        <is>
          <t>ProcProbability</t>
        </is>
      </c>
      <c r="I439" s="9" t="inlineStr">
        <is>
          <t>MapleHeroMultiplier</t>
        </is>
      </c>
      <c r="J439" s="9" t="inlineStr">
        <is>
          <t>BaseDamage</t>
        </is>
      </c>
      <c r="K439" s="9" t="inlineStr">
        <is>
          <t>BaseHitDamage</t>
        </is>
      </c>
      <c r="L439" s="9" t="inlineStr">
        <is>
          <t>NonCritAvg</t>
        </is>
      </c>
      <c r="M439" s="9" t="inlineStr">
        <is>
          <t>CritAvg</t>
        </is>
      </c>
      <c r="N439" s="9" t="inlineStr">
        <is>
          <t>ExpectedDamage(perHit)</t>
        </is>
      </c>
      <c r="O439" s="9" t="inlineStr">
        <is>
          <t>DPS</t>
        </is>
      </c>
      <c r="P439" s="9" t="inlineStr">
        <is>
          <t>% of Total</t>
        </is>
      </c>
      <c r="Q439" s="9" t="inlineStr">
        <is>
          <t>InvCooldown</t>
        </is>
      </c>
      <c r="R439" s="9" t="inlineStr">
        <is>
          <t>CastsInFight</t>
        </is>
      </c>
      <c r="S439" s="9" t="inlineStr">
        <is>
          <t>HitRate(perSec)</t>
        </is>
      </c>
      <c r="U439" t="inlineStr">
        <is>
          <t>helpers</t>
        </is>
      </c>
    </row>
    <row r="440">
      <c r="A440">
        <f>Skills!A2</f>
        <v/>
      </c>
      <c r="B440">
        <f>Skills!B2</f>
        <v/>
      </c>
      <c r="C440">
        <f>Inputs!$B$3&gt;=100</f>
        <v/>
      </c>
      <c r="D440" t="inlineStr"/>
      <c r="E440" t="inlineStr"/>
      <c r="F440">
        <f>U442+Skills!O2</f>
        <v/>
      </c>
      <c r="G440">
        <f>Skills!G2*IF(Skills!H2&gt;0,Skills!I2/Skills!H2,1)</f>
        <v/>
      </c>
      <c r="H440">
        <f>1-(1-Skills!J2/100)^Skills!K2</f>
        <v/>
      </c>
      <c r="I440" t="inlineStr">
        <is>
          <t>1</t>
        </is>
      </c>
      <c r="J440">
        <f>((Inputs!$B$6*(1+Inputs!$B$7/100))+(((Inputs!$B$12*(1+Inputs!$B$13/100))-(Inputs!$B$12*(1+Inputs!$B$13/100)))+0.25*(Inputs!$B$14-Inputs!$B$14))*(1+Inputs!$B$7/100))*(F440/100)</f>
        <v/>
      </c>
      <c r="K440">
        <f>J440*(1+((Inputs!$B$12*(1+Inputs!$B$13/100))*0.01+Inputs!$B$14*0.0025)/100)*(1+Inputs!$B$15/100)*(1+Inputs!$B$16/100)*(5000/(6000+Inputs!$B$42*(1-(Inputs!$B$19+0)/100)))*(1+(Inputs!$B$24+((C462=TRUE)*(F462-Calc!F24))+((C463=TRUE)*(F463-Calc!F25))+B476)/100)*(1+(IF(Skills!A2="EMPOWERED_PIERCING_ARROW",Inputs!$B$17+((C460=TRUE)*(F460-Calc!F22)),Inputs!$B$18+((C465=TRUE)*(F465-Calc!F27))))/100)*((1+(((C451=TRUE)*F451)+((C452=TRUE)*IF(Inputs!$B$38="pvp",F452,(1-Summary!$B$55)*(F452)+Summary!$B$55*(0)))+((C453=TRUE)*F453*IF(AND(Inputs!$B$38&lt;&gt;"pvp",Inputs!$B$43&gt;0),(((R453-1)*(Skills!T15*(1+Inputs!$B$34/100))+MIN((Skills!T15*(1+Inputs!$B$34/100)),MAX(0,Inputs!$B$43-((R453-1)*Skills!D15))))/Inputs!$B$43),IF(Inputs!$B$38="pvp",MIN((Skills!T15*(1+Inputs!$B$34/100)),15)/15,(Skills!T15*(1+Inputs!$B$34/100))/Skills!D15)))+((C450=TRUE)*F450)+((C467=TRUE)*(F467-Calc!F29)))/100)*I440)</f>
        <v/>
      </c>
      <c r="L440">
        <f>K440*(MIN(Inputs!$B$22+((C461=TRUE)*(F461-Calc!F23)),(Inputs!$B$23+1)+((C466=TRUE)*(F466-Calc!F28)))/100+((Inputs!$B$23+1)+((C466=TRUE)*(F466-Calc!F28)))/100)/2</f>
        <v/>
      </c>
      <c r="M440">
        <f>L440*(1+(Inputs!$B$10+0+B475)/100)</f>
        <v/>
      </c>
      <c r="N440">
        <f>L440*(1-MIN((Inputs!$B$9+((C457=TRUE)*(F457-Calc!F19))+B470),100)/100)+M440*(MIN((Inputs!$B$9+((C457=TRUE)*(F457-Calc!F19))+B470),100)/100)</f>
        <v/>
      </c>
      <c r="O440">
        <f>(1-Summary!$B$55)*T440+Summary!$B$55*V440</f>
        <v/>
      </c>
      <c r="P440">
        <f>IF(B480=0,0,O440/B480)</f>
        <v/>
      </c>
      <c r="Q440" t="n">
        <v>0</v>
      </c>
      <c r="R440" t="n">
        <v>0</v>
      </c>
      <c r="S440">
        <f>IFERROR((Skills!G2*N440*B474)/N440*IF(Inputs!$B$38="pvp",1,(1-Summary!$B$55)*1+Summary!$B$55*(MIN((6+Inputs!$B$33),Inputs!$B$37))),0)</f>
        <v/>
      </c>
      <c r="T440">
        <f>IF(C440,(Skills!G2*N440*B474)*IF(Inputs!$B$38="pvp",1,1+(Inputs!$B$20+0+Skills!P2)/100),0)</f>
        <v/>
      </c>
      <c r="U440">
        <f>MAX(0,(Inputs!$B$3-100)*3)+Inputs!$B$28+Inputs!$B$29</f>
        <v/>
      </c>
      <c r="V440">
        <f>IF(C440,(Skills!G2*N440*B474)*IF(Inputs!$B$38="pvp",1,(1+(Inputs!$B$21+Skills!Q2)/100)*(MIN((6+Inputs!$B$33),Inputs!$B$37))),0)</f>
        <v/>
      </c>
    </row>
    <row r="441">
      <c r="A441">
        <f>Skills!A3</f>
        <v/>
      </c>
      <c r="B441">
        <f>Skills!B3</f>
        <v/>
      </c>
      <c r="C441">
        <f>Inputs!$B$3&gt;=50</f>
        <v/>
      </c>
      <c r="D441">
        <f>IF(Skills!C3=1,60+Inputs!$B$25+Inputs!$B$29,IF(Skills!C3=2,90+Inputs!$B$26+Inputs!$B$29,IF(Skills!C3=3,120+Inputs!$B$27+Inputs!$B$29,MAX(0,(Inputs!$B$3-100)*3)+Inputs!$B$28+Inputs!$B$29)))</f>
        <v/>
      </c>
      <c r="E441">
        <f>INDEX(FactorTable!$B$2:$Y$301, MATCH(ROUND(MIN(300,MAX(1,D441)),0), FactorTable!$A$2:$A$301,0), Skills!M3+1)</f>
        <v/>
      </c>
      <c r="F441">
        <f>IF(Skills!N3=TRUE,(Skills!L3/10)*(E441/1000),Skills!L3/10)+Skills!O3</f>
        <v/>
      </c>
      <c r="G441" t="inlineStr"/>
      <c r="H441" t="inlineStr"/>
      <c r="I441" t="inlineStr">
        <is>
          <t>1</t>
        </is>
      </c>
      <c r="J441" t="inlineStr"/>
      <c r="K441" t="inlineStr"/>
      <c r="L441" t="inlineStr"/>
      <c r="M441" t="inlineStr"/>
      <c r="N441" t="inlineStr"/>
      <c r="O441" t="inlineStr"/>
      <c r="P441" t="inlineStr"/>
      <c r="Q441" t="inlineStr"/>
      <c r="R441" t="inlineStr"/>
      <c r="S441" t="inlineStr"/>
      <c r="T441" t="inlineStr"/>
      <c r="U441">
        <f>INDEX(FactorTable!$B$2:$Y$301, MATCH(ROUND(MIN(300,MAX(1,U440)),0), FactorTable!$A$2:$A$301,0), 22)</f>
        <v/>
      </c>
      <c r="V441" t="inlineStr"/>
    </row>
    <row r="442">
      <c r="A442">
        <f>Skills!A4</f>
        <v/>
      </c>
      <c r="B442">
        <f>Skills!B4</f>
        <v/>
      </c>
      <c r="C442">
        <f>Inputs!$B$3&gt;=105</f>
        <v/>
      </c>
      <c r="D442">
        <f>IF(Skills!C4=1,60+Inputs!$B$25+Inputs!$B$29,IF(Skills!C4=2,90+Inputs!$B$26+Inputs!$B$29,IF(Skills!C4=3,120+Inputs!$B$27+Inputs!$B$29,MAX(0,(Inputs!$B$3-100)*3)+Inputs!$B$28+Inputs!$B$29)))</f>
        <v/>
      </c>
      <c r="E442">
        <f>INDEX(FactorTable!$B$2:$Y$301, MATCH(ROUND(MIN(300,MAX(1,D442)),0), FactorTable!$A$2:$A$301,0), Skills!M4+1)</f>
        <v/>
      </c>
      <c r="F442">
        <f>IF(Skills!N4=TRUE,(Skills!L4/10)*(E442/1000),Skills!L4/10)+Skills!O4</f>
        <v/>
      </c>
      <c r="G442" t="inlineStr"/>
      <c r="H442" t="inlineStr"/>
      <c r="I442" t="inlineStr">
        <is>
          <t>1</t>
        </is>
      </c>
      <c r="J442" t="inlineStr"/>
      <c r="K442" t="inlineStr"/>
      <c r="L442" t="inlineStr"/>
      <c r="M442" t="inlineStr"/>
      <c r="N442" t="inlineStr"/>
      <c r="O442" t="inlineStr"/>
      <c r="P442" t="inlineStr"/>
      <c r="Q442" t="inlineStr"/>
      <c r="R442" t="inlineStr"/>
      <c r="S442" t="inlineStr"/>
      <c r="T442" t="inlineStr"/>
      <c r="U442">
        <f>290*U441/1000</f>
        <v/>
      </c>
      <c r="V442" t="inlineStr"/>
    </row>
    <row r="443">
      <c r="A443">
        <f>Skills!A5</f>
        <v/>
      </c>
      <c r="B443">
        <f>Skills!B5</f>
        <v/>
      </c>
      <c r="C443">
        <f>Inputs!$B$3&gt;=35</f>
        <v/>
      </c>
      <c r="D443">
        <f>IF(Skills!C5=1,60+Inputs!$B$25+Inputs!$B$29,IF(Skills!C5=2,90+Inputs!$B$26+Inputs!$B$29,IF(Skills!C5=3,120+Inputs!$B$27+Inputs!$B$29,MAX(0,(Inputs!$B$3-100)*3)+Inputs!$B$28+Inputs!$B$29)))</f>
        <v/>
      </c>
      <c r="E443">
        <f>INDEX(FactorTable!$B$2:$Y$301, MATCH(ROUND(MIN(300,MAX(1,D443)),0), FactorTable!$A$2:$A$301,0), Skills!M5+1)</f>
        <v/>
      </c>
      <c r="F443">
        <f>IF(Skills!N5=TRUE,(Skills!L5/10)*(E443/1000),Skills!L5/10)+Skills!O5</f>
        <v/>
      </c>
      <c r="G443">
        <f>Skills!G5*IF(Skills!H5&gt;0,Skills!I5/Skills!H5,1)</f>
        <v/>
      </c>
      <c r="H443">
        <f>1-(1-Skills!J5/100)^Skills!K5</f>
        <v/>
      </c>
      <c r="I443" t="inlineStr">
        <is>
          <t>1</t>
        </is>
      </c>
      <c r="J443">
        <f>((Inputs!$B$6*(1+Inputs!$B$7/100))+(((Inputs!$B$12*(1+Inputs!$B$13/100))-(Inputs!$B$12*(1+Inputs!$B$13/100)))+0.25*(Inputs!$B$14-Inputs!$B$14))*(1+Inputs!$B$7/100))*(F443/100)</f>
        <v/>
      </c>
      <c r="K443">
        <f>J443*(1+((Inputs!$B$12*(1+Inputs!$B$13/100))*0.01+Inputs!$B$14*0.0025)/100)*(1+Inputs!$B$15/100)*(1+Inputs!$B$16/100)*(5000/(6000+Inputs!$B$42*(1-(Inputs!$B$19+0)/100)))*(1+(Inputs!$B$24+((C462=TRUE)*(F462-Calc!F24))+((C463=TRUE)*(F463-Calc!F25))+B476)/100)*(1+4.0*IF(C446=TRUE,F446,0)/100)*(1+(IF(Skills!A5="EMPOWERED_PIERCING_ARROW",Inputs!$B$17+((C460=TRUE)*(F460-Calc!F22)),Inputs!$B$18+((C465=TRUE)*(F465-Calc!F27))))/100)*((1+(((C451=TRUE)*F451)+((C452=TRUE)*IF(Inputs!$B$38="pvp",F452,(1-Summary!$B$55)*(F452)+Summary!$B$55*(0)))+((C453=TRUE)*F453*IF(AND(Inputs!$B$38&lt;&gt;"pvp",Inputs!$B$43&gt;0),(((R453-1)*(Skills!T15*(1+Inputs!$B$34/100))+MIN((Skills!T15*(1+Inputs!$B$34/100)),MAX(0,Inputs!$B$43-((R453-1)*Skills!D15))))/Inputs!$B$43),IF(Inputs!$B$38="pvp",MIN((Skills!T15*(1+Inputs!$B$34/100)),15)/15,(Skills!T15*(1+Inputs!$B$34/100))/Skills!D15)))+((C450=TRUE)*F450)+((C467=TRUE)*(F467-Calc!F29)))/100)*I443)</f>
        <v/>
      </c>
      <c r="L443">
        <f>K443*(MIN(Inputs!$B$22+((C461=TRUE)*(F461-Calc!F23)),(Inputs!$B$23+1)+((C466=TRUE)*(F466-Calc!F28)))/100+((Inputs!$B$23+1)+((C466=TRUE)*(F466-Calc!F28)))/100)/2</f>
        <v/>
      </c>
      <c r="M443">
        <f>L443*(1+(Inputs!$B$10+0+B475)/100)</f>
        <v/>
      </c>
      <c r="N443">
        <f>L443*(1-MIN((Inputs!$B$9+((C457=TRUE)*(F457-Calc!F19))+B470),100)/100)+M443*(MIN((Inputs!$B$9+((C457=TRUE)*(F457-Calc!F19))+B470),100)/100)</f>
        <v/>
      </c>
      <c r="O443">
        <f>(1-Summary!$B$55)*T443+Summary!$B$55*V443</f>
        <v/>
      </c>
      <c r="P443">
        <f>IF(B480=0,0,O443/B480)</f>
        <v/>
      </c>
      <c r="Q443">
        <f>IFERROR(1/IF(Inputs!$B$38="pvp",15,MAX(0.1,Skills!D5-IF(Skills!E5=TRUE,Inputs!$B$32,0))),0)</f>
        <v/>
      </c>
      <c r="R443">
        <f>IF(AND(Inputs!$B$38&lt;&gt;"pvp",Inputs!$B$43&gt;0),IF(MAX(0,Inputs!$B$43-B477)&lt;=0,0,(INT(MAX(0,Inputs!$B$43-B477)/IF(Inputs!$B$38="pvp",15,MAX(0.1,Skills!D5-IF(Skills!E5=TRUE,Inputs!$B$32,0))))+1)),0)</f>
        <v/>
      </c>
      <c r="S443">
        <f>IFERROR((H443*N443*IF(AND(Inputs!$B$38&lt;&gt;"pvp",Inputs!$B$43&gt;0),((Skills!G5*((R443-1)*IF(Skills!H5&gt;0,Skills!I5/Skills!H5,1)+IF(Skills!H5&gt;0,MIN(Skills!I5,MAX(0,MAX(0,Inputs!$B$43-B477)-((R443-1)*IF(Inputs!$B$38="pvp",15,MAX(0.1,Skills!D5-IF(Skills!E5=TRUE,Inputs!$B$32,0))))))/Skills!H5,1)))/Inputs!$B$43),G443*Q443))/N443*IF(Inputs!$B$38="pvp",1,(1-Summary!$B$55)*1+Summary!$B$55*(MIN(Skills!R5,Inputs!$B$37))),0)</f>
        <v/>
      </c>
      <c r="T443">
        <f>IF(C443,(H443*N443*IF(AND(Inputs!$B$38&lt;&gt;"pvp",Inputs!$B$43&gt;0),((Skills!G5*((R443-1)*IF(Skills!H5&gt;0,Skills!I5/Skills!H5,1)+IF(Skills!H5&gt;0,MIN(Skills!I5,MAX(0,MAX(0,Inputs!$B$43-B477)-((R443-1)*IF(Inputs!$B$38="pvp",15,MAX(0.1,Skills!D5-IF(Skills!E5=TRUE,Inputs!$B$32,0))))))/Skills!H5,1)))/Inputs!$B$43),G443*Q443))*IF(Inputs!$B$38="pvp",1,1+(Inputs!$B$20+0+Skills!P5)/100),0)</f>
        <v/>
      </c>
      <c r="V443">
        <f>IF(C443,(H443*N443*IF(AND(Inputs!$B$38&lt;&gt;"pvp",Inputs!$B$43&gt;0),((Skills!G5*((R443-1)*IF(Skills!H5&gt;0,Skills!I5/Skills!H5,1)+IF(Skills!H5&gt;0,MIN(Skills!I5,MAX(0,MAX(0,Inputs!$B$43-B477)-((R443-1)*IF(Inputs!$B$38="pvp",15,MAX(0.1,Skills!D5-IF(Skills!E5=TRUE,Inputs!$B$32,0))))))/Skills!H5,1)))/Inputs!$B$43),G443*Q443))*IF(Inputs!$B$38="pvp",1,(1+(Inputs!$B$21+Skills!Q5)/100)*(MIN(Skills!R5,Inputs!$B$37))),0)</f>
        <v/>
      </c>
    </row>
    <row r="444">
      <c r="A444">
        <f>Skills!A6</f>
        <v/>
      </c>
      <c r="B444">
        <f>Skills!B6</f>
        <v/>
      </c>
      <c r="C444">
        <f>Inputs!$B$3&gt;=63</f>
        <v/>
      </c>
      <c r="D444">
        <f>IF(Skills!C6=1,60+Inputs!$B$25+Inputs!$B$29,IF(Skills!C6=2,90+Inputs!$B$26+Inputs!$B$29,IF(Skills!C6=3,120+Inputs!$B$27+Inputs!$B$29,MAX(0,(Inputs!$B$3-100)*3)+Inputs!$B$28+Inputs!$B$29)))</f>
        <v/>
      </c>
      <c r="E444">
        <f>INDEX(FactorTable!$B$2:$Y$301, MATCH(ROUND(MIN(300,MAX(1,D444)),0), FactorTable!$A$2:$A$301,0), Skills!M6+1)</f>
        <v/>
      </c>
      <c r="F444">
        <f>IF(Skills!N6=TRUE,(Skills!L6/10)*(E444/1000),Skills!L6/10)+Skills!O6</f>
        <v/>
      </c>
      <c r="G444">
        <f>Skills!G6*IF(Skills!H6&gt;0,Skills!I6/Skills!H6,1)</f>
        <v/>
      </c>
      <c r="H444">
        <f>1-(1-Skills!J6/100)^Skills!K6</f>
        <v/>
      </c>
      <c r="I444" t="inlineStr">
        <is>
          <t>1</t>
        </is>
      </c>
      <c r="J444">
        <f>((Inputs!$B$6*(1+Inputs!$B$7/100))+(((Inputs!$B$12*(1+Inputs!$B$13/100))-(Inputs!$B$12*(1+Inputs!$B$13/100)))+0.25*(Inputs!$B$14-Inputs!$B$14))*(1+Inputs!$B$7/100))*(F444/100)</f>
        <v/>
      </c>
      <c r="K444">
        <f>J444*(1+((Inputs!$B$12*(1+Inputs!$B$13/100))*0.01+Inputs!$B$14*0.0025)/100)*(1+Inputs!$B$15/100)*(1+Inputs!$B$16/100)*(5000/(6000+Inputs!$B$42*(1-(Inputs!$B$19+0)/100)))*(1+(Inputs!$B$24+((C462=TRUE)*(F462-Calc!F24))+((C463=TRUE)*(F463-Calc!F25))+B476)/100)*(1+1.0*IF(C446=TRUE,F446,0)/100)*(1+(IF(Skills!A6="EMPOWERED_PIERCING_ARROW",Inputs!$B$17+((C460=TRUE)*(F460-Calc!F22)),Inputs!$B$18+((C465=TRUE)*(F465-Calc!F27))))/100)*((1+(((C451=TRUE)*F451)+((C452=TRUE)*IF(Inputs!$B$38="pvp",F452,(1-Summary!$B$55)*(F452)+Summary!$B$55*(0)))+((C453=TRUE)*F453*IF(AND(Inputs!$B$38&lt;&gt;"pvp",Inputs!$B$43&gt;0),(((R453-1)*(Skills!T15*(1+Inputs!$B$34/100))+MIN((Skills!T15*(1+Inputs!$B$34/100)),MAX(0,Inputs!$B$43-((R453-1)*Skills!D15))))/Inputs!$B$43),IF(Inputs!$B$38="pvp",MIN((Skills!T15*(1+Inputs!$B$34/100)),15)/15,(Skills!T15*(1+Inputs!$B$34/100))/Skills!D15)))+((C450=TRUE)*F450)+((C467=TRUE)*(F467-Calc!F29)))/100)*I444)</f>
        <v/>
      </c>
      <c r="L444">
        <f>K444*(MIN(Inputs!$B$22+((C461=TRUE)*(F461-Calc!F23)),(Inputs!$B$23+1)+((C466=TRUE)*(F466-Calc!F28)))/100+((Inputs!$B$23+1)+((C466=TRUE)*(F466-Calc!F28)))/100)/2</f>
        <v/>
      </c>
      <c r="M444">
        <f>L444*(1+(Inputs!$B$10+0+B475)/100)</f>
        <v/>
      </c>
      <c r="N444">
        <f>L444*(1-MIN((Inputs!$B$9+((C457=TRUE)*(F457-Calc!F19))+B470),100)/100)+M444*(MIN((Inputs!$B$9+((C457=TRUE)*(F457-Calc!F19))+B470),100)/100)</f>
        <v/>
      </c>
      <c r="O444">
        <f>(1-Summary!$B$55)*T444+Summary!$B$55*V444</f>
        <v/>
      </c>
      <c r="P444">
        <f>IF(B480=0,0,O444/B480)</f>
        <v/>
      </c>
      <c r="Q444">
        <f>IFERROR(1/IF(Inputs!$B$38="pvp",15,MAX(0.1,Skills!D6-IF(Skills!E6=TRUE,Inputs!$B$32,0))),0)</f>
        <v/>
      </c>
      <c r="R444">
        <f>IF(AND(Inputs!$B$38&lt;&gt;"pvp",Inputs!$B$43&gt;0),IF(MAX(0,Inputs!$B$43-B477)&lt;=0,0,(INT(MAX(0,Inputs!$B$43-B477)/IF(Inputs!$B$38="pvp",15,MAX(0.1,Skills!D6-IF(Skills!E6=TRUE,Inputs!$B$32,0))))+1)),0)</f>
        <v/>
      </c>
      <c r="S444">
        <f>IFERROR((H444*N444*IF(AND(Inputs!$B$38&lt;&gt;"pvp",Inputs!$B$43&gt;0),((Skills!G6*((R444-1)*IF(Skills!H6&gt;0,Skills!I6/Skills!H6,1)+IF(Skills!H6&gt;0,MIN(Skills!I6,MAX(0,MAX(0,Inputs!$B$43-B477)-((R444-1)*IF(Inputs!$B$38="pvp",15,MAX(0.1,Skills!D6-IF(Skills!E6=TRUE,Inputs!$B$32,0))))))/Skills!H6,1)))/Inputs!$B$43),G444*Q444))/N444*IF(Inputs!$B$38="pvp",1,(1-Summary!$B$55)*1+Summary!$B$55*(MIN(Skills!R6,Inputs!$B$37))),0)</f>
        <v/>
      </c>
      <c r="T444">
        <f>IF(C444,(H444*N444*IF(AND(Inputs!$B$38&lt;&gt;"pvp",Inputs!$B$43&gt;0),((Skills!G6*((R444-1)*IF(Skills!H6&gt;0,Skills!I6/Skills!H6,1)+IF(Skills!H6&gt;0,MIN(Skills!I6,MAX(0,MAX(0,Inputs!$B$43-B477)-((R444-1)*IF(Inputs!$B$38="pvp",15,MAX(0.1,Skills!D6-IF(Skills!E6=TRUE,Inputs!$B$32,0))))))/Skills!H6,1)))/Inputs!$B$43),G444*Q444))*IF(Inputs!$B$38="pvp",1,1+(Inputs!$B$20+0+Skills!P6)/100),0)</f>
        <v/>
      </c>
      <c r="V444">
        <f>IF(C444,(H444*N444*IF(AND(Inputs!$B$38&lt;&gt;"pvp",Inputs!$B$43&gt;0),((Skills!G6*((R444-1)*IF(Skills!H6&gt;0,Skills!I6/Skills!H6,1)+IF(Skills!H6&gt;0,MIN(Skills!I6,MAX(0,MAX(0,Inputs!$B$43-B477)-((R444-1)*IF(Inputs!$B$38="pvp",15,MAX(0.1,Skills!D6-IF(Skills!E6=TRUE,Inputs!$B$32,0))))))/Skills!H6,1)))/Inputs!$B$43),G444*Q444))*IF(Inputs!$B$38="pvp",1,(1+(Inputs!$B$21+Skills!Q6)/100)*(MIN(Skills!R6,Inputs!$B$37))),0)</f>
        <v/>
      </c>
    </row>
    <row r="445">
      <c r="A445">
        <f>Skills!A7</f>
        <v/>
      </c>
      <c r="B445">
        <f>Skills!B7</f>
        <v/>
      </c>
      <c r="C445">
        <f>Inputs!$B$3&gt;=69</f>
        <v/>
      </c>
      <c r="D445">
        <f>IF(Skills!C7=1,60+Inputs!$B$25+Inputs!$B$29,IF(Skills!C7=2,90+Inputs!$B$26+Inputs!$B$29,IF(Skills!C7=3,120+Inputs!$B$27+Inputs!$B$29,MAX(0,(Inputs!$B$3-100)*3)+Inputs!$B$28+Inputs!$B$29)))</f>
        <v/>
      </c>
      <c r="E445">
        <f>INDEX(FactorTable!$B$2:$Y$301, MATCH(ROUND(MIN(300,MAX(1,D445)),0), FactorTable!$A$2:$A$301,0), Skills!M7+1)</f>
        <v/>
      </c>
      <c r="F445">
        <f>IF(Skills!N7=TRUE,(Skills!L7/10)*(E445/1000),Skills!L7/10)+Skills!O7</f>
        <v/>
      </c>
      <c r="G445">
        <f>Skills!G7*IF(Skills!H7&gt;0,Skills!I7/Skills!H7,1)</f>
        <v/>
      </c>
      <c r="H445">
        <f>1-(1-Skills!J7/100)^Skills!K7</f>
        <v/>
      </c>
      <c r="I445" t="inlineStr">
        <is>
          <t>1</t>
        </is>
      </c>
      <c r="J445">
        <f>((Inputs!$B$6*(1+Inputs!$B$7/100))+(((Inputs!$B$12*(1+Inputs!$B$13/100))-(Inputs!$B$12*(1+Inputs!$B$13/100)))+0.25*(Inputs!$B$14-Inputs!$B$14))*(1+Inputs!$B$7/100))*(F445/100)</f>
        <v/>
      </c>
      <c r="K445">
        <f>J445*(1+((Inputs!$B$12*(1+Inputs!$B$13/100))*0.01+Inputs!$B$14*0.0025)/100)*(1+Inputs!$B$15/100)*(1+Inputs!$B$16/100)*(5000/(6000+Inputs!$B$42*(1-(Inputs!$B$19+0)/100)))*(1+(Inputs!$B$24+((C462=TRUE)*(F462-Calc!F24))+((C463=TRUE)*(F463-Calc!F25))+B476)/100)*(1+1.2*IF(C446=TRUE,F446,0)/100)*(1+(IF(Skills!A7="EMPOWERED_PIERCING_ARROW",Inputs!$B$17+((C460=TRUE)*(F460-Calc!F22)),Inputs!$B$18+((C465=TRUE)*(F465-Calc!F27))))/100)*((1+(((C451=TRUE)*F451)+((C452=TRUE)*IF(Inputs!$B$38="pvp",F452,(1-Summary!$B$55)*(F452)+Summary!$B$55*(0)))+((C453=TRUE)*F453*IF(AND(Inputs!$B$38&lt;&gt;"pvp",Inputs!$B$43&gt;0),(((R453-1)*(Skills!T15*(1+Inputs!$B$34/100))+MIN((Skills!T15*(1+Inputs!$B$34/100)),MAX(0,Inputs!$B$43-((R453-1)*Skills!D15))))/Inputs!$B$43),IF(Inputs!$B$38="pvp",MIN((Skills!T15*(1+Inputs!$B$34/100)),15)/15,(Skills!T15*(1+Inputs!$B$34/100))/Skills!D15)))+((C450=TRUE)*F450)+((C467=TRUE)*(F467-Calc!F29)))/100)*I445)</f>
        <v/>
      </c>
      <c r="L445">
        <f>K445*(MIN(Inputs!$B$22+((C461=TRUE)*(F461-Calc!F23)),(Inputs!$B$23+1)+((C466=TRUE)*(F466-Calc!F28)))/100+((Inputs!$B$23+1)+((C466=TRUE)*(F466-Calc!F28)))/100)/2</f>
        <v/>
      </c>
      <c r="M445">
        <f>L445*(1+(Inputs!$B$10+0+B475)/100)</f>
        <v/>
      </c>
      <c r="N445">
        <f>L445*(1-MIN((Inputs!$B$9+((C457=TRUE)*(F457-Calc!F19))+B470),100)/100)+M445*(MIN((Inputs!$B$9+((C457=TRUE)*(F457-Calc!F19))+B470),100)/100)</f>
        <v/>
      </c>
      <c r="O445">
        <f>(1-Summary!$B$55)*T445+Summary!$B$55*V445</f>
        <v/>
      </c>
      <c r="P445">
        <f>IF(B480=0,0,O445/B480)</f>
        <v/>
      </c>
      <c r="Q445">
        <f>IFERROR(1/IF(Inputs!$B$38="pvp",15,MAX(0.1,Skills!D7-IF(Skills!E7=TRUE,Inputs!$B$32,0))),0)</f>
        <v/>
      </c>
      <c r="R445">
        <f>IF(AND(Inputs!$B$38&lt;&gt;"pvp",Inputs!$B$43&gt;0),IF(MAX(0,Inputs!$B$43-B477)&lt;=0,0,(INT(MAX(0,Inputs!$B$43-B477)/IF(Inputs!$B$38="pvp",15,MAX(0.1,Skills!D7-IF(Skills!E7=TRUE,Inputs!$B$32,0))))+1)),0)</f>
        <v/>
      </c>
      <c r="S445">
        <f>IFERROR((H445*N445*IF(AND(Inputs!$B$38&lt;&gt;"pvp",Inputs!$B$43&gt;0),((Skills!G7*((R445-1)*IF(Skills!H7&gt;0,Skills!I7/Skills!H7,1)+IF(Skills!H7&gt;0,MIN(Skills!I7,MAX(0,MAX(0,Inputs!$B$43-B477)-((R445-1)*IF(Inputs!$B$38="pvp",15,MAX(0.1,Skills!D7-IF(Skills!E7=TRUE,Inputs!$B$32,0))))))/Skills!H7,1)))/Inputs!$B$43),G445*Q445))/N445*IF(Inputs!$B$38="pvp",1,(1-Summary!$B$55)*1+Summary!$B$55*(MIN(Skills!R7,Inputs!$B$37))),0)</f>
        <v/>
      </c>
      <c r="T445">
        <f>IF(C445,(H445*N445*IF(AND(Inputs!$B$38&lt;&gt;"pvp",Inputs!$B$43&gt;0),((Skills!G7*((R445-1)*IF(Skills!H7&gt;0,Skills!I7/Skills!H7,1)+IF(Skills!H7&gt;0,MIN(Skills!I7,MAX(0,MAX(0,Inputs!$B$43-B477)-((R445-1)*IF(Inputs!$B$38="pvp",15,MAX(0.1,Skills!D7-IF(Skills!E7=TRUE,Inputs!$B$32,0))))))/Skills!H7,1)))/Inputs!$B$43),G445*Q445))*IF(Inputs!$B$38="pvp",1,1+(Inputs!$B$20+0+Skills!P7)/100),0)</f>
        <v/>
      </c>
      <c r="V445">
        <f>IF(C445,(H445*N445*IF(AND(Inputs!$B$38&lt;&gt;"pvp",Inputs!$B$43&gt;0),((Skills!G7*((R445-1)*IF(Skills!H7&gt;0,Skills!I7/Skills!H7,1)+IF(Skills!H7&gt;0,MIN(Skills!I7,MAX(0,MAX(0,Inputs!$B$43-B477)-((R445-1)*IF(Inputs!$B$38="pvp",15,MAX(0.1,Skills!D7-IF(Skills!E7=TRUE,Inputs!$B$32,0))))))/Skills!H7,1)))/Inputs!$B$43),G445*Q445))*IF(Inputs!$B$38="pvp",1,(1+(Inputs!$B$21+Skills!Q7)/100)*(MIN(Skills!R7,Inputs!$B$37))),0)</f>
        <v/>
      </c>
    </row>
    <row r="446">
      <c r="A446">
        <f>Skills!A8</f>
        <v/>
      </c>
      <c r="B446">
        <f>Skills!B8</f>
        <v/>
      </c>
      <c r="C446">
        <f>Inputs!$B$3&gt;=100</f>
        <v/>
      </c>
      <c r="D446">
        <f>IF(Skills!C8=1,60+Inputs!$B$25+Inputs!$B$29,IF(Skills!C8=2,90+Inputs!$B$26+Inputs!$B$29,IF(Skills!C8=3,120+Inputs!$B$27+Inputs!$B$29,MAX(0,(Inputs!$B$3-100)*3)+Inputs!$B$28+Inputs!$B$29)))</f>
        <v/>
      </c>
      <c r="E446">
        <f>INDEX(FactorTable!$B$2:$Y$301, MATCH(ROUND(MIN(300,MAX(1,D446)),0), FactorTable!$A$2:$A$301,0), Skills!M8+1)</f>
        <v/>
      </c>
      <c r="F446">
        <f>IF(Skills!N8=TRUE,(Skills!L8/10)*(E446/1000),Skills!L8/10)+Skills!O8</f>
        <v/>
      </c>
      <c r="G446" t="inlineStr"/>
      <c r="H446" t="inlineStr"/>
      <c r="I446" t="inlineStr">
        <is>
          <t>1</t>
        </is>
      </c>
      <c r="J446" t="inlineStr"/>
      <c r="K446" t="inlineStr"/>
      <c r="L446" t="inlineStr"/>
      <c r="M446" t="inlineStr"/>
      <c r="N446" t="inlineStr"/>
      <c r="O446" t="inlineStr"/>
      <c r="P446" t="inlineStr"/>
      <c r="Q446" t="inlineStr"/>
      <c r="R446" t="inlineStr"/>
      <c r="S446" t="inlineStr"/>
      <c r="T446" t="inlineStr"/>
      <c r="V446" t="inlineStr"/>
    </row>
    <row r="447">
      <c r="A447">
        <f>Skills!A9</f>
        <v/>
      </c>
      <c r="B447">
        <f>Skills!B9</f>
        <v/>
      </c>
      <c r="C447">
        <f>Inputs!$B$3&gt;=103</f>
        <v/>
      </c>
      <c r="D447">
        <f>IF(Skills!C9=1,60+Inputs!$B$25+Inputs!$B$29,IF(Skills!C9=2,90+Inputs!$B$26+Inputs!$B$29,IF(Skills!C9=3,120+Inputs!$B$27+Inputs!$B$29,MAX(0,(Inputs!$B$3-100)*3)+Inputs!$B$28+Inputs!$B$29)))</f>
        <v/>
      </c>
      <c r="E447">
        <f>INDEX(FactorTable!$B$2:$Y$301, MATCH(ROUND(MIN(300,MAX(1,D447)),0), FactorTable!$A$2:$A$301,0), Skills!M9+1)</f>
        <v/>
      </c>
      <c r="F447">
        <f>IF(Skills!N9=TRUE,(Skills!L9/10)*(E447/1000),Skills!L9/10)+Skills!O9</f>
        <v/>
      </c>
      <c r="G447">
        <f>Skills!G9*IF(Skills!H9&gt;0,Skills!I9/Skills!H9,1)</f>
        <v/>
      </c>
      <c r="H447">
        <f>1-(1-Skills!J9/100)^Skills!K9</f>
        <v/>
      </c>
      <c r="I447" t="inlineStr">
        <is>
          <t>1</t>
        </is>
      </c>
      <c r="J447">
        <f>((Inputs!$B$6*(1+Inputs!$B$7/100))+(((Inputs!$B$12*(1+Inputs!$B$13/100))-(Inputs!$B$12*(1+Inputs!$B$13/100)))+0.25*(Inputs!$B$14-Inputs!$B$14))*(1+Inputs!$B$7/100))*(F447/100)</f>
        <v/>
      </c>
      <c r="K447">
        <f>J447*(1+((Inputs!$B$12*(1+Inputs!$B$13/100))*0.01+Inputs!$B$14*0.0025)/100)*(1+Inputs!$B$15/100)*(1+Inputs!$B$16/100)*(5000/(6000+Inputs!$B$42*(1-(Inputs!$B$19+0)/100)))*(1+(Inputs!$B$24+((C462=TRUE)*(F462-Calc!F24))+((C463=TRUE)*(F463-Calc!F25))+B476)/100)*(1+(IF(Skills!A9="EMPOWERED_PIERCING_ARROW",Inputs!$B$17+((C460=TRUE)*(F460-Calc!F22)),Inputs!$B$18+((C465=TRUE)*(F465-Calc!F27))))/100)*((1+(((C451=TRUE)*F451)+((C452=TRUE)*IF(Inputs!$B$38="pvp",F452,(1-Summary!$B$55)*(F452)+Summary!$B$55*(0)))+((C453=TRUE)*F453*IF(AND(Inputs!$B$38&lt;&gt;"pvp",Inputs!$B$43&gt;0),(((R453-1)*(Skills!T15*(1+Inputs!$B$34/100))+MIN((Skills!T15*(1+Inputs!$B$34/100)),MAX(0,Inputs!$B$43-((R453-1)*Skills!D15))))/Inputs!$B$43),IF(Inputs!$B$38="pvp",MIN((Skills!T15*(1+Inputs!$B$34/100)),15)/15,(Skills!T15*(1+Inputs!$B$34/100))/Skills!D15)))+((C450=TRUE)*F450)+((C467=TRUE)*(F467-Calc!F29)))/100)*I447)</f>
        <v/>
      </c>
      <c r="L447">
        <f>K447*(MIN(Inputs!$B$22+((C461=TRUE)*(F461-Calc!F23)),(Inputs!$B$23+1)+((C466=TRUE)*(F466-Calc!F28)))/100+((Inputs!$B$23+1)+((C466=TRUE)*(F466-Calc!F28)))/100)/2</f>
        <v/>
      </c>
      <c r="M447">
        <f>L447*(1+(Inputs!$B$10+0+B475)/100)</f>
        <v/>
      </c>
      <c r="N447">
        <f>L447*(1-MIN((Inputs!$B$9+((C457=TRUE)*(F457-Calc!F19))+B470),100)/100)+M447*(MIN((Inputs!$B$9+((C457=TRUE)*(F457-Calc!F19))+B470),100)/100)</f>
        <v/>
      </c>
      <c r="O447">
        <f>(1-Summary!$B$55)*T447+Summary!$B$55*V447</f>
        <v/>
      </c>
      <c r="P447">
        <f>IF(B480=0,0,O447/B480)</f>
        <v/>
      </c>
      <c r="Q447">
        <f>IFERROR(1/IF(Inputs!$B$38="pvp",15,MAX(0.1,Skills!D9-IF(Skills!E9=TRUE,Inputs!$B$32,0))),0)</f>
        <v/>
      </c>
      <c r="R447">
        <f>IF(AND(Inputs!$B$38&lt;&gt;"pvp",Inputs!$B$43&gt;0),IF(MAX(0,Inputs!$B$43-B477)&lt;=0,0,(INT(MAX(0,Inputs!$B$43-B477)/IF(Inputs!$B$38="pvp",15,MAX(0.1,Skills!D9-IF(Skills!E9=TRUE,Inputs!$B$32,0))))+1)),0)</f>
        <v/>
      </c>
      <c r="S447">
        <f>IFERROR((H447*N447*IF(AND(Inputs!$B$38&lt;&gt;"pvp",Inputs!$B$43&gt;0),((Skills!G9*((R447-1)*IF(Skills!H9&gt;0,Skills!I9/Skills!H9,1)+IF(Skills!H9&gt;0,MIN(Skills!I9,MAX(0,MAX(0,Inputs!$B$43-B477)-((R447-1)*IF(Inputs!$B$38="pvp",15,MAX(0.1,Skills!D9-IF(Skills!E9=TRUE,Inputs!$B$32,0))))))/Skills!H9,1)))/Inputs!$B$43),G447*Q447))/N447*IF(Inputs!$B$38="pvp",1,(1-Summary!$B$55)*1+Summary!$B$55*(MIN(Skills!R9,Inputs!$B$37))),0)</f>
        <v/>
      </c>
      <c r="T447">
        <f>IF(C447,(H447*N447*IF(AND(Inputs!$B$38&lt;&gt;"pvp",Inputs!$B$43&gt;0),((Skills!G9*((R447-1)*IF(Skills!H9&gt;0,Skills!I9/Skills!H9,1)+IF(Skills!H9&gt;0,MIN(Skills!I9,MAX(0,MAX(0,Inputs!$B$43-B477)-((R447-1)*IF(Inputs!$B$38="pvp",15,MAX(0.1,Skills!D9-IF(Skills!E9=TRUE,Inputs!$B$32,0))))))/Skills!H9,1)))/Inputs!$B$43),G447*Q447))*IF(Inputs!$B$38="pvp",1,1+(Inputs!$B$20+0+Skills!P9)/100),0)</f>
        <v/>
      </c>
      <c r="V447">
        <f>IF(C447,(H447*N447*IF(AND(Inputs!$B$38&lt;&gt;"pvp",Inputs!$B$43&gt;0),((Skills!G9*((R447-1)*IF(Skills!H9&gt;0,Skills!I9/Skills!H9,1)+IF(Skills!H9&gt;0,MIN(Skills!I9,MAX(0,MAX(0,Inputs!$B$43-B477)-((R447-1)*IF(Inputs!$B$38="pvp",15,MAX(0.1,Skills!D9-IF(Skills!E9=TRUE,Inputs!$B$32,0))))))/Skills!H9,1)))/Inputs!$B$43),G447*Q447))*IF(Inputs!$B$38="pvp",1,(1+(Inputs!$B$21+Skills!Q9)/100)*(MIN(Skills!R9,Inputs!$B$37))),0)</f>
        <v/>
      </c>
    </row>
    <row r="448">
      <c r="A448">
        <f>Skills!A10</f>
        <v/>
      </c>
      <c r="B448">
        <f>Skills!B10</f>
        <v/>
      </c>
      <c r="C448">
        <f>Inputs!$B$3&gt;=107</f>
        <v/>
      </c>
      <c r="D448">
        <f>IF(Skills!C10=1,60+Inputs!$B$25+Inputs!$B$29,IF(Skills!C10=2,90+Inputs!$B$26+Inputs!$B$29,IF(Skills!C10=3,120+Inputs!$B$27+Inputs!$B$29,MAX(0,(Inputs!$B$3-100)*3)+Inputs!$B$28+Inputs!$B$29)))</f>
        <v/>
      </c>
      <c r="E448">
        <f>INDEX(FactorTable!$B$2:$Y$301, MATCH(ROUND(MIN(300,MAX(1,D448)),0), FactorTable!$A$2:$A$301,0), Skills!M10+1)</f>
        <v/>
      </c>
      <c r="F448">
        <f>IF(Skills!N10=TRUE,(Skills!L10/10)*(E448/1000),Skills!L10/10)+Skills!O10</f>
        <v/>
      </c>
      <c r="G448">
        <f>Skills!G10*IF(Skills!H10&gt;0,Skills!I10/Skills!H10,1)</f>
        <v/>
      </c>
      <c r="H448">
        <f>1-(1-Skills!J10/100)^Skills!K10</f>
        <v/>
      </c>
      <c r="I448" t="inlineStr">
        <is>
          <t>1</t>
        </is>
      </c>
      <c r="J448">
        <f>((Inputs!$B$6*(1+Inputs!$B$7/100))+(((Inputs!$B$12*(1+Inputs!$B$13/100))-(Inputs!$B$12*(1+Inputs!$B$13/100)))+0.25*(Inputs!$B$14-Inputs!$B$14))*(1+Inputs!$B$7/100))*(F448/100)</f>
        <v/>
      </c>
      <c r="K448">
        <f>J448*(1+((Inputs!$B$12*(1+Inputs!$B$13/100))*0.01+Inputs!$B$14*0.0025)/100)*(1+Inputs!$B$15/100)*(1+Inputs!$B$16/100)*(5000/(6000+Inputs!$B$42*(1-(Inputs!$B$19+0)/100)))*(1+(Inputs!$B$24+((C462=TRUE)*(F462-Calc!F24))+((C463=TRUE)*(F463-Calc!F25))+B476)/100)*(1+(IF(Skills!A10="EMPOWERED_PIERCING_ARROW",Inputs!$B$17+((C460=TRUE)*(F460-Calc!F22)),Inputs!$B$18+((C465=TRUE)*(F465-Calc!F27))))/100)*((1+(((C451=TRUE)*F451)+((C452=TRUE)*IF(Inputs!$B$38="pvp",F452,(1-Summary!$B$55)*(F452)+Summary!$B$55*(0)))+((C453=TRUE)*F453*IF(AND(Inputs!$B$38&lt;&gt;"pvp",Inputs!$B$43&gt;0),(((R453-1)*(Skills!T15*(1+Inputs!$B$34/100))+MIN((Skills!T15*(1+Inputs!$B$34/100)),MAX(0,Inputs!$B$43-((R453-1)*Skills!D15))))/Inputs!$B$43),IF(Inputs!$B$38="pvp",MIN((Skills!T15*(1+Inputs!$B$34/100)),15)/15,(Skills!T15*(1+Inputs!$B$34/100))/Skills!D15)))+((C450=TRUE)*F450)+((C467=TRUE)*(F467-Calc!F29)))/100)*I448)</f>
        <v/>
      </c>
      <c r="L448">
        <f>K448*(MIN(Inputs!$B$22+((C461=TRUE)*(F461-Calc!F23)),(Inputs!$B$23+1)+((C466=TRUE)*(F466-Calc!F28)))/100+((Inputs!$B$23+1)+((C466=TRUE)*(F466-Calc!F28)))/100)/2</f>
        <v/>
      </c>
      <c r="M448">
        <f>L448*(1+(Inputs!$B$10+0+B475)/100)</f>
        <v/>
      </c>
      <c r="N448">
        <f>L448*(1-MIN((Inputs!$B$9+((C457=TRUE)*(F457-Calc!F19))+B470),100)/100)+M448*(MIN((Inputs!$B$9+((C457=TRUE)*(F457-Calc!F19))+B470),100)/100)</f>
        <v/>
      </c>
      <c r="O448">
        <f>(1-Summary!$B$55)*T448+Summary!$B$55*V448</f>
        <v/>
      </c>
      <c r="P448">
        <f>IF(B480=0,0,O448/B480)</f>
        <v/>
      </c>
      <c r="Q448" t="n">
        <v>0</v>
      </c>
      <c r="R448" t="n">
        <v>0</v>
      </c>
      <c r="S448" t="n">
        <v>0</v>
      </c>
      <c r="T448">
        <f>IF(C448,(0.15*SUMPRODUCT((Skills!U2:U29=TRUE)*(C440:C467=TRUE)*S440:S467)*Skills!G10*N448)*IF(Inputs!$B$38="pvp",1,1+(Inputs!$B$20+0+Skills!P10)/100),0)</f>
        <v/>
      </c>
      <c r="V448">
        <f>IF(C448,(0.15*SUMPRODUCT((Skills!U2:U29=TRUE)*(C440:C467=TRUE)*S440:S467)*Skills!G10*N448)*IF(Inputs!$B$38="pvp",1,(1+(Inputs!$B$21+Skills!Q10)/100)*(MIN(Skills!R10,Inputs!$B$37))),0)</f>
        <v/>
      </c>
    </row>
    <row r="449">
      <c r="A449">
        <f>Skills!A11</f>
        <v/>
      </c>
      <c r="B449">
        <f>Skills!B11</f>
        <v/>
      </c>
      <c r="C449">
        <f>Inputs!$B$3&gt;=110</f>
        <v/>
      </c>
      <c r="D449">
        <f>IF(Skills!C11=1,60+Inputs!$B$25+Inputs!$B$29,IF(Skills!C11=2,90+Inputs!$B$26+Inputs!$B$29,IF(Skills!C11=3,120+Inputs!$B$27+Inputs!$B$29,MAX(0,(Inputs!$B$3-100)*3)+Inputs!$B$28+Inputs!$B$29)))</f>
        <v/>
      </c>
      <c r="E449">
        <f>INDEX(FactorTable!$B$2:$Y$301, MATCH(ROUND(MIN(300,MAX(1,D449)),0), FactorTable!$A$2:$A$301,0), Skills!M11+1)</f>
        <v/>
      </c>
      <c r="F449">
        <f>IF(Skills!N11=TRUE,(Skills!L11/10)*(E449/1000),Skills!L11/10)+Skills!O11</f>
        <v/>
      </c>
      <c r="G449">
        <f>Skills!G11*IF(Skills!H11&gt;0,Skills!I11/Skills!H11,1)</f>
        <v/>
      </c>
      <c r="H449">
        <f>1-(1-Skills!J11/100)^Skills!K11</f>
        <v/>
      </c>
      <c r="I449" t="inlineStr">
        <is>
          <t>1</t>
        </is>
      </c>
      <c r="J449">
        <f>((Inputs!$B$6*(1+Inputs!$B$7/100))+(((Inputs!$B$12*(1+Inputs!$B$13/100))-(Inputs!$B$12*(1+Inputs!$B$13/100)))+0.25*(Inputs!$B$14-Inputs!$B$14))*(1+Inputs!$B$7/100))*(F449/100)</f>
        <v/>
      </c>
      <c r="K449">
        <f>J449*(1+((Inputs!$B$12*(1+Inputs!$B$13/100))*0.01+Inputs!$B$14*0.0025)/100)*(1+Inputs!$B$15/100)*(1+Inputs!$B$16/100)*(5000/(6000+Inputs!$B$42*(1-(Inputs!$B$19+0)/100)))*(1+(Inputs!$B$24+((C462=TRUE)*(F462-Calc!F24))+((C463=TRUE)*(F463-Calc!F25))+B476)/100)*(1+(IF(Skills!A11="EMPOWERED_PIERCING_ARROW",Inputs!$B$17+((C460=TRUE)*(F460-Calc!F22)),Inputs!$B$18+((C465=TRUE)*(F465-Calc!F27))))/100)*((1+(((C451=TRUE)*F451)+((C452=TRUE)*IF(Inputs!$B$38="pvp",F452,(1-Summary!$B$55)*(F452)+Summary!$B$55*(0)))+((C453=TRUE)*F453*IF(AND(Inputs!$B$38&lt;&gt;"pvp",Inputs!$B$43&gt;0),(((R453-1)*(Skills!T15*(1+Inputs!$B$34/100))+MIN((Skills!T15*(1+Inputs!$B$34/100)),MAX(0,Inputs!$B$43-((R453-1)*Skills!D15))))/Inputs!$B$43),IF(Inputs!$B$38="pvp",MIN((Skills!T15*(1+Inputs!$B$34/100)),15)/15,(Skills!T15*(1+Inputs!$B$34/100))/Skills!D15)))+((C450=TRUE)*F450)+((C467=TRUE)*(F467-Calc!F29)))/100)*I449)</f>
        <v/>
      </c>
      <c r="L449">
        <f>K449*(MIN(Inputs!$B$22+((C461=TRUE)*(F461-Calc!F23)),(Inputs!$B$23+1)+((C466=TRUE)*(F466-Calc!F28)))/100+((Inputs!$B$23+1)+((C466=TRUE)*(F466-Calc!F28)))/100)/2</f>
        <v/>
      </c>
      <c r="M449">
        <f>L449*(1+(Inputs!$B$10+0+B475)/100)</f>
        <v/>
      </c>
      <c r="N449">
        <f>L449*(1-MIN((Inputs!$B$9+((C457=TRUE)*(F457-Calc!F19))+B470),100)/100)+M449*(MIN((Inputs!$B$9+((C457=TRUE)*(F457-Calc!F19))+B470),100)/100)</f>
        <v/>
      </c>
      <c r="O449">
        <f>(1-Summary!$B$55)*T449+Summary!$B$55*V449</f>
        <v/>
      </c>
      <c r="P449">
        <f>IF(B480=0,0,O449/B480)</f>
        <v/>
      </c>
      <c r="Q449">
        <f>IFERROR(1/IF(Inputs!$B$38="pvp",15,MAX(0.1,Skills!D11-IF(Skills!E11=TRUE,Inputs!$B$32,0))),0)</f>
        <v/>
      </c>
      <c r="R449">
        <f>IF(AND(Inputs!$B$38&lt;&gt;"pvp",Inputs!$B$43&gt;0),IF(MAX(0,Inputs!$B$43-B477)&lt;=0,0,(INT(MAX(0,Inputs!$B$43-B477)/IF(Inputs!$B$38="pvp",15,MAX(0.1,Skills!D11-IF(Skills!E11=TRUE,Inputs!$B$32,0))))+1)),0)</f>
        <v/>
      </c>
      <c r="S449">
        <f>IFERROR((H449*N449*IF(AND(Inputs!$B$38&lt;&gt;"pvp",Inputs!$B$43&gt;0),((Skills!G11*((R449-1)*IF(Skills!H11&gt;0,Skills!I11/Skills!H11,1)+IF(Skills!H11&gt;0,MIN(Skills!I11,MAX(0,MAX(0,Inputs!$B$43-B477)-((R449-1)*IF(Inputs!$B$38="pvp",15,MAX(0.1,Skills!D11-IF(Skills!E11=TRUE,Inputs!$B$32,0))))))/Skills!H11,1)))/Inputs!$B$43),G449*Q449))/N449*IF(Inputs!$B$38="pvp",1,(1-Summary!$B$55)*1+Summary!$B$55*(MIN(Skills!R11,Inputs!$B$37))),0)</f>
        <v/>
      </c>
      <c r="T449">
        <f>IF(C449,(H449*N449*IF(AND(Inputs!$B$38&lt;&gt;"pvp",Inputs!$B$43&gt;0),((Skills!G11*((R449-1)*IF(Skills!H11&gt;0,Skills!I11/Skills!H11,1)+IF(Skills!H11&gt;0,MIN(Skills!I11,MAX(0,MAX(0,Inputs!$B$43-B477)-((R449-1)*IF(Inputs!$B$38="pvp",15,MAX(0.1,Skills!D11-IF(Skills!E11=TRUE,Inputs!$B$32,0))))))/Skills!H11,1)))/Inputs!$B$43),G449*Q449))*IF(Inputs!$B$38="pvp",1,1+(Inputs!$B$20+0+Skills!P11)/100),0)</f>
        <v/>
      </c>
      <c r="V449">
        <f>IF(C449,(H449*N449*IF(AND(Inputs!$B$38&lt;&gt;"pvp",Inputs!$B$43&gt;0),((Skills!G11*((R449-1)*IF(Skills!H11&gt;0,Skills!I11/Skills!H11,1)+IF(Skills!H11&gt;0,MIN(Skills!I11,MAX(0,MAX(0,Inputs!$B$43-B477)-((R449-1)*IF(Inputs!$B$38="pvp",15,MAX(0.1,Skills!D11-IF(Skills!E11=TRUE,Inputs!$B$32,0))))))/Skills!H11,1)))/Inputs!$B$43),G449*Q449))*IF(Inputs!$B$38="pvp",1,(1+(Inputs!$B$21+Skills!Q11)/100)*(MIN(Skills!R11,Inputs!$B$37))),0)</f>
        <v/>
      </c>
    </row>
    <row r="450">
      <c r="A450">
        <f>Skills!A12</f>
        <v/>
      </c>
      <c r="B450">
        <f>Skills!B12</f>
        <v/>
      </c>
      <c r="C450">
        <f>Inputs!$B$3&gt;=60</f>
        <v/>
      </c>
      <c r="D450">
        <f>IF(Skills!C12=1,60+Inputs!$B$25+Inputs!$B$29,IF(Skills!C12=2,90+Inputs!$B$26+Inputs!$B$29,IF(Skills!C12=3,120+Inputs!$B$27+Inputs!$B$29,MAX(0,(Inputs!$B$3-100)*3)+Inputs!$B$28+Inputs!$B$29)))</f>
        <v/>
      </c>
      <c r="E450">
        <f>INDEX(FactorTable!$B$2:$Y$301, MATCH(ROUND(MIN(300,MAX(1,D450)),0), FactorTable!$A$2:$A$301,0), Skills!M12+1)</f>
        <v/>
      </c>
      <c r="F450">
        <f>IF(Skills!N12=TRUE,(Skills!L12/10)*(E450/1000),Skills!L12/10)+Skills!O12</f>
        <v/>
      </c>
      <c r="G450">
        <f>Skills!G12*IF(Skills!H12&gt;0,Skills!I12/Skills!H12,1)</f>
        <v/>
      </c>
      <c r="H450">
        <f>1-(1-Skills!J12/100)^Skills!K12</f>
        <v/>
      </c>
      <c r="I450" t="inlineStr">
        <is>
          <t>1</t>
        </is>
      </c>
      <c r="J450" t="inlineStr"/>
      <c r="K450" t="inlineStr"/>
      <c r="L450" t="inlineStr"/>
      <c r="M450" t="inlineStr"/>
      <c r="N450" t="inlineStr"/>
      <c r="O450">
        <f>(1-Summary!$B$55)*T450+Summary!$B$55*V450</f>
        <v/>
      </c>
      <c r="P450">
        <f>IF(B480=0,0,O450/B480)</f>
        <v/>
      </c>
      <c r="Q450" t="n">
        <v>0</v>
      </c>
      <c r="R450" t="n">
        <v>0</v>
      </c>
      <c r="S450" t="n">
        <v>0</v>
      </c>
      <c r="T450" t="n">
        <v>0</v>
      </c>
      <c r="V450" t="n">
        <v>0</v>
      </c>
    </row>
    <row r="451">
      <c r="A451">
        <f>Skills!A13</f>
        <v/>
      </c>
      <c r="B451">
        <f>Skills!B13</f>
        <v/>
      </c>
      <c r="C451">
        <f>Inputs!$B$3&gt;=74</f>
        <v/>
      </c>
      <c r="D451">
        <f>IF(Skills!C13=1,60+Inputs!$B$25+Inputs!$B$29,IF(Skills!C13=2,90+Inputs!$B$26+Inputs!$B$29,IF(Skills!C13=3,120+Inputs!$B$27+Inputs!$B$29,MAX(0,(Inputs!$B$3-100)*3)+Inputs!$B$28+Inputs!$B$29)))</f>
        <v/>
      </c>
      <c r="E451">
        <f>INDEX(FactorTable!$B$2:$Y$301, MATCH(ROUND(MIN(300,MAX(1,D451)),0), FactorTable!$A$2:$A$301,0), Skills!M13+1)</f>
        <v/>
      </c>
      <c r="F451">
        <f>IF(Skills!N13=TRUE,(Skills!L13/10)*(E451/1000),Skills!L13/10)+Skills!O13</f>
        <v/>
      </c>
      <c r="G451">
        <f>Skills!G13*IF(Skills!H13&gt;0,Skills!I13/Skills!H13,1)</f>
        <v/>
      </c>
      <c r="H451">
        <f>1-(1-Skills!J13/100)^Skills!K13</f>
        <v/>
      </c>
      <c r="I451" t="inlineStr">
        <is>
          <t>1</t>
        </is>
      </c>
      <c r="J451" t="inlineStr"/>
      <c r="K451" t="inlineStr"/>
      <c r="L451" t="inlineStr"/>
      <c r="M451" t="inlineStr"/>
      <c r="N451" t="inlineStr"/>
      <c r="O451">
        <f>(1-Summary!$B$55)*T451+Summary!$B$55*V451</f>
        <v/>
      </c>
      <c r="P451">
        <f>IF(B480=0,0,O451/B480)</f>
        <v/>
      </c>
      <c r="Q451" t="n">
        <v>0</v>
      </c>
      <c r="R451" t="n">
        <v>0</v>
      </c>
      <c r="S451" t="n">
        <v>0</v>
      </c>
      <c r="T451" t="n">
        <v>0</v>
      </c>
      <c r="V451" t="n">
        <v>0</v>
      </c>
    </row>
    <row r="452">
      <c r="A452">
        <f>Skills!A14</f>
        <v/>
      </c>
      <c r="B452">
        <f>Skills!B14</f>
        <v/>
      </c>
      <c r="C452">
        <f>Inputs!$B$3&gt;=74</f>
        <v/>
      </c>
      <c r="D452">
        <f>IF(Skills!C14=1,60+Inputs!$B$25+Inputs!$B$29,IF(Skills!C14=2,90+Inputs!$B$26+Inputs!$B$29,IF(Skills!C14=3,120+Inputs!$B$27+Inputs!$B$29,MAX(0,(Inputs!$B$3-100)*3)+Inputs!$B$28+Inputs!$B$29)))</f>
        <v/>
      </c>
      <c r="E452">
        <f>INDEX(FactorTable!$B$2:$Y$301, MATCH(ROUND(MIN(300,MAX(1,D452)),0), FactorTable!$A$2:$A$301,0), Skills!M14+1)</f>
        <v/>
      </c>
      <c r="F452">
        <f>IF(Skills!N14=TRUE,(Skills!L14/10)*(E452/1000),Skills!L14/10)+Skills!O14</f>
        <v/>
      </c>
      <c r="G452">
        <f>Skills!G14*IF(Skills!H14&gt;0,Skills!I14/Skills!H14,1)</f>
        <v/>
      </c>
      <c r="H452">
        <f>1-(1-Skills!J14/100)^Skills!K14</f>
        <v/>
      </c>
      <c r="I452" t="inlineStr">
        <is>
          <t>1</t>
        </is>
      </c>
      <c r="J452" t="inlineStr"/>
      <c r="K452" t="inlineStr"/>
      <c r="L452" t="inlineStr"/>
      <c r="M452" t="inlineStr"/>
      <c r="N452" t="inlineStr"/>
      <c r="O452">
        <f>(1-Summary!$B$55)*T452+Summary!$B$55*V452</f>
        <v/>
      </c>
      <c r="P452">
        <f>IF(B480=0,0,O452/B480)</f>
        <v/>
      </c>
      <c r="Q452" t="n">
        <v>0</v>
      </c>
      <c r="R452" t="n">
        <v>0</v>
      </c>
      <c r="S452" t="n">
        <v>0</v>
      </c>
      <c r="T452" t="n">
        <v>0</v>
      </c>
      <c r="V452" t="n">
        <v>0</v>
      </c>
    </row>
    <row r="453">
      <c r="A453">
        <f>Skills!A15</f>
        <v/>
      </c>
      <c r="B453">
        <f>Skills!B15</f>
        <v/>
      </c>
      <c r="C453">
        <f>Inputs!$B$3&gt;=117</f>
        <v/>
      </c>
      <c r="D453">
        <f>IF(Skills!C15=1,60+Inputs!$B$25+Inputs!$B$29,IF(Skills!C15=2,90+Inputs!$B$26+Inputs!$B$29,IF(Skills!C15=3,120+Inputs!$B$27+Inputs!$B$29,MAX(0,(Inputs!$B$3-100)*3)+Inputs!$B$28+Inputs!$B$29)))</f>
        <v/>
      </c>
      <c r="E453">
        <f>INDEX(FactorTable!$B$2:$Y$301, MATCH(ROUND(MIN(300,MAX(1,D453)),0), FactorTable!$A$2:$A$301,0), Skills!M15+1)</f>
        <v/>
      </c>
      <c r="F453">
        <f>IF(Skills!N15=TRUE,(Skills!L15/10)*(E453/1000),Skills!L15/10)+Skills!O15</f>
        <v/>
      </c>
      <c r="G453">
        <f>Skills!G15*IF(Skills!H15&gt;0,Skills!I15/Skills!H15,1)</f>
        <v/>
      </c>
      <c r="H453">
        <f>1-(1-Skills!J15/100)^Skills!K15</f>
        <v/>
      </c>
      <c r="I453" t="inlineStr">
        <is>
          <t>1</t>
        </is>
      </c>
      <c r="J453" t="inlineStr"/>
      <c r="K453" t="inlineStr"/>
      <c r="L453" t="inlineStr"/>
      <c r="M453" t="inlineStr"/>
      <c r="N453" t="inlineStr"/>
      <c r="O453">
        <f>(1-Summary!$B$55)*T453+Summary!$B$55*V453</f>
        <v/>
      </c>
      <c r="P453">
        <f>IF(B480=0,0,O453/B480)</f>
        <v/>
      </c>
      <c r="Q453">
        <f>IFERROR(1/IF(Inputs!$B$38="pvp",15,MAX(0.1,Skills!D15-IF(Skills!E15=TRUE,Inputs!$B$32,0))),0)</f>
        <v/>
      </c>
      <c r="R453">
        <f>IF(AND(Inputs!$B$38&lt;&gt;"pvp",Inputs!$B$43&gt;0),IF(Inputs!$B$43&lt;=0,0,(INT(Inputs!$B$43/IF(Inputs!$B$38="pvp",15,MAX(0.1,Skills!D15-IF(Skills!E15=TRUE,Inputs!$B$32,0))))+1)),0)</f>
        <v/>
      </c>
      <c r="S453" t="n">
        <v>0</v>
      </c>
      <c r="T453" t="n">
        <v>0</v>
      </c>
      <c r="V453" t="n">
        <v>0</v>
      </c>
    </row>
    <row r="454">
      <c r="A454">
        <f>Skills!A16</f>
        <v/>
      </c>
      <c r="B454">
        <f>Skills!B16</f>
        <v/>
      </c>
      <c r="C454">
        <f>Inputs!$B$3&gt;=115</f>
        <v/>
      </c>
      <c r="D454">
        <f>IF(Skills!C16=1,60+Inputs!$B$25+Inputs!$B$29,IF(Skills!C16=2,90+Inputs!$B$26+Inputs!$B$29,IF(Skills!C16=3,120+Inputs!$B$27+Inputs!$B$29,MAX(0,(Inputs!$B$3-100)*3)+Inputs!$B$28+Inputs!$B$29)))</f>
        <v/>
      </c>
      <c r="E454">
        <f>INDEX(FactorTable!$B$2:$Y$301, MATCH(ROUND(MIN(300,MAX(1,D454)),0), FactorTable!$A$2:$A$301,0), Skills!M16+1)</f>
        <v/>
      </c>
      <c r="F454">
        <f>IF(Skills!N16=TRUE,(Skills!L16/10)*(E454/1000),Skills!L16/10)+Skills!O16</f>
        <v/>
      </c>
      <c r="G454">
        <f>Skills!G16*IF(Skills!H16&gt;0,Skills!I16/Skills!H16,1)</f>
        <v/>
      </c>
      <c r="H454">
        <f>1-(1-Skills!J16/100)^Skills!K16</f>
        <v/>
      </c>
      <c r="I454" t="inlineStr">
        <is>
          <t>1</t>
        </is>
      </c>
      <c r="J454" t="inlineStr"/>
      <c r="K454" t="inlineStr"/>
      <c r="L454" t="inlineStr"/>
      <c r="M454" t="inlineStr"/>
      <c r="N454" t="inlineStr"/>
      <c r="O454">
        <f>(1-Summary!$B$55)*T454+Summary!$B$55*V454</f>
        <v/>
      </c>
      <c r="P454">
        <f>IF(B480=0,0,O454/B480)</f>
        <v/>
      </c>
      <c r="Q454">
        <f>IFERROR(1/IF(Inputs!$B$38="pvp",15,MAX(0.1,Skills!D16-IF(Skills!E16=TRUE,Inputs!$B$32,0))),0)</f>
        <v/>
      </c>
      <c r="R454">
        <f>IF(AND(Inputs!$B$38&lt;&gt;"pvp",Inputs!$B$43&gt;0),IF(Inputs!$B$43&lt;=0,0,(INT(Inputs!$B$43/IF(Inputs!$B$38="pvp",15,MAX(0.1,Skills!D16-IF(Skills!E16=TRUE,Inputs!$B$32,0))))+1)),0)</f>
        <v/>
      </c>
      <c r="S454" t="n">
        <v>0</v>
      </c>
      <c r="T454" t="n">
        <v>0</v>
      </c>
      <c r="V454" t="n">
        <v>0</v>
      </c>
    </row>
    <row r="455">
      <c r="A455">
        <f>Skills!A17</f>
        <v/>
      </c>
      <c r="B455">
        <f>Skills!B17</f>
        <v/>
      </c>
      <c r="C455">
        <f>Inputs!$B$3&gt;=72</f>
        <v/>
      </c>
      <c r="D455">
        <f>IF(Skills!C17=1,60+Inputs!$B$25+Inputs!$B$29,IF(Skills!C17=2,90+Inputs!$B$26+Inputs!$B$29,IF(Skills!C17=3,120+Inputs!$B$27+Inputs!$B$29,MAX(0,(Inputs!$B$3-100)*3)+Inputs!$B$28+Inputs!$B$29)))</f>
        <v/>
      </c>
      <c r="E455">
        <f>INDEX(FactorTable!$B$2:$Y$301, MATCH(ROUND(MIN(300,MAX(1,D455)),0), FactorTable!$A$2:$A$301,0), Skills!M17+1)</f>
        <v/>
      </c>
      <c r="F455">
        <f>IF(Skills!N17=TRUE,(Skills!L17/10)*(E455/1000),Skills!L17/10)+Skills!O17</f>
        <v/>
      </c>
      <c r="G455">
        <f>Skills!G17*IF(Skills!H17&gt;0,Skills!I17/Skills!H17,1)</f>
        <v/>
      </c>
      <c r="H455">
        <f>1-(1-Skills!J17/100)^Skills!K17</f>
        <v/>
      </c>
      <c r="I455" t="inlineStr">
        <is>
          <t>1</t>
        </is>
      </c>
      <c r="J455" t="inlineStr"/>
      <c r="K455" t="inlineStr"/>
      <c r="L455" t="inlineStr"/>
      <c r="M455" t="inlineStr"/>
      <c r="N455" t="inlineStr"/>
      <c r="O455">
        <f>(1-Summary!$B$55)*T455+Summary!$B$55*V455</f>
        <v/>
      </c>
      <c r="P455">
        <f>IF(B480=0,0,O455/B480)</f>
        <v/>
      </c>
      <c r="Q455" t="n">
        <v>0</v>
      </c>
      <c r="R455" t="n">
        <v>0</v>
      </c>
      <c r="S455" t="n">
        <v>0</v>
      </c>
      <c r="T455" t="n">
        <v>0</v>
      </c>
      <c r="V455" t="n">
        <v>0</v>
      </c>
    </row>
    <row r="456">
      <c r="A456">
        <f>Skills!A18</f>
        <v/>
      </c>
      <c r="B456">
        <f>Skills!B18</f>
        <v/>
      </c>
      <c r="C456">
        <f>TRUE</f>
        <v/>
      </c>
      <c r="D456">
        <f>IF(Skills!C18=1,60+Inputs!$B$25+Inputs!$B$29,IF(Skills!C18=2,90+Inputs!$B$26+Inputs!$B$29,IF(Skills!C18=3,120+Inputs!$B$27+Inputs!$B$29,MAX(0,(Inputs!$B$3-100)*3)+Inputs!$B$28+Inputs!$B$29)))</f>
        <v/>
      </c>
      <c r="E456">
        <f>INDEX(FactorTable!$B$2:$Y$301, MATCH(ROUND(MIN(300,MAX(1,D456)),0), FactorTable!$A$2:$A$301,0), Skills!M18+1)</f>
        <v/>
      </c>
      <c r="F456">
        <f>IF(Skills!N18=TRUE,(Skills!L18/10)*(E456/1000),Skills!L18/10)+Skills!O18</f>
        <v/>
      </c>
      <c r="G456">
        <f>Skills!G18*IF(Skills!H18&gt;0,Skills!I18/Skills!H18,1)</f>
        <v/>
      </c>
      <c r="H456">
        <f>1-(1-Skills!J18/100)^Skills!K18</f>
        <v/>
      </c>
      <c r="I456" t="inlineStr">
        <is>
          <t>1</t>
        </is>
      </c>
      <c r="J456" t="inlineStr"/>
      <c r="K456" t="inlineStr"/>
      <c r="L456" t="inlineStr"/>
      <c r="M456" t="inlineStr"/>
      <c r="N456" t="inlineStr"/>
      <c r="O456">
        <f>(1-Summary!$B$55)*T456+Summary!$B$55*V456</f>
        <v/>
      </c>
      <c r="P456">
        <f>IF(B480=0,0,O456/B480)</f>
        <v/>
      </c>
      <c r="Q456">
        <f>IFERROR(1/IF(Inputs!$B$38="pvp",15,MAX(0.1,Skills!D18-IF(Skills!E18=TRUE,Inputs!$B$32,0))),0)</f>
        <v/>
      </c>
      <c r="R456">
        <f>IF(AND(Inputs!$B$38&lt;&gt;"pvp",Inputs!$B$43&gt;0),IF(Inputs!$B$43&lt;=0,0,(INT(Inputs!$B$43/IF(Inputs!$B$38="pvp",15,MAX(0.1,Skills!D18-IF(Skills!E18=TRUE,Inputs!$B$32,0))))+1)),0)</f>
        <v/>
      </c>
      <c r="S456" t="n">
        <v>0</v>
      </c>
      <c r="T456" t="n">
        <v>0</v>
      </c>
      <c r="V456" t="n">
        <v>0</v>
      </c>
    </row>
    <row r="457">
      <c r="A457">
        <f>Skills!A19</f>
        <v/>
      </c>
      <c r="B457">
        <f>Skills!B19</f>
        <v/>
      </c>
      <c r="C457">
        <f>Inputs!$B$3&gt;=15</f>
        <v/>
      </c>
      <c r="D457">
        <f>IF(Skills!C19=1,60+Inputs!$B$25+Inputs!$B$29,IF(Skills!C19=2,90+Inputs!$B$26+Inputs!$B$29,IF(Skills!C19=3,120+Inputs!$B$27+Inputs!$B$29,MAX(0,(Inputs!$B$3-100)*3)+Inputs!$B$28+Inputs!$B$29)))</f>
        <v/>
      </c>
      <c r="E457">
        <f>INDEX(FactorTable!$B$2:$Y$301, MATCH(ROUND(MIN(300,MAX(1,D457)),0), FactorTable!$A$2:$A$301,0), Skills!M19+1)</f>
        <v/>
      </c>
      <c r="F457">
        <f>IF(Skills!N19=TRUE,(Skills!L19/10)*(E457/1000),Skills!L19/10)+Skills!O19</f>
        <v/>
      </c>
      <c r="G457">
        <f>Skills!G19*IF(Skills!H19&gt;0,Skills!I19/Skills!H19,1)</f>
        <v/>
      </c>
      <c r="H457">
        <f>1-(1-Skills!J19/100)^Skills!K19</f>
        <v/>
      </c>
      <c r="I457" t="inlineStr">
        <is>
          <t>1</t>
        </is>
      </c>
      <c r="J457" t="inlineStr"/>
      <c r="K457" t="inlineStr"/>
      <c r="L457" t="inlineStr"/>
      <c r="M457" t="inlineStr"/>
      <c r="N457" t="inlineStr"/>
      <c r="O457">
        <f>(1-Summary!$B$55)*T457+Summary!$B$55*V457</f>
        <v/>
      </c>
      <c r="P457">
        <f>IF(B480=0,0,O457/B480)</f>
        <v/>
      </c>
      <c r="Q457" t="n">
        <v>0</v>
      </c>
      <c r="R457" t="n">
        <v>0</v>
      </c>
      <c r="S457" t="n">
        <v>0</v>
      </c>
      <c r="T457" t="n">
        <v>0</v>
      </c>
      <c r="V457" t="n">
        <v>0</v>
      </c>
    </row>
    <row r="458">
      <c r="A458">
        <f>Skills!A20</f>
        <v/>
      </c>
      <c r="B458">
        <f>Skills!B20</f>
        <v/>
      </c>
      <c r="C458">
        <f>Inputs!$B$3&gt;=10</f>
        <v/>
      </c>
      <c r="D458">
        <f>IF(Skills!C20=1,60+Inputs!$B$25+Inputs!$B$29,IF(Skills!C20=2,90+Inputs!$B$26+Inputs!$B$29,IF(Skills!C20=3,120+Inputs!$B$27+Inputs!$B$29,MAX(0,(Inputs!$B$3-100)*3)+Inputs!$B$28+Inputs!$B$29)))</f>
        <v/>
      </c>
      <c r="E458">
        <f>INDEX(FactorTable!$B$2:$Y$301, MATCH(ROUND(MIN(300,MAX(1,D458)),0), FactorTable!$A$2:$A$301,0), Skills!M20+1)</f>
        <v/>
      </c>
      <c r="F458">
        <f>IF(Skills!N20=TRUE,(Skills!L20/10)*(E458/1000),Skills!L20/10)+Skills!O20</f>
        <v/>
      </c>
      <c r="G458">
        <f>Skills!G20*IF(Skills!H20&gt;0,Skills!I20/Skills!H20,1)</f>
        <v/>
      </c>
      <c r="H458">
        <f>1-(1-Skills!J20/100)^Skills!K20</f>
        <v/>
      </c>
      <c r="I458" t="inlineStr">
        <is>
          <t>1</t>
        </is>
      </c>
      <c r="J458" t="inlineStr"/>
      <c r="K458" t="inlineStr"/>
      <c r="L458" t="inlineStr"/>
      <c r="M458" t="inlineStr"/>
      <c r="N458" t="inlineStr"/>
      <c r="O458">
        <f>(1-Summary!$B$55)*T458+Summary!$B$55*V458</f>
        <v/>
      </c>
      <c r="P458">
        <f>IF(B480=0,0,O458/B480)</f>
        <v/>
      </c>
      <c r="Q458" t="n">
        <v>0</v>
      </c>
      <c r="R458" t="n">
        <v>0</v>
      </c>
      <c r="S458" t="n">
        <v>0</v>
      </c>
      <c r="T458" t="n">
        <v>0</v>
      </c>
      <c r="V458" t="n">
        <v>0</v>
      </c>
    </row>
    <row r="459">
      <c r="A459">
        <f>Skills!A21</f>
        <v/>
      </c>
      <c r="B459">
        <f>Skills!B21</f>
        <v/>
      </c>
      <c r="C459">
        <f>Inputs!$B$3&gt;=33</f>
        <v/>
      </c>
      <c r="D459">
        <f>IF(Skills!C21=1,60+Inputs!$B$25+Inputs!$B$29,IF(Skills!C21=2,90+Inputs!$B$26+Inputs!$B$29,IF(Skills!C21=3,120+Inputs!$B$27+Inputs!$B$29,MAX(0,(Inputs!$B$3-100)*3)+Inputs!$B$28+Inputs!$B$29)))</f>
        <v/>
      </c>
      <c r="E459">
        <f>INDEX(FactorTable!$B$2:$Y$301, MATCH(ROUND(MIN(300,MAX(1,D459)),0), FactorTable!$A$2:$A$301,0), Skills!M21+1)</f>
        <v/>
      </c>
      <c r="F459">
        <f>IF(Skills!N21=TRUE,(Skills!L21/10)*(E459/1000),Skills!L21/10)+Skills!O21</f>
        <v/>
      </c>
      <c r="G459">
        <f>Skills!G21*IF(Skills!H21&gt;0,Skills!I21/Skills!H21,1)</f>
        <v/>
      </c>
      <c r="H459">
        <f>1-(1-Skills!J21/100)^Skills!K21</f>
        <v/>
      </c>
      <c r="I459" t="inlineStr">
        <is>
          <t>1</t>
        </is>
      </c>
      <c r="J459" t="inlineStr"/>
      <c r="K459" t="inlineStr"/>
      <c r="L459" t="inlineStr"/>
      <c r="M459" t="inlineStr"/>
      <c r="N459" t="inlineStr"/>
      <c r="O459">
        <f>(1-Summary!$B$55)*T459+Summary!$B$55*V459</f>
        <v/>
      </c>
      <c r="P459">
        <f>IF(B480=0,0,O459/B480)</f>
        <v/>
      </c>
      <c r="Q459" t="n">
        <v>0</v>
      </c>
      <c r="R459" t="n">
        <v>0</v>
      </c>
      <c r="S459" t="n">
        <v>0</v>
      </c>
      <c r="T459" t="n">
        <v>0</v>
      </c>
      <c r="V459" t="n">
        <v>0</v>
      </c>
    </row>
    <row r="460">
      <c r="A460">
        <f>Skills!A22</f>
        <v/>
      </c>
      <c r="B460">
        <f>Skills!B22</f>
        <v/>
      </c>
      <c r="C460">
        <f>Inputs!$B$3&gt;=38</f>
        <v/>
      </c>
      <c r="D460">
        <f>IF(Skills!C22=1,60+Inputs!$B$25+Inputs!$B$29,IF(Skills!C22=2,90+Inputs!$B$26+Inputs!$B$29,IF(Skills!C22=3,120+Inputs!$B$27+Inputs!$B$29,MAX(0,(Inputs!$B$3-100)*3)+Inputs!$B$28+Inputs!$B$29)))</f>
        <v/>
      </c>
      <c r="E460">
        <f>INDEX(FactorTable!$B$2:$Y$301, MATCH(ROUND(MIN(300,MAX(1,D460)),0), FactorTable!$A$2:$A$301,0), Skills!M22+1)</f>
        <v/>
      </c>
      <c r="F460">
        <f>IF(Skills!N22=TRUE,(Skills!L22/10)*(E460/1000),Skills!L22/10)+Skills!O22</f>
        <v/>
      </c>
      <c r="G460">
        <f>Skills!G22*IF(Skills!H22&gt;0,Skills!I22/Skills!H22,1)</f>
        <v/>
      </c>
      <c r="H460">
        <f>1-(1-Skills!J22/100)^Skills!K22</f>
        <v/>
      </c>
      <c r="I460" t="inlineStr">
        <is>
          <t>1</t>
        </is>
      </c>
      <c r="J460" t="inlineStr"/>
      <c r="K460" t="inlineStr"/>
      <c r="L460" t="inlineStr"/>
      <c r="M460" t="inlineStr"/>
      <c r="N460" t="inlineStr"/>
      <c r="O460">
        <f>(1-Summary!$B$55)*T460+Summary!$B$55*V460</f>
        <v/>
      </c>
      <c r="P460">
        <f>IF(B480=0,0,O460/B480)</f>
        <v/>
      </c>
      <c r="Q460" t="n">
        <v>0</v>
      </c>
      <c r="R460" t="n">
        <v>0</v>
      </c>
      <c r="S460" t="n">
        <v>0</v>
      </c>
      <c r="T460" t="n">
        <v>0</v>
      </c>
      <c r="V460" t="n">
        <v>0</v>
      </c>
    </row>
    <row r="461">
      <c r="A461">
        <f>Skills!A23</f>
        <v/>
      </c>
      <c r="B461">
        <f>Skills!B23</f>
        <v/>
      </c>
      <c r="C461">
        <f>Inputs!$B$3&gt;=43</f>
        <v/>
      </c>
      <c r="D461">
        <f>IF(Skills!C23=1,60+Inputs!$B$25+Inputs!$B$29,IF(Skills!C23=2,90+Inputs!$B$26+Inputs!$B$29,IF(Skills!C23=3,120+Inputs!$B$27+Inputs!$B$29,MAX(0,(Inputs!$B$3-100)*3)+Inputs!$B$28+Inputs!$B$29)))</f>
        <v/>
      </c>
      <c r="E461">
        <f>INDEX(FactorTable!$B$2:$Y$301, MATCH(ROUND(MIN(300,MAX(1,D461)),0), FactorTable!$A$2:$A$301,0), Skills!M23+1)</f>
        <v/>
      </c>
      <c r="F461">
        <f>IF(Skills!N23=TRUE,(Skills!L23/10)*(E461/1000),Skills!L23/10)+Skills!O23</f>
        <v/>
      </c>
      <c r="G461">
        <f>Skills!G23*IF(Skills!H23&gt;0,Skills!I23/Skills!H23,1)</f>
        <v/>
      </c>
      <c r="H461">
        <f>1-(1-Skills!J23/100)^Skills!K23</f>
        <v/>
      </c>
      <c r="I461" t="inlineStr">
        <is>
          <t>1</t>
        </is>
      </c>
      <c r="J461" t="inlineStr"/>
      <c r="K461" t="inlineStr"/>
      <c r="L461" t="inlineStr"/>
      <c r="M461" t="inlineStr"/>
      <c r="N461" t="inlineStr"/>
      <c r="O461">
        <f>(1-Summary!$B$55)*T461+Summary!$B$55*V461</f>
        <v/>
      </c>
      <c r="P461">
        <f>IF(B480=0,0,O461/B480)</f>
        <v/>
      </c>
      <c r="Q461" t="n">
        <v>0</v>
      </c>
      <c r="R461" t="n">
        <v>0</v>
      </c>
      <c r="S461" t="n">
        <v>0</v>
      </c>
      <c r="T461" t="n">
        <v>0</v>
      </c>
      <c r="V461" t="n">
        <v>0</v>
      </c>
    </row>
    <row r="462">
      <c r="A462">
        <f>Skills!A24</f>
        <v/>
      </c>
      <c r="B462">
        <f>Skills!B24</f>
        <v/>
      </c>
      <c r="C462">
        <f>Inputs!$B$3&gt;=75</f>
        <v/>
      </c>
      <c r="D462">
        <f>IF(Skills!C24=1,60+Inputs!$B$25+Inputs!$B$29,IF(Skills!C24=2,90+Inputs!$B$26+Inputs!$B$29,IF(Skills!C24=3,120+Inputs!$B$27+Inputs!$B$29,MAX(0,(Inputs!$B$3-100)*3)+Inputs!$B$28+Inputs!$B$29)))</f>
        <v/>
      </c>
      <c r="E462">
        <f>INDEX(FactorTable!$B$2:$Y$301, MATCH(ROUND(MIN(300,MAX(1,D462)),0), FactorTable!$A$2:$A$301,0), Skills!M24+1)</f>
        <v/>
      </c>
      <c r="F462">
        <f>IF(Skills!N24=TRUE,(Skills!L24/10)*(E462/1000),Skills!L24/10)+Skills!O24</f>
        <v/>
      </c>
      <c r="G462">
        <f>Skills!G24*IF(Skills!H24&gt;0,Skills!I24/Skills!H24,1)</f>
        <v/>
      </c>
      <c r="H462">
        <f>1-(1-Skills!J24/100)^Skills!K24</f>
        <v/>
      </c>
      <c r="I462" t="inlineStr">
        <is>
          <t>1</t>
        </is>
      </c>
      <c r="J462" t="inlineStr"/>
      <c r="K462" t="inlineStr"/>
      <c r="L462" t="inlineStr"/>
      <c r="M462" t="inlineStr"/>
      <c r="N462" t="inlineStr"/>
      <c r="O462">
        <f>(1-Summary!$B$55)*T462+Summary!$B$55*V462</f>
        <v/>
      </c>
      <c r="P462">
        <f>IF(B480=0,0,O462/B480)</f>
        <v/>
      </c>
      <c r="Q462" t="n">
        <v>0</v>
      </c>
      <c r="R462" t="n">
        <v>0</v>
      </c>
      <c r="S462" t="n">
        <v>0</v>
      </c>
      <c r="T462" t="n">
        <v>0</v>
      </c>
      <c r="V462" t="n">
        <v>0</v>
      </c>
    </row>
    <row r="463">
      <c r="A463">
        <f>Skills!A25</f>
        <v/>
      </c>
      <c r="B463">
        <f>Skills!B25</f>
        <v/>
      </c>
      <c r="C463">
        <f>Inputs!$B$3&gt;=125</f>
        <v/>
      </c>
      <c r="D463">
        <f>IF(Skills!C25=1,60+Inputs!$B$25+Inputs!$B$29,IF(Skills!C25=2,90+Inputs!$B$26+Inputs!$B$29,IF(Skills!C25=3,120+Inputs!$B$27+Inputs!$B$29,MAX(0,(Inputs!$B$3-100)*3)+Inputs!$B$28+Inputs!$B$29)))</f>
        <v/>
      </c>
      <c r="E463">
        <f>INDEX(FactorTable!$B$2:$Y$301, MATCH(ROUND(MIN(300,MAX(1,D463)),0), FactorTable!$A$2:$A$301,0), Skills!M25+1)</f>
        <v/>
      </c>
      <c r="F463">
        <f>IF(Skills!N25=TRUE,(Skills!L25/10)*(E463/1000),Skills!L25/10)+Skills!O25</f>
        <v/>
      </c>
      <c r="G463">
        <f>Skills!G25*IF(Skills!H25&gt;0,Skills!I25/Skills!H25,1)</f>
        <v/>
      </c>
      <c r="H463">
        <f>1-(1-Skills!J25/100)^Skills!K25</f>
        <v/>
      </c>
      <c r="I463" t="inlineStr">
        <is>
          <t>1</t>
        </is>
      </c>
      <c r="J463" t="inlineStr"/>
      <c r="K463" t="inlineStr"/>
      <c r="L463" t="inlineStr"/>
      <c r="M463" t="inlineStr"/>
      <c r="N463" t="inlineStr"/>
      <c r="O463">
        <f>(1-Summary!$B$55)*T463+Summary!$B$55*V463</f>
        <v/>
      </c>
      <c r="P463">
        <f>IF(B480=0,0,O463/B480)</f>
        <v/>
      </c>
      <c r="Q463" t="n">
        <v>0</v>
      </c>
      <c r="R463" t="n">
        <v>0</v>
      </c>
      <c r="S463" t="n">
        <v>0</v>
      </c>
      <c r="T463" t="n">
        <v>0</v>
      </c>
      <c r="V463" t="n">
        <v>0</v>
      </c>
    </row>
    <row r="464">
      <c r="A464">
        <f>Skills!A26</f>
        <v/>
      </c>
      <c r="B464">
        <f>Skills!B26</f>
        <v/>
      </c>
      <c r="C464">
        <f>Inputs!$B$3&gt;=125</f>
        <v/>
      </c>
      <c r="D464">
        <f>IF(Skills!C26=1,60+Inputs!$B$25+Inputs!$B$29,IF(Skills!C26=2,90+Inputs!$B$26+Inputs!$B$29,IF(Skills!C26=3,120+Inputs!$B$27+Inputs!$B$29,MAX(0,(Inputs!$B$3-100)*3)+Inputs!$B$28+Inputs!$B$29)))</f>
        <v/>
      </c>
      <c r="E464">
        <f>INDEX(FactorTable!$B$2:$Y$301, MATCH(ROUND(MIN(300,MAX(1,D464)),0), FactorTable!$A$2:$A$301,0), Skills!M26+1)</f>
        <v/>
      </c>
      <c r="F464">
        <f>IF(Skills!N26=TRUE,(Skills!L26/10)*(E464/1000),Skills!L26/10)+Skills!O26</f>
        <v/>
      </c>
      <c r="G464">
        <f>Skills!G26*IF(Skills!H26&gt;0,Skills!I26/Skills!H26,1)</f>
        <v/>
      </c>
      <c r="H464">
        <f>1-(1-Skills!J26/100)^Skills!K26</f>
        <v/>
      </c>
      <c r="I464" t="inlineStr">
        <is>
          <t>1</t>
        </is>
      </c>
      <c r="J464" t="inlineStr"/>
      <c r="K464" t="inlineStr"/>
      <c r="L464" t="inlineStr"/>
      <c r="M464" t="inlineStr"/>
      <c r="N464" t="inlineStr"/>
      <c r="O464">
        <f>(1-Summary!$B$55)*T464+Summary!$B$55*V464</f>
        <v/>
      </c>
      <c r="P464">
        <f>IF(B480=0,0,O464/B480)</f>
        <v/>
      </c>
      <c r="Q464" t="n">
        <v>0</v>
      </c>
      <c r="R464" t="n">
        <v>0</v>
      </c>
      <c r="S464" t="n">
        <v>0</v>
      </c>
      <c r="T464" t="n">
        <v>0</v>
      </c>
      <c r="V464" t="n">
        <v>0</v>
      </c>
    </row>
    <row r="465">
      <c r="A465">
        <f>Skills!A27</f>
        <v/>
      </c>
      <c r="B465">
        <f>Skills!B27</f>
        <v/>
      </c>
      <c r="C465">
        <f>Inputs!$B$3&gt;=120</f>
        <v/>
      </c>
      <c r="D465">
        <f>IF(Skills!C27=1,60+Inputs!$B$25+Inputs!$B$29,IF(Skills!C27=2,90+Inputs!$B$26+Inputs!$B$29,IF(Skills!C27=3,120+Inputs!$B$27+Inputs!$B$29,MAX(0,(Inputs!$B$3-100)*3)+Inputs!$B$28+Inputs!$B$29)))</f>
        <v/>
      </c>
      <c r="E465">
        <f>INDEX(FactorTable!$B$2:$Y$301, MATCH(ROUND(MIN(300,MAX(1,D465)),0), FactorTable!$A$2:$A$301,0), Skills!M27+1)</f>
        <v/>
      </c>
      <c r="F465">
        <f>IF(Skills!N27=TRUE,(Skills!L27/10)*(E465/1000),Skills!L27/10)+Skills!O27</f>
        <v/>
      </c>
      <c r="G465">
        <f>Skills!G27*IF(Skills!H27&gt;0,Skills!I27/Skills!H27,1)</f>
        <v/>
      </c>
      <c r="H465">
        <f>1-(1-Skills!J27/100)^Skills!K27</f>
        <v/>
      </c>
      <c r="I465" t="inlineStr">
        <is>
          <t>1</t>
        </is>
      </c>
      <c r="J465" t="inlineStr"/>
      <c r="K465" t="inlineStr"/>
      <c r="L465" t="inlineStr"/>
      <c r="M465" t="inlineStr"/>
      <c r="N465" t="inlineStr"/>
      <c r="O465">
        <f>(1-Summary!$B$55)*T465+Summary!$B$55*V465</f>
        <v/>
      </c>
      <c r="P465">
        <f>IF(B480=0,0,O465/B480)</f>
        <v/>
      </c>
      <c r="Q465" t="n">
        <v>0</v>
      </c>
      <c r="R465" t="n">
        <v>0</v>
      </c>
      <c r="S465" t="n">
        <v>0</v>
      </c>
      <c r="T465" t="n">
        <v>0</v>
      </c>
      <c r="V465" t="n">
        <v>0</v>
      </c>
    </row>
    <row r="466">
      <c r="A466">
        <f>Skills!A28</f>
        <v/>
      </c>
      <c r="B466">
        <f>Skills!B28</f>
        <v/>
      </c>
      <c r="C466">
        <f>Inputs!$B$3&gt;=120</f>
        <v/>
      </c>
      <c r="D466">
        <f>IF(Skills!C28=1,60+Inputs!$B$25+Inputs!$B$29,IF(Skills!C28=2,90+Inputs!$B$26+Inputs!$B$29,IF(Skills!C28=3,120+Inputs!$B$27+Inputs!$B$29,MAX(0,(Inputs!$B$3-100)*3)+Inputs!$B$28+Inputs!$B$29)))</f>
        <v/>
      </c>
      <c r="E466">
        <f>INDEX(FactorTable!$B$2:$Y$301, MATCH(ROUND(MIN(300,MAX(1,D466)),0), FactorTable!$A$2:$A$301,0), Skills!M28+1)</f>
        <v/>
      </c>
      <c r="F466">
        <f>IF(Skills!N28=TRUE,(Skills!L28/10)*(E466/1000),Skills!L28/10)+Skills!O28</f>
        <v/>
      </c>
      <c r="G466">
        <f>Skills!G28*IF(Skills!H28&gt;0,Skills!I28/Skills!H28,1)</f>
        <v/>
      </c>
      <c r="H466">
        <f>1-(1-Skills!J28/100)^Skills!K28</f>
        <v/>
      </c>
      <c r="I466" t="inlineStr">
        <is>
          <t>1</t>
        </is>
      </c>
      <c r="J466" t="inlineStr"/>
      <c r="K466" t="inlineStr"/>
      <c r="L466" t="inlineStr"/>
      <c r="M466" t="inlineStr"/>
      <c r="N466" t="inlineStr"/>
      <c r="O466">
        <f>(1-Summary!$B$55)*T466+Summary!$B$55*V466</f>
        <v/>
      </c>
      <c r="P466">
        <f>IF(B480=0,0,O466/B480)</f>
        <v/>
      </c>
      <c r="Q466" t="n">
        <v>0</v>
      </c>
      <c r="R466" t="n">
        <v>0</v>
      </c>
      <c r="S466" t="n">
        <v>0</v>
      </c>
      <c r="T466" t="n">
        <v>0</v>
      </c>
      <c r="V466" t="n">
        <v>0</v>
      </c>
    </row>
    <row r="467">
      <c r="A467">
        <f>Skills!A29</f>
        <v/>
      </c>
      <c r="B467">
        <f>Skills!B29</f>
        <v/>
      </c>
      <c r="C467">
        <f>Inputs!$B$3&gt;=45</f>
        <v/>
      </c>
      <c r="D467">
        <f>IF(Skills!C29=1,60+Inputs!$B$25+Inputs!$B$29,IF(Skills!C29=2,90+Inputs!$B$26+Inputs!$B$29,IF(Skills!C29=3,120+Inputs!$B$27+Inputs!$B$29,MAX(0,(Inputs!$B$3-100)*3)+Inputs!$B$28+Inputs!$B$29)))</f>
        <v/>
      </c>
      <c r="E467">
        <f>INDEX(FactorTable!$B$2:$Y$301, MATCH(ROUND(MIN(300,MAX(1,D467)),0), FactorTable!$A$2:$A$301,0), Skills!M29+1)</f>
        <v/>
      </c>
      <c r="F467">
        <f>IF(Skills!N29=TRUE,(Skills!L29/10)*(E467/1000),Skills!L29/10)+Skills!O29</f>
        <v/>
      </c>
      <c r="G467">
        <f>Skills!G29*IF(Skills!H29&gt;0,Skills!I29/Skills!H29,1)</f>
        <v/>
      </c>
      <c r="H467">
        <f>1-(1-Skills!J29/100)^Skills!K29</f>
        <v/>
      </c>
      <c r="I467" t="inlineStr">
        <is>
          <t>1</t>
        </is>
      </c>
      <c r="J467" t="inlineStr"/>
      <c r="K467" t="inlineStr"/>
      <c r="L467" t="inlineStr"/>
      <c r="M467" t="inlineStr"/>
      <c r="N467" t="inlineStr"/>
      <c r="O467">
        <f>(1-Summary!$B$55)*T467+Summary!$B$55*V467</f>
        <v/>
      </c>
      <c r="P467">
        <f>IF(B480=0,0,O467/B480)</f>
        <v/>
      </c>
      <c r="Q467" t="n">
        <v>0</v>
      </c>
      <c r="R467" t="n">
        <v>0</v>
      </c>
      <c r="S467" t="n">
        <v>0</v>
      </c>
      <c r="T467" t="n">
        <v>0</v>
      </c>
      <c r="V467" t="n">
        <v>0</v>
      </c>
    </row>
    <row r="469">
      <c r="A469" t="inlineStr">
        <is>
          <t>Attack% Bucket Multiplier</t>
        </is>
      </c>
      <c r="B469">
        <f>(1+(((C451=TRUE)*F451)+((C452=TRUE)*IF(Inputs!$B$38="pvp",F452,(1-Summary!$B$55)*(F452)+Summary!$B$55*(0)))+((C453=TRUE)*F453*IF(AND(Inputs!$B$38&lt;&gt;"pvp",Inputs!$B$43&gt;0),(((R453-1)*(Skills!T15*(1+Inputs!$B$34/100))+MIN((Skills!T15*(1+Inputs!$B$34/100)),MAX(0,Inputs!$B$43-((R453-1)*Skills!D15))))/Inputs!$B$43),IF(Inputs!$B$38="pvp",MIN((Skills!T15*(1+Inputs!$B$34/100)),15)/15,(Skills!T15*(1+Inputs!$B$34/100))/Skills!D15)))+((C450=TRUE)*F450)+((C467=TRUE)*(F467-Calc!F29)))/100)</f>
        <v/>
      </c>
    </row>
    <row r="470">
      <c r="A470" t="inlineStr">
        <is>
          <t>Global Crit Rate Bonus %</t>
        </is>
      </c>
      <c r="B470">
        <f>(C454=TRUE)*20*IF(AND(Inputs!$B$38&lt;&gt;"pvp",Inputs!$B$43&gt;0),(((R454-1)*(Skills!T16*(1+Inputs!$B$34/100))+MIN((Skills!T16*(1+Inputs!$B$34/100)),MAX(0,Inputs!$B$43-((R454-1)*Skills!D16))))/Inputs!$B$43),IF(Inputs!$B$38="pvp",MIN((Skills!T16*(1+Inputs!$B$34/100)),15)/15,(Skills!T16*(1+Inputs!$B$34/100))/Skills!D16))</f>
        <v/>
      </c>
    </row>
    <row r="471">
      <c r="A471" t="inlineStr">
        <is>
          <t>Attack Speed Buff Bonus %</t>
        </is>
      </c>
      <c r="B471">
        <f>((C456=TRUE)*F456*IF(AND(Inputs!$B$38&lt;&gt;"pvp",Inputs!$B$43&gt;0),(((R456-1)*(Skills!T18*(1+Inputs!$B$34/100))+MIN((Skills!T18*(1+Inputs!$B$34/100)),MAX(0,Inputs!$B$43-((R456-1)*Skills!D18))))/Inputs!$B$43),IF(Inputs!$B$38="pvp",MIN((Skills!T18*(1+Inputs!$B$34/100)),15)/15,(Skills!T18*(1+Inputs!$B$34/100))/Skills!D18)))</f>
        <v/>
      </c>
    </row>
    <row r="472">
      <c r="A472" t="inlineStr">
        <is>
          <t>Actions Per Second</t>
        </is>
      </c>
      <c r="B472">
        <f>1+MIN(150,150*(1-(1-(Inputs!$B$11+((C458=TRUE)*(F458-Calc!F20))+((C459=TRUE)*(F459-Calc!F21)))/150)*(1-B471/150)))/100</f>
        <v/>
      </c>
    </row>
    <row r="473">
      <c r="A473" t="inlineStr">
        <is>
          <t>Skill + Buff Cast Rate</t>
        </is>
      </c>
      <c r="B473">
        <f>IF(AND(Inputs!$B$38&lt;&gt;"pvp",Inputs!$B$43&gt;0),SUMPRODUCT((Skills!E2:E29=TRUE)*(C440:C467=TRUE)*R440:R467*Skills!F2:F29)/Inputs!$B$43,SUMPRODUCT((Skills!E2:E29=TRUE)*(C440:C467=TRUE)*Q440:Q467*Skills!F2:F29))</f>
        <v/>
      </c>
    </row>
    <row r="474">
      <c r="A474" t="inlineStr">
        <is>
          <t>Empowered Piercing Arrow Casts Per Second</t>
        </is>
      </c>
      <c r="B474">
        <f>MAX(0,B472-B473)</f>
        <v/>
      </c>
    </row>
    <row r="475">
      <c r="A475" t="inlineStr">
        <is>
          <t>Global Critical Damage Bonus % (Sharp Eyes)</t>
        </is>
      </c>
      <c r="B475">
        <f>(C454=TRUE)*F454*IF(AND(Inputs!$B$38&lt;&gt;"pvp",Inputs!$B$43&gt;0),(((R454-1)*(Skills!T16*(1+Inputs!$B$34/100))+MIN((Skills!T16*(1+Inputs!$B$34/100)),MAX(0,Inputs!$B$43-((R454-1)*Skills!D16))))/Inputs!$B$43),IF(Inputs!$B$38="pvp",MIN((Skills!T16*(1+Inputs!$B$34/100)),15)/15,(Skills!T16*(1+Inputs!$B$34/100))/Skills!D16))</f>
        <v/>
      </c>
    </row>
    <row r="476">
      <c r="A476" t="inlineStr">
        <is>
          <t>Global Final Damage Bonus % (Mortal Blow + Last Man Standing conditional half)</t>
        </is>
      </c>
      <c r="B476">
        <f>(C455=TRUE)*F455+((C464=TRUE)*IF(Inputs!$B$38="pvp",F464,(1-Summary!$B$55)*(F464)+Summary!$B$55*(0)))</f>
        <v/>
      </c>
    </row>
    <row r="477">
      <c r="A477" t="inlineStr">
        <is>
          <t>Buff-Casting Startup Delay (s, fixed-duration only)</t>
        </is>
      </c>
      <c r="B477">
        <f>IF(AND(Inputs!$B$38&lt;&gt;"pvp",Inputs!$B$43&gt;0),SUMPRODUCT((Skills!T2:T29&gt;0)*(Skills!E2:E29=TRUE)*(C440:C467=TRUE))/B472,0)</f>
        <v/>
      </c>
    </row>
    <row r="478">
      <c r="A478" t="inlineStr">
        <is>
          <t>Boss-Only Total DPS (this block's swept value)</t>
        </is>
      </c>
      <c r="B478">
        <f>SUM(T440:T467)</f>
        <v/>
      </c>
    </row>
    <row r="479">
      <c r="A479" t="inlineStr">
        <is>
          <t>Normal-Only Total DPS (this block's swept value)</t>
        </is>
      </c>
      <c r="B479">
        <f>SUM(V440:V467)</f>
        <v/>
      </c>
    </row>
    <row r="480">
      <c r="A480" s="5" t="inlineStr">
        <is>
          <t>TOTAL DPS</t>
        </is>
      </c>
      <c r="B480" s="5">
        <f>SUM(O440:O467)</f>
        <v/>
      </c>
    </row>
    <row r="483">
      <c r="A483" s="5" t="inlineStr">
        <is>
          <t>Stat: CRIT_RATE %</t>
        </is>
      </c>
    </row>
    <row r="484">
      <c r="A484" s="9" t="inlineStr">
        <is>
          <t>Key</t>
        </is>
      </c>
      <c r="B484" s="9" t="inlineStr">
        <is>
          <t>Name</t>
        </is>
      </c>
      <c r="C484" s="9" t="inlineStr">
        <is>
          <t>Unlocked</t>
        </is>
      </c>
      <c r="D484" s="9" t="inlineStr">
        <is>
          <t>InputLevel</t>
        </is>
      </c>
      <c r="E484" s="9" t="inlineStr">
        <is>
          <t>Factor</t>
        </is>
      </c>
      <c r="F484" s="9" t="inlineStr">
        <is>
          <t>CoefficientPercent</t>
        </is>
      </c>
      <c r="G484" s="9" t="inlineStr">
        <is>
          <t>EffectiveHits</t>
        </is>
      </c>
      <c r="H484" s="9" t="inlineStr">
        <is>
          <t>ProcProbability</t>
        </is>
      </c>
      <c r="I484" s="9" t="inlineStr">
        <is>
          <t>MapleHeroMultiplier</t>
        </is>
      </c>
      <c r="J484" s="9" t="inlineStr">
        <is>
          <t>BaseDamage</t>
        </is>
      </c>
      <c r="K484" s="9" t="inlineStr">
        <is>
          <t>BaseHitDamage</t>
        </is>
      </c>
      <c r="L484" s="9" t="inlineStr">
        <is>
          <t>NonCritAvg</t>
        </is>
      </c>
      <c r="M484" s="9" t="inlineStr">
        <is>
          <t>CritAvg</t>
        </is>
      </c>
      <c r="N484" s="9" t="inlineStr">
        <is>
          <t>ExpectedDamage(perHit)</t>
        </is>
      </c>
      <c r="O484" s="9" t="inlineStr">
        <is>
          <t>DPS</t>
        </is>
      </c>
      <c r="P484" s="9" t="inlineStr">
        <is>
          <t>% of Total</t>
        </is>
      </c>
      <c r="Q484" s="9" t="inlineStr">
        <is>
          <t>InvCooldown</t>
        </is>
      </c>
      <c r="R484" s="9" t="inlineStr">
        <is>
          <t>CastsInFight</t>
        </is>
      </c>
      <c r="S484" s="9" t="inlineStr">
        <is>
          <t>HitRate(perSec)</t>
        </is>
      </c>
      <c r="U484" t="inlineStr">
        <is>
          <t>helpers</t>
        </is>
      </c>
    </row>
    <row r="485">
      <c r="A485">
        <f>Skills!A2</f>
        <v/>
      </c>
      <c r="B485">
        <f>Skills!B2</f>
        <v/>
      </c>
      <c r="C485">
        <f>Inputs!$B$3&gt;=100</f>
        <v/>
      </c>
      <c r="D485" t="inlineStr"/>
      <c r="E485" t="inlineStr"/>
      <c r="F485">
        <f>U487+Skills!O2</f>
        <v/>
      </c>
      <c r="G485">
        <f>Skills!G2*IF(Skills!H2&gt;0,Skills!I2/Skills!H2,1)</f>
        <v/>
      </c>
      <c r="H485">
        <f>1-(1-Skills!J2/100)^Skills!K2</f>
        <v/>
      </c>
      <c r="I485" t="inlineStr">
        <is>
          <t>1</t>
        </is>
      </c>
      <c r="J485">
        <f>((Inputs!$B$6*(1+Inputs!$B$7/100))+(((Inputs!$B$12*(1+Inputs!$B$13/100))-(Inputs!$B$12*(1+Inputs!$B$13/100)))+0.25*(Inputs!$B$14-Inputs!$B$14))*(1+Inputs!$B$7/100))*(F485/100)</f>
        <v/>
      </c>
      <c r="K485">
        <f>J485*(1+((Inputs!$B$12*(1+Inputs!$B$13/100))*0.01+Inputs!$B$14*0.0025)/100)*(1+Inputs!$B$15/100)*(1+Inputs!$B$16/100)*(5000/(6000+Inputs!$B$42*(1-(Inputs!$B$19+0)/100)))*(1+(Inputs!$B$24+((C507=TRUE)*(F507-Calc!F24))+((C508=TRUE)*(F508-Calc!F25))+B521)/100)*(1+(IF(Skills!A2="EMPOWERED_PIERCING_ARROW",Inputs!$B$17+((C505=TRUE)*(F505-Calc!F22)),Inputs!$B$18+((C510=TRUE)*(F510-Calc!F27))))/100)*((1+(((C496=TRUE)*F496)+((C497=TRUE)*IF(Inputs!$B$38="pvp",F497,(1-Summary!$B$55)*(F497)+Summary!$B$55*(0)))+((C498=TRUE)*F498*IF(AND(Inputs!$B$38&lt;&gt;"pvp",Inputs!$B$43&gt;0),(((R498-1)*(Skills!T15*(1+Inputs!$B$34/100))+MIN((Skills!T15*(1+Inputs!$B$34/100)),MAX(0,Inputs!$B$43-((R498-1)*Skills!D15))))/Inputs!$B$43),IF(Inputs!$B$38="pvp",MIN((Skills!T15*(1+Inputs!$B$34/100)),15)/15,(Skills!T15*(1+Inputs!$B$34/100))/Skills!D15)))+((C495=TRUE)*F495)+((C512=TRUE)*(F512-Calc!F29)))/100)*I485)</f>
        <v/>
      </c>
      <c r="L485">
        <f>K485*(MIN(Inputs!$B$22+((C506=TRUE)*(F506-Calc!F23)),Inputs!$B$23+((C511=TRUE)*(F511-Calc!F28)))/100+(Inputs!$B$23+((C511=TRUE)*(F511-Calc!F28)))/100)/2</f>
        <v/>
      </c>
      <c r="M485">
        <f>L485*(1+(Inputs!$B$10+0+B520)/100)</f>
        <v/>
      </c>
      <c r="N485">
        <f>L485*(1-MIN(((Inputs!$B$9+1)+((C502=TRUE)*(F502-Calc!F19))+B515),100)/100)+M485*(MIN(((Inputs!$B$9+1)+((C502=TRUE)*(F502-Calc!F19))+B515),100)/100)</f>
        <v/>
      </c>
      <c r="O485">
        <f>(1-Summary!$B$55)*T485+Summary!$B$55*V485</f>
        <v/>
      </c>
      <c r="P485">
        <f>IF(B525=0,0,O485/B525)</f>
        <v/>
      </c>
      <c r="Q485" t="n">
        <v>0</v>
      </c>
      <c r="R485" t="n">
        <v>0</v>
      </c>
      <c r="S485">
        <f>IFERROR((Skills!G2*N485*B519)/N485*IF(Inputs!$B$38="pvp",1,(1-Summary!$B$55)*1+Summary!$B$55*(MIN((6+Inputs!$B$33),Inputs!$B$37))),0)</f>
        <v/>
      </c>
      <c r="T485">
        <f>IF(C485,(Skills!G2*N485*B519)*IF(Inputs!$B$38="pvp",1,1+(Inputs!$B$20+0+Skills!P2)/100),0)</f>
        <v/>
      </c>
      <c r="U485">
        <f>MAX(0,(Inputs!$B$3-100)*3)+Inputs!$B$28+Inputs!$B$29</f>
        <v/>
      </c>
      <c r="V485">
        <f>IF(C485,(Skills!G2*N485*B519)*IF(Inputs!$B$38="pvp",1,(1+(Inputs!$B$21+Skills!Q2)/100)*(MIN((6+Inputs!$B$33),Inputs!$B$37))),0)</f>
        <v/>
      </c>
    </row>
    <row r="486">
      <c r="A486">
        <f>Skills!A3</f>
        <v/>
      </c>
      <c r="B486">
        <f>Skills!B3</f>
        <v/>
      </c>
      <c r="C486">
        <f>Inputs!$B$3&gt;=50</f>
        <v/>
      </c>
      <c r="D486">
        <f>IF(Skills!C3=1,60+Inputs!$B$25+Inputs!$B$29,IF(Skills!C3=2,90+Inputs!$B$26+Inputs!$B$29,IF(Skills!C3=3,120+Inputs!$B$27+Inputs!$B$29,MAX(0,(Inputs!$B$3-100)*3)+Inputs!$B$28+Inputs!$B$29)))</f>
        <v/>
      </c>
      <c r="E486">
        <f>INDEX(FactorTable!$B$2:$Y$301, MATCH(ROUND(MIN(300,MAX(1,D486)),0), FactorTable!$A$2:$A$301,0), Skills!M3+1)</f>
        <v/>
      </c>
      <c r="F486">
        <f>IF(Skills!N3=TRUE,(Skills!L3/10)*(E486/1000),Skills!L3/10)+Skills!O3</f>
        <v/>
      </c>
      <c r="G486" t="inlineStr"/>
      <c r="H486" t="inlineStr"/>
      <c r="I486" t="inlineStr">
        <is>
          <t>1</t>
        </is>
      </c>
      <c r="J486" t="inlineStr"/>
      <c r="K486" t="inlineStr"/>
      <c r="L486" t="inlineStr"/>
      <c r="M486" t="inlineStr"/>
      <c r="N486" t="inlineStr"/>
      <c r="O486" t="inlineStr"/>
      <c r="P486" t="inlineStr"/>
      <c r="Q486" t="inlineStr"/>
      <c r="R486" t="inlineStr"/>
      <c r="S486" t="inlineStr"/>
      <c r="T486" t="inlineStr"/>
      <c r="U486">
        <f>INDEX(FactorTable!$B$2:$Y$301, MATCH(ROUND(MIN(300,MAX(1,U485)),0), FactorTable!$A$2:$A$301,0), 22)</f>
        <v/>
      </c>
      <c r="V486" t="inlineStr"/>
    </row>
    <row r="487">
      <c r="A487">
        <f>Skills!A4</f>
        <v/>
      </c>
      <c r="B487">
        <f>Skills!B4</f>
        <v/>
      </c>
      <c r="C487">
        <f>Inputs!$B$3&gt;=105</f>
        <v/>
      </c>
      <c r="D487">
        <f>IF(Skills!C4=1,60+Inputs!$B$25+Inputs!$B$29,IF(Skills!C4=2,90+Inputs!$B$26+Inputs!$B$29,IF(Skills!C4=3,120+Inputs!$B$27+Inputs!$B$29,MAX(0,(Inputs!$B$3-100)*3)+Inputs!$B$28+Inputs!$B$29)))</f>
        <v/>
      </c>
      <c r="E487">
        <f>INDEX(FactorTable!$B$2:$Y$301, MATCH(ROUND(MIN(300,MAX(1,D487)),0), FactorTable!$A$2:$A$301,0), Skills!M4+1)</f>
        <v/>
      </c>
      <c r="F487">
        <f>IF(Skills!N4=TRUE,(Skills!L4/10)*(E487/1000),Skills!L4/10)+Skills!O4</f>
        <v/>
      </c>
      <c r="G487" t="inlineStr"/>
      <c r="H487" t="inlineStr"/>
      <c r="I487" t="inlineStr">
        <is>
          <t>1</t>
        </is>
      </c>
      <c r="J487" t="inlineStr"/>
      <c r="K487" t="inlineStr"/>
      <c r="L487" t="inlineStr"/>
      <c r="M487" t="inlineStr"/>
      <c r="N487" t="inlineStr"/>
      <c r="O487" t="inlineStr"/>
      <c r="P487" t="inlineStr"/>
      <c r="Q487" t="inlineStr"/>
      <c r="R487" t="inlineStr"/>
      <c r="S487" t="inlineStr"/>
      <c r="T487" t="inlineStr"/>
      <c r="U487">
        <f>290*U486/1000</f>
        <v/>
      </c>
      <c r="V487" t="inlineStr"/>
    </row>
    <row r="488">
      <c r="A488">
        <f>Skills!A5</f>
        <v/>
      </c>
      <c r="B488">
        <f>Skills!B5</f>
        <v/>
      </c>
      <c r="C488">
        <f>Inputs!$B$3&gt;=35</f>
        <v/>
      </c>
      <c r="D488">
        <f>IF(Skills!C5=1,60+Inputs!$B$25+Inputs!$B$29,IF(Skills!C5=2,90+Inputs!$B$26+Inputs!$B$29,IF(Skills!C5=3,120+Inputs!$B$27+Inputs!$B$29,MAX(0,(Inputs!$B$3-100)*3)+Inputs!$B$28+Inputs!$B$29)))</f>
        <v/>
      </c>
      <c r="E488">
        <f>INDEX(FactorTable!$B$2:$Y$301, MATCH(ROUND(MIN(300,MAX(1,D488)),0), FactorTable!$A$2:$A$301,0), Skills!M5+1)</f>
        <v/>
      </c>
      <c r="F488">
        <f>IF(Skills!N5=TRUE,(Skills!L5/10)*(E488/1000),Skills!L5/10)+Skills!O5</f>
        <v/>
      </c>
      <c r="G488">
        <f>Skills!G5*IF(Skills!H5&gt;0,Skills!I5/Skills!H5,1)</f>
        <v/>
      </c>
      <c r="H488">
        <f>1-(1-Skills!J5/100)^Skills!K5</f>
        <v/>
      </c>
      <c r="I488" t="inlineStr">
        <is>
          <t>1</t>
        </is>
      </c>
      <c r="J488">
        <f>((Inputs!$B$6*(1+Inputs!$B$7/100))+(((Inputs!$B$12*(1+Inputs!$B$13/100))-(Inputs!$B$12*(1+Inputs!$B$13/100)))+0.25*(Inputs!$B$14-Inputs!$B$14))*(1+Inputs!$B$7/100))*(F488/100)</f>
        <v/>
      </c>
      <c r="K488">
        <f>J488*(1+((Inputs!$B$12*(1+Inputs!$B$13/100))*0.01+Inputs!$B$14*0.0025)/100)*(1+Inputs!$B$15/100)*(1+Inputs!$B$16/100)*(5000/(6000+Inputs!$B$42*(1-(Inputs!$B$19+0)/100)))*(1+(Inputs!$B$24+((C507=TRUE)*(F507-Calc!F24))+((C508=TRUE)*(F508-Calc!F25))+B521)/100)*(1+4.0*IF(C491=TRUE,F491,0)/100)*(1+(IF(Skills!A5="EMPOWERED_PIERCING_ARROW",Inputs!$B$17+((C505=TRUE)*(F505-Calc!F22)),Inputs!$B$18+((C510=TRUE)*(F510-Calc!F27))))/100)*((1+(((C496=TRUE)*F496)+((C497=TRUE)*IF(Inputs!$B$38="pvp",F497,(1-Summary!$B$55)*(F497)+Summary!$B$55*(0)))+((C498=TRUE)*F498*IF(AND(Inputs!$B$38&lt;&gt;"pvp",Inputs!$B$43&gt;0),(((R498-1)*(Skills!T15*(1+Inputs!$B$34/100))+MIN((Skills!T15*(1+Inputs!$B$34/100)),MAX(0,Inputs!$B$43-((R498-1)*Skills!D15))))/Inputs!$B$43),IF(Inputs!$B$38="pvp",MIN((Skills!T15*(1+Inputs!$B$34/100)),15)/15,(Skills!T15*(1+Inputs!$B$34/100))/Skills!D15)))+((C495=TRUE)*F495)+((C512=TRUE)*(F512-Calc!F29)))/100)*I488)</f>
        <v/>
      </c>
      <c r="L488">
        <f>K488*(MIN(Inputs!$B$22+((C506=TRUE)*(F506-Calc!F23)),Inputs!$B$23+((C511=TRUE)*(F511-Calc!F28)))/100+(Inputs!$B$23+((C511=TRUE)*(F511-Calc!F28)))/100)/2</f>
        <v/>
      </c>
      <c r="M488">
        <f>L488*(1+(Inputs!$B$10+0+B520)/100)</f>
        <v/>
      </c>
      <c r="N488">
        <f>L488*(1-MIN(((Inputs!$B$9+1)+((C502=TRUE)*(F502-Calc!F19))+B515),100)/100)+M488*(MIN(((Inputs!$B$9+1)+((C502=TRUE)*(F502-Calc!F19))+B515),100)/100)</f>
        <v/>
      </c>
      <c r="O488">
        <f>(1-Summary!$B$55)*T488+Summary!$B$55*V488</f>
        <v/>
      </c>
      <c r="P488">
        <f>IF(B525=0,0,O488/B525)</f>
        <v/>
      </c>
      <c r="Q488">
        <f>IFERROR(1/IF(Inputs!$B$38="pvp",15,MAX(0.1,Skills!D5-IF(Skills!E5=TRUE,Inputs!$B$32,0))),0)</f>
        <v/>
      </c>
      <c r="R488">
        <f>IF(AND(Inputs!$B$38&lt;&gt;"pvp",Inputs!$B$43&gt;0),IF(MAX(0,Inputs!$B$43-B522)&lt;=0,0,(INT(MAX(0,Inputs!$B$43-B522)/IF(Inputs!$B$38="pvp",15,MAX(0.1,Skills!D5-IF(Skills!E5=TRUE,Inputs!$B$32,0))))+1)),0)</f>
        <v/>
      </c>
      <c r="S488">
        <f>IFERROR((H488*N488*IF(AND(Inputs!$B$38&lt;&gt;"pvp",Inputs!$B$43&gt;0),((Skills!G5*((R488-1)*IF(Skills!H5&gt;0,Skills!I5/Skills!H5,1)+IF(Skills!H5&gt;0,MIN(Skills!I5,MAX(0,MAX(0,Inputs!$B$43-B522)-((R488-1)*IF(Inputs!$B$38="pvp",15,MAX(0.1,Skills!D5-IF(Skills!E5=TRUE,Inputs!$B$32,0))))))/Skills!H5,1)))/Inputs!$B$43),G488*Q488))/N488*IF(Inputs!$B$38="pvp",1,(1-Summary!$B$55)*1+Summary!$B$55*(MIN(Skills!R5,Inputs!$B$37))),0)</f>
        <v/>
      </c>
      <c r="T488">
        <f>IF(C488,(H488*N488*IF(AND(Inputs!$B$38&lt;&gt;"pvp",Inputs!$B$43&gt;0),((Skills!G5*((R488-1)*IF(Skills!H5&gt;0,Skills!I5/Skills!H5,1)+IF(Skills!H5&gt;0,MIN(Skills!I5,MAX(0,MAX(0,Inputs!$B$43-B522)-((R488-1)*IF(Inputs!$B$38="pvp",15,MAX(0.1,Skills!D5-IF(Skills!E5=TRUE,Inputs!$B$32,0))))))/Skills!H5,1)))/Inputs!$B$43),G488*Q488))*IF(Inputs!$B$38="pvp",1,1+(Inputs!$B$20+0+Skills!P5)/100),0)</f>
        <v/>
      </c>
      <c r="V488">
        <f>IF(C488,(H488*N488*IF(AND(Inputs!$B$38&lt;&gt;"pvp",Inputs!$B$43&gt;0),((Skills!G5*((R488-1)*IF(Skills!H5&gt;0,Skills!I5/Skills!H5,1)+IF(Skills!H5&gt;0,MIN(Skills!I5,MAX(0,MAX(0,Inputs!$B$43-B522)-((R488-1)*IF(Inputs!$B$38="pvp",15,MAX(0.1,Skills!D5-IF(Skills!E5=TRUE,Inputs!$B$32,0))))))/Skills!H5,1)))/Inputs!$B$43),G488*Q488))*IF(Inputs!$B$38="pvp",1,(1+(Inputs!$B$21+Skills!Q5)/100)*(MIN(Skills!R5,Inputs!$B$37))),0)</f>
        <v/>
      </c>
    </row>
    <row r="489">
      <c r="A489">
        <f>Skills!A6</f>
        <v/>
      </c>
      <c r="B489">
        <f>Skills!B6</f>
        <v/>
      </c>
      <c r="C489">
        <f>Inputs!$B$3&gt;=63</f>
        <v/>
      </c>
      <c r="D489">
        <f>IF(Skills!C6=1,60+Inputs!$B$25+Inputs!$B$29,IF(Skills!C6=2,90+Inputs!$B$26+Inputs!$B$29,IF(Skills!C6=3,120+Inputs!$B$27+Inputs!$B$29,MAX(0,(Inputs!$B$3-100)*3)+Inputs!$B$28+Inputs!$B$29)))</f>
        <v/>
      </c>
      <c r="E489">
        <f>INDEX(FactorTable!$B$2:$Y$301, MATCH(ROUND(MIN(300,MAX(1,D489)),0), FactorTable!$A$2:$A$301,0), Skills!M6+1)</f>
        <v/>
      </c>
      <c r="F489">
        <f>IF(Skills!N6=TRUE,(Skills!L6/10)*(E489/1000),Skills!L6/10)+Skills!O6</f>
        <v/>
      </c>
      <c r="G489">
        <f>Skills!G6*IF(Skills!H6&gt;0,Skills!I6/Skills!H6,1)</f>
        <v/>
      </c>
      <c r="H489">
        <f>1-(1-Skills!J6/100)^Skills!K6</f>
        <v/>
      </c>
      <c r="I489" t="inlineStr">
        <is>
          <t>1</t>
        </is>
      </c>
      <c r="J489">
        <f>((Inputs!$B$6*(1+Inputs!$B$7/100))+(((Inputs!$B$12*(1+Inputs!$B$13/100))-(Inputs!$B$12*(1+Inputs!$B$13/100)))+0.25*(Inputs!$B$14-Inputs!$B$14))*(1+Inputs!$B$7/100))*(F489/100)</f>
        <v/>
      </c>
      <c r="K489">
        <f>J489*(1+((Inputs!$B$12*(1+Inputs!$B$13/100))*0.01+Inputs!$B$14*0.0025)/100)*(1+Inputs!$B$15/100)*(1+Inputs!$B$16/100)*(5000/(6000+Inputs!$B$42*(1-(Inputs!$B$19+0)/100)))*(1+(Inputs!$B$24+((C507=TRUE)*(F507-Calc!F24))+((C508=TRUE)*(F508-Calc!F25))+B521)/100)*(1+1.0*IF(C491=TRUE,F491,0)/100)*(1+(IF(Skills!A6="EMPOWERED_PIERCING_ARROW",Inputs!$B$17+((C505=TRUE)*(F505-Calc!F22)),Inputs!$B$18+((C510=TRUE)*(F510-Calc!F27))))/100)*((1+(((C496=TRUE)*F496)+((C497=TRUE)*IF(Inputs!$B$38="pvp",F497,(1-Summary!$B$55)*(F497)+Summary!$B$55*(0)))+((C498=TRUE)*F498*IF(AND(Inputs!$B$38&lt;&gt;"pvp",Inputs!$B$43&gt;0),(((R498-1)*(Skills!T15*(1+Inputs!$B$34/100))+MIN((Skills!T15*(1+Inputs!$B$34/100)),MAX(0,Inputs!$B$43-((R498-1)*Skills!D15))))/Inputs!$B$43),IF(Inputs!$B$38="pvp",MIN((Skills!T15*(1+Inputs!$B$34/100)),15)/15,(Skills!T15*(1+Inputs!$B$34/100))/Skills!D15)))+((C495=TRUE)*F495)+((C512=TRUE)*(F512-Calc!F29)))/100)*I489)</f>
        <v/>
      </c>
      <c r="L489">
        <f>K489*(MIN(Inputs!$B$22+((C506=TRUE)*(F506-Calc!F23)),Inputs!$B$23+((C511=TRUE)*(F511-Calc!F28)))/100+(Inputs!$B$23+((C511=TRUE)*(F511-Calc!F28)))/100)/2</f>
        <v/>
      </c>
      <c r="M489">
        <f>L489*(1+(Inputs!$B$10+0+B520)/100)</f>
        <v/>
      </c>
      <c r="N489">
        <f>L489*(1-MIN(((Inputs!$B$9+1)+((C502=TRUE)*(F502-Calc!F19))+B515),100)/100)+M489*(MIN(((Inputs!$B$9+1)+((C502=TRUE)*(F502-Calc!F19))+B515),100)/100)</f>
        <v/>
      </c>
      <c r="O489">
        <f>(1-Summary!$B$55)*T489+Summary!$B$55*V489</f>
        <v/>
      </c>
      <c r="P489">
        <f>IF(B525=0,0,O489/B525)</f>
        <v/>
      </c>
      <c r="Q489">
        <f>IFERROR(1/IF(Inputs!$B$38="pvp",15,MAX(0.1,Skills!D6-IF(Skills!E6=TRUE,Inputs!$B$32,0))),0)</f>
        <v/>
      </c>
      <c r="R489">
        <f>IF(AND(Inputs!$B$38&lt;&gt;"pvp",Inputs!$B$43&gt;0),IF(MAX(0,Inputs!$B$43-B522)&lt;=0,0,(INT(MAX(0,Inputs!$B$43-B522)/IF(Inputs!$B$38="pvp",15,MAX(0.1,Skills!D6-IF(Skills!E6=TRUE,Inputs!$B$32,0))))+1)),0)</f>
        <v/>
      </c>
      <c r="S489">
        <f>IFERROR((H489*N489*IF(AND(Inputs!$B$38&lt;&gt;"pvp",Inputs!$B$43&gt;0),((Skills!G6*((R489-1)*IF(Skills!H6&gt;0,Skills!I6/Skills!H6,1)+IF(Skills!H6&gt;0,MIN(Skills!I6,MAX(0,MAX(0,Inputs!$B$43-B522)-((R489-1)*IF(Inputs!$B$38="pvp",15,MAX(0.1,Skills!D6-IF(Skills!E6=TRUE,Inputs!$B$32,0))))))/Skills!H6,1)))/Inputs!$B$43),G489*Q489))/N489*IF(Inputs!$B$38="pvp",1,(1-Summary!$B$55)*1+Summary!$B$55*(MIN(Skills!R6,Inputs!$B$37))),0)</f>
        <v/>
      </c>
      <c r="T489">
        <f>IF(C489,(H489*N489*IF(AND(Inputs!$B$38&lt;&gt;"pvp",Inputs!$B$43&gt;0),((Skills!G6*((R489-1)*IF(Skills!H6&gt;0,Skills!I6/Skills!H6,1)+IF(Skills!H6&gt;0,MIN(Skills!I6,MAX(0,MAX(0,Inputs!$B$43-B522)-((R489-1)*IF(Inputs!$B$38="pvp",15,MAX(0.1,Skills!D6-IF(Skills!E6=TRUE,Inputs!$B$32,0))))))/Skills!H6,1)))/Inputs!$B$43),G489*Q489))*IF(Inputs!$B$38="pvp",1,1+(Inputs!$B$20+0+Skills!P6)/100),0)</f>
        <v/>
      </c>
      <c r="V489">
        <f>IF(C489,(H489*N489*IF(AND(Inputs!$B$38&lt;&gt;"pvp",Inputs!$B$43&gt;0),((Skills!G6*((R489-1)*IF(Skills!H6&gt;0,Skills!I6/Skills!H6,1)+IF(Skills!H6&gt;0,MIN(Skills!I6,MAX(0,MAX(0,Inputs!$B$43-B522)-((R489-1)*IF(Inputs!$B$38="pvp",15,MAX(0.1,Skills!D6-IF(Skills!E6=TRUE,Inputs!$B$32,0))))))/Skills!H6,1)))/Inputs!$B$43),G489*Q489))*IF(Inputs!$B$38="pvp",1,(1+(Inputs!$B$21+Skills!Q6)/100)*(MIN(Skills!R6,Inputs!$B$37))),0)</f>
        <v/>
      </c>
    </row>
    <row r="490">
      <c r="A490">
        <f>Skills!A7</f>
        <v/>
      </c>
      <c r="B490">
        <f>Skills!B7</f>
        <v/>
      </c>
      <c r="C490">
        <f>Inputs!$B$3&gt;=69</f>
        <v/>
      </c>
      <c r="D490">
        <f>IF(Skills!C7=1,60+Inputs!$B$25+Inputs!$B$29,IF(Skills!C7=2,90+Inputs!$B$26+Inputs!$B$29,IF(Skills!C7=3,120+Inputs!$B$27+Inputs!$B$29,MAX(0,(Inputs!$B$3-100)*3)+Inputs!$B$28+Inputs!$B$29)))</f>
        <v/>
      </c>
      <c r="E490">
        <f>INDEX(FactorTable!$B$2:$Y$301, MATCH(ROUND(MIN(300,MAX(1,D490)),0), FactorTable!$A$2:$A$301,0), Skills!M7+1)</f>
        <v/>
      </c>
      <c r="F490">
        <f>IF(Skills!N7=TRUE,(Skills!L7/10)*(E490/1000),Skills!L7/10)+Skills!O7</f>
        <v/>
      </c>
      <c r="G490">
        <f>Skills!G7*IF(Skills!H7&gt;0,Skills!I7/Skills!H7,1)</f>
        <v/>
      </c>
      <c r="H490">
        <f>1-(1-Skills!J7/100)^Skills!K7</f>
        <v/>
      </c>
      <c r="I490" t="inlineStr">
        <is>
          <t>1</t>
        </is>
      </c>
      <c r="J490">
        <f>((Inputs!$B$6*(1+Inputs!$B$7/100))+(((Inputs!$B$12*(1+Inputs!$B$13/100))-(Inputs!$B$12*(1+Inputs!$B$13/100)))+0.25*(Inputs!$B$14-Inputs!$B$14))*(1+Inputs!$B$7/100))*(F490/100)</f>
        <v/>
      </c>
      <c r="K490">
        <f>J490*(1+((Inputs!$B$12*(1+Inputs!$B$13/100))*0.01+Inputs!$B$14*0.0025)/100)*(1+Inputs!$B$15/100)*(1+Inputs!$B$16/100)*(5000/(6000+Inputs!$B$42*(1-(Inputs!$B$19+0)/100)))*(1+(Inputs!$B$24+((C507=TRUE)*(F507-Calc!F24))+((C508=TRUE)*(F508-Calc!F25))+B521)/100)*(1+1.2*IF(C491=TRUE,F491,0)/100)*(1+(IF(Skills!A7="EMPOWERED_PIERCING_ARROW",Inputs!$B$17+((C505=TRUE)*(F505-Calc!F22)),Inputs!$B$18+((C510=TRUE)*(F510-Calc!F27))))/100)*((1+(((C496=TRUE)*F496)+((C497=TRUE)*IF(Inputs!$B$38="pvp",F497,(1-Summary!$B$55)*(F497)+Summary!$B$55*(0)))+((C498=TRUE)*F498*IF(AND(Inputs!$B$38&lt;&gt;"pvp",Inputs!$B$43&gt;0),(((R498-1)*(Skills!T15*(1+Inputs!$B$34/100))+MIN((Skills!T15*(1+Inputs!$B$34/100)),MAX(0,Inputs!$B$43-((R498-1)*Skills!D15))))/Inputs!$B$43),IF(Inputs!$B$38="pvp",MIN((Skills!T15*(1+Inputs!$B$34/100)),15)/15,(Skills!T15*(1+Inputs!$B$34/100))/Skills!D15)))+((C495=TRUE)*F495)+((C512=TRUE)*(F512-Calc!F29)))/100)*I490)</f>
        <v/>
      </c>
      <c r="L490">
        <f>K490*(MIN(Inputs!$B$22+((C506=TRUE)*(F506-Calc!F23)),Inputs!$B$23+((C511=TRUE)*(F511-Calc!F28)))/100+(Inputs!$B$23+((C511=TRUE)*(F511-Calc!F28)))/100)/2</f>
        <v/>
      </c>
      <c r="M490">
        <f>L490*(1+(Inputs!$B$10+0+B520)/100)</f>
        <v/>
      </c>
      <c r="N490">
        <f>L490*(1-MIN(((Inputs!$B$9+1)+((C502=TRUE)*(F502-Calc!F19))+B515),100)/100)+M490*(MIN(((Inputs!$B$9+1)+((C502=TRUE)*(F502-Calc!F19))+B515),100)/100)</f>
        <v/>
      </c>
      <c r="O490">
        <f>(1-Summary!$B$55)*T490+Summary!$B$55*V490</f>
        <v/>
      </c>
      <c r="P490">
        <f>IF(B525=0,0,O490/B525)</f>
        <v/>
      </c>
      <c r="Q490">
        <f>IFERROR(1/IF(Inputs!$B$38="pvp",15,MAX(0.1,Skills!D7-IF(Skills!E7=TRUE,Inputs!$B$32,0))),0)</f>
        <v/>
      </c>
      <c r="R490">
        <f>IF(AND(Inputs!$B$38&lt;&gt;"pvp",Inputs!$B$43&gt;0),IF(MAX(0,Inputs!$B$43-B522)&lt;=0,0,(INT(MAX(0,Inputs!$B$43-B522)/IF(Inputs!$B$38="pvp",15,MAX(0.1,Skills!D7-IF(Skills!E7=TRUE,Inputs!$B$32,0))))+1)),0)</f>
        <v/>
      </c>
      <c r="S490">
        <f>IFERROR((H490*N490*IF(AND(Inputs!$B$38&lt;&gt;"pvp",Inputs!$B$43&gt;0),((Skills!G7*((R490-1)*IF(Skills!H7&gt;0,Skills!I7/Skills!H7,1)+IF(Skills!H7&gt;0,MIN(Skills!I7,MAX(0,MAX(0,Inputs!$B$43-B522)-((R490-1)*IF(Inputs!$B$38="pvp",15,MAX(0.1,Skills!D7-IF(Skills!E7=TRUE,Inputs!$B$32,0))))))/Skills!H7,1)))/Inputs!$B$43),G490*Q490))/N490*IF(Inputs!$B$38="pvp",1,(1-Summary!$B$55)*1+Summary!$B$55*(MIN(Skills!R7,Inputs!$B$37))),0)</f>
        <v/>
      </c>
      <c r="T490">
        <f>IF(C490,(H490*N490*IF(AND(Inputs!$B$38&lt;&gt;"pvp",Inputs!$B$43&gt;0),((Skills!G7*((R490-1)*IF(Skills!H7&gt;0,Skills!I7/Skills!H7,1)+IF(Skills!H7&gt;0,MIN(Skills!I7,MAX(0,MAX(0,Inputs!$B$43-B522)-((R490-1)*IF(Inputs!$B$38="pvp",15,MAX(0.1,Skills!D7-IF(Skills!E7=TRUE,Inputs!$B$32,0))))))/Skills!H7,1)))/Inputs!$B$43),G490*Q490))*IF(Inputs!$B$38="pvp",1,1+(Inputs!$B$20+0+Skills!P7)/100),0)</f>
        <v/>
      </c>
      <c r="V490">
        <f>IF(C490,(H490*N490*IF(AND(Inputs!$B$38&lt;&gt;"pvp",Inputs!$B$43&gt;0),((Skills!G7*((R490-1)*IF(Skills!H7&gt;0,Skills!I7/Skills!H7,1)+IF(Skills!H7&gt;0,MIN(Skills!I7,MAX(0,MAX(0,Inputs!$B$43-B522)-((R490-1)*IF(Inputs!$B$38="pvp",15,MAX(0.1,Skills!D7-IF(Skills!E7=TRUE,Inputs!$B$32,0))))))/Skills!H7,1)))/Inputs!$B$43),G490*Q490))*IF(Inputs!$B$38="pvp",1,(1+(Inputs!$B$21+Skills!Q7)/100)*(MIN(Skills!R7,Inputs!$B$37))),0)</f>
        <v/>
      </c>
    </row>
    <row r="491">
      <c r="A491">
        <f>Skills!A8</f>
        <v/>
      </c>
      <c r="B491">
        <f>Skills!B8</f>
        <v/>
      </c>
      <c r="C491">
        <f>Inputs!$B$3&gt;=100</f>
        <v/>
      </c>
      <c r="D491">
        <f>IF(Skills!C8=1,60+Inputs!$B$25+Inputs!$B$29,IF(Skills!C8=2,90+Inputs!$B$26+Inputs!$B$29,IF(Skills!C8=3,120+Inputs!$B$27+Inputs!$B$29,MAX(0,(Inputs!$B$3-100)*3)+Inputs!$B$28+Inputs!$B$29)))</f>
        <v/>
      </c>
      <c r="E491">
        <f>INDEX(FactorTable!$B$2:$Y$301, MATCH(ROUND(MIN(300,MAX(1,D491)),0), FactorTable!$A$2:$A$301,0), Skills!M8+1)</f>
        <v/>
      </c>
      <c r="F491">
        <f>IF(Skills!N8=TRUE,(Skills!L8/10)*(E491/1000),Skills!L8/10)+Skills!O8</f>
        <v/>
      </c>
      <c r="G491" t="inlineStr"/>
      <c r="H491" t="inlineStr"/>
      <c r="I491" t="inlineStr">
        <is>
          <t>1</t>
        </is>
      </c>
      <c r="J491" t="inlineStr"/>
      <c r="K491" t="inlineStr"/>
      <c r="L491" t="inlineStr"/>
      <c r="M491" t="inlineStr"/>
      <c r="N491" t="inlineStr"/>
      <c r="O491" t="inlineStr"/>
      <c r="P491" t="inlineStr"/>
      <c r="Q491" t="inlineStr"/>
      <c r="R491" t="inlineStr"/>
      <c r="S491" t="inlineStr"/>
      <c r="T491" t="inlineStr"/>
      <c r="V491" t="inlineStr"/>
    </row>
    <row r="492">
      <c r="A492">
        <f>Skills!A9</f>
        <v/>
      </c>
      <c r="B492">
        <f>Skills!B9</f>
        <v/>
      </c>
      <c r="C492">
        <f>Inputs!$B$3&gt;=103</f>
        <v/>
      </c>
      <c r="D492">
        <f>IF(Skills!C9=1,60+Inputs!$B$25+Inputs!$B$29,IF(Skills!C9=2,90+Inputs!$B$26+Inputs!$B$29,IF(Skills!C9=3,120+Inputs!$B$27+Inputs!$B$29,MAX(0,(Inputs!$B$3-100)*3)+Inputs!$B$28+Inputs!$B$29)))</f>
        <v/>
      </c>
      <c r="E492">
        <f>INDEX(FactorTable!$B$2:$Y$301, MATCH(ROUND(MIN(300,MAX(1,D492)),0), FactorTable!$A$2:$A$301,0), Skills!M9+1)</f>
        <v/>
      </c>
      <c r="F492">
        <f>IF(Skills!N9=TRUE,(Skills!L9/10)*(E492/1000),Skills!L9/10)+Skills!O9</f>
        <v/>
      </c>
      <c r="G492">
        <f>Skills!G9*IF(Skills!H9&gt;0,Skills!I9/Skills!H9,1)</f>
        <v/>
      </c>
      <c r="H492">
        <f>1-(1-Skills!J9/100)^Skills!K9</f>
        <v/>
      </c>
      <c r="I492" t="inlineStr">
        <is>
          <t>1</t>
        </is>
      </c>
      <c r="J492">
        <f>((Inputs!$B$6*(1+Inputs!$B$7/100))+(((Inputs!$B$12*(1+Inputs!$B$13/100))-(Inputs!$B$12*(1+Inputs!$B$13/100)))+0.25*(Inputs!$B$14-Inputs!$B$14))*(1+Inputs!$B$7/100))*(F492/100)</f>
        <v/>
      </c>
      <c r="K492">
        <f>J492*(1+((Inputs!$B$12*(1+Inputs!$B$13/100))*0.01+Inputs!$B$14*0.0025)/100)*(1+Inputs!$B$15/100)*(1+Inputs!$B$16/100)*(5000/(6000+Inputs!$B$42*(1-(Inputs!$B$19+0)/100)))*(1+(Inputs!$B$24+((C507=TRUE)*(F507-Calc!F24))+((C508=TRUE)*(F508-Calc!F25))+B521)/100)*(1+(IF(Skills!A9="EMPOWERED_PIERCING_ARROW",Inputs!$B$17+((C505=TRUE)*(F505-Calc!F22)),Inputs!$B$18+((C510=TRUE)*(F510-Calc!F27))))/100)*((1+(((C496=TRUE)*F496)+((C497=TRUE)*IF(Inputs!$B$38="pvp",F497,(1-Summary!$B$55)*(F497)+Summary!$B$55*(0)))+((C498=TRUE)*F498*IF(AND(Inputs!$B$38&lt;&gt;"pvp",Inputs!$B$43&gt;0),(((R498-1)*(Skills!T15*(1+Inputs!$B$34/100))+MIN((Skills!T15*(1+Inputs!$B$34/100)),MAX(0,Inputs!$B$43-((R498-1)*Skills!D15))))/Inputs!$B$43),IF(Inputs!$B$38="pvp",MIN((Skills!T15*(1+Inputs!$B$34/100)),15)/15,(Skills!T15*(1+Inputs!$B$34/100))/Skills!D15)))+((C495=TRUE)*F495)+((C512=TRUE)*(F512-Calc!F29)))/100)*I492)</f>
        <v/>
      </c>
      <c r="L492">
        <f>K492*(MIN(Inputs!$B$22+((C506=TRUE)*(F506-Calc!F23)),Inputs!$B$23+((C511=TRUE)*(F511-Calc!F28)))/100+(Inputs!$B$23+((C511=TRUE)*(F511-Calc!F28)))/100)/2</f>
        <v/>
      </c>
      <c r="M492">
        <f>L492*(1+(Inputs!$B$10+0+B520)/100)</f>
        <v/>
      </c>
      <c r="N492">
        <f>L492*(1-MIN(((Inputs!$B$9+1)+((C502=TRUE)*(F502-Calc!F19))+B515),100)/100)+M492*(MIN(((Inputs!$B$9+1)+((C502=TRUE)*(F502-Calc!F19))+B515),100)/100)</f>
        <v/>
      </c>
      <c r="O492">
        <f>(1-Summary!$B$55)*T492+Summary!$B$55*V492</f>
        <v/>
      </c>
      <c r="P492">
        <f>IF(B525=0,0,O492/B525)</f>
        <v/>
      </c>
      <c r="Q492">
        <f>IFERROR(1/IF(Inputs!$B$38="pvp",15,MAX(0.1,Skills!D9-IF(Skills!E9=TRUE,Inputs!$B$32,0))),0)</f>
        <v/>
      </c>
      <c r="R492">
        <f>IF(AND(Inputs!$B$38&lt;&gt;"pvp",Inputs!$B$43&gt;0),IF(MAX(0,Inputs!$B$43-B522)&lt;=0,0,(INT(MAX(0,Inputs!$B$43-B522)/IF(Inputs!$B$38="pvp",15,MAX(0.1,Skills!D9-IF(Skills!E9=TRUE,Inputs!$B$32,0))))+1)),0)</f>
        <v/>
      </c>
      <c r="S492">
        <f>IFERROR((H492*N492*IF(AND(Inputs!$B$38&lt;&gt;"pvp",Inputs!$B$43&gt;0),((Skills!G9*((R492-1)*IF(Skills!H9&gt;0,Skills!I9/Skills!H9,1)+IF(Skills!H9&gt;0,MIN(Skills!I9,MAX(0,MAX(0,Inputs!$B$43-B522)-((R492-1)*IF(Inputs!$B$38="pvp",15,MAX(0.1,Skills!D9-IF(Skills!E9=TRUE,Inputs!$B$32,0))))))/Skills!H9,1)))/Inputs!$B$43),G492*Q492))/N492*IF(Inputs!$B$38="pvp",1,(1-Summary!$B$55)*1+Summary!$B$55*(MIN(Skills!R9,Inputs!$B$37))),0)</f>
        <v/>
      </c>
      <c r="T492">
        <f>IF(C492,(H492*N492*IF(AND(Inputs!$B$38&lt;&gt;"pvp",Inputs!$B$43&gt;0),((Skills!G9*((R492-1)*IF(Skills!H9&gt;0,Skills!I9/Skills!H9,1)+IF(Skills!H9&gt;0,MIN(Skills!I9,MAX(0,MAX(0,Inputs!$B$43-B522)-((R492-1)*IF(Inputs!$B$38="pvp",15,MAX(0.1,Skills!D9-IF(Skills!E9=TRUE,Inputs!$B$32,0))))))/Skills!H9,1)))/Inputs!$B$43),G492*Q492))*IF(Inputs!$B$38="pvp",1,1+(Inputs!$B$20+0+Skills!P9)/100),0)</f>
        <v/>
      </c>
      <c r="V492">
        <f>IF(C492,(H492*N492*IF(AND(Inputs!$B$38&lt;&gt;"pvp",Inputs!$B$43&gt;0),((Skills!G9*((R492-1)*IF(Skills!H9&gt;0,Skills!I9/Skills!H9,1)+IF(Skills!H9&gt;0,MIN(Skills!I9,MAX(0,MAX(0,Inputs!$B$43-B522)-((R492-1)*IF(Inputs!$B$38="pvp",15,MAX(0.1,Skills!D9-IF(Skills!E9=TRUE,Inputs!$B$32,0))))))/Skills!H9,1)))/Inputs!$B$43),G492*Q492))*IF(Inputs!$B$38="pvp",1,(1+(Inputs!$B$21+Skills!Q9)/100)*(MIN(Skills!R9,Inputs!$B$37))),0)</f>
        <v/>
      </c>
    </row>
    <row r="493">
      <c r="A493">
        <f>Skills!A10</f>
        <v/>
      </c>
      <c r="B493">
        <f>Skills!B10</f>
        <v/>
      </c>
      <c r="C493">
        <f>Inputs!$B$3&gt;=107</f>
        <v/>
      </c>
      <c r="D493">
        <f>IF(Skills!C10=1,60+Inputs!$B$25+Inputs!$B$29,IF(Skills!C10=2,90+Inputs!$B$26+Inputs!$B$29,IF(Skills!C10=3,120+Inputs!$B$27+Inputs!$B$29,MAX(0,(Inputs!$B$3-100)*3)+Inputs!$B$28+Inputs!$B$29)))</f>
        <v/>
      </c>
      <c r="E493">
        <f>INDEX(FactorTable!$B$2:$Y$301, MATCH(ROUND(MIN(300,MAX(1,D493)),0), FactorTable!$A$2:$A$301,0), Skills!M10+1)</f>
        <v/>
      </c>
      <c r="F493">
        <f>IF(Skills!N10=TRUE,(Skills!L10/10)*(E493/1000),Skills!L10/10)+Skills!O10</f>
        <v/>
      </c>
      <c r="G493">
        <f>Skills!G10*IF(Skills!H10&gt;0,Skills!I10/Skills!H10,1)</f>
        <v/>
      </c>
      <c r="H493">
        <f>1-(1-Skills!J10/100)^Skills!K10</f>
        <v/>
      </c>
      <c r="I493" t="inlineStr">
        <is>
          <t>1</t>
        </is>
      </c>
      <c r="J493">
        <f>((Inputs!$B$6*(1+Inputs!$B$7/100))+(((Inputs!$B$12*(1+Inputs!$B$13/100))-(Inputs!$B$12*(1+Inputs!$B$13/100)))+0.25*(Inputs!$B$14-Inputs!$B$14))*(1+Inputs!$B$7/100))*(F493/100)</f>
        <v/>
      </c>
      <c r="K493">
        <f>J493*(1+((Inputs!$B$12*(1+Inputs!$B$13/100))*0.01+Inputs!$B$14*0.0025)/100)*(1+Inputs!$B$15/100)*(1+Inputs!$B$16/100)*(5000/(6000+Inputs!$B$42*(1-(Inputs!$B$19+0)/100)))*(1+(Inputs!$B$24+((C507=TRUE)*(F507-Calc!F24))+((C508=TRUE)*(F508-Calc!F25))+B521)/100)*(1+(IF(Skills!A10="EMPOWERED_PIERCING_ARROW",Inputs!$B$17+((C505=TRUE)*(F505-Calc!F22)),Inputs!$B$18+((C510=TRUE)*(F510-Calc!F27))))/100)*((1+(((C496=TRUE)*F496)+((C497=TRUE)*IF(Inputs!$B$38="pvp",F497,(1-Summary!$B$55)*(F497)+Summary!$B$55*(0)))+((C498=TRUE)*F498*IF(AND(Inputs!$B$38&lt;&gt;"pvp",Inputs!$B$43&gt;0),(((R498-1)*(Skills!T15*(1+Inputs!$B$34/100))+MIN((Skills!T15*(1+Inputs!$B$34/100)),MAX(0,Inputs!$B$43-((R498-1)*Skills!D15))))/Inputs!$B$43),IF(Inputs!$B$38="pvp",MIN((Skills!T15*(1+Inputs!$B$34/100)),15)/15,(Skills!T15*(1+Inputs!$B$34/100))/Skills!D15)))+((C495=TRUE)*F495)+((C512=TRUE)*(F512-Calc!F29)))/100)*I493)</f>
        <v/>
      </c>
      <c r="L493">
        <f>K493*(MIN(Inputs!$B$22+((C506=TRUE)*(F506-Calc!F23)),Inputs!$B$23+((C511=TRUE)*(F511-Calc!F28)))/100+(Inputs!$B$23+((C511=TRUE)*(F511-Calc!F28)))/100)/2</f>
        <v/>
      </c>
      <c r="M493">
        <f>L493*(1+(Inputs!$B$10+0+B520)/100)</f>
        <v/>
      </c>
      <c r="N493">
        <f>L493*(1-MIN(((Inputs!$B$9+1)+((C502=TRUE)*(F502-Calc!F19))+B515),100)/100)+M493*(MIN(((Inputs!$B$9+1)+((C502=TRUE)*(F502-Calc!F19))+B515),100)/100)</f>
        <v/>
      </c>
      <c r="O493">
        <f>(1-Summary!$B$55)*T493+Summary!$B$55*V493</f>
        <v/>
      </c>
      <c r="P493">
        <f>IF(B525=0,0,O493/B525)</f>
        <v/>
      </c>
      <c r="Q493" t="n">
        <v>0</v>
      </c>
      <c r="R493" t="n">
        <v>0</v>
      </c>
      <c r="S493" t="n">
        <v>0</v>
      </c>
      <c r="T493">
        <f>IF(C493,(0.15*SUMPRODUCT((Skills!U2:U29=TRUE)*(C485:C512=TRUE)*S485:S512)*Skills!G10*N493)*IF(Inputs!$B$38="pvp",1,1+(Inputs!$B$20+0+Skills!P10)/100),0)</f>
        <v/>
      </c>
      <c r="V493">
        <f>IF(C493,(0.15*SUMPRODUCT((Skills!U2:U29=TRUE)*(C485:C512=TRUE)*S485:S512)*Skills!G10*N493)*IF(Inputs!$B$38="pvp",1,(1+(Inputs!$B$21+Skills!Q10)/100)*(MIN(Skills!R10,Inputs!$B$37))),0)</f>
        <v/>
      </c>
    </row>
    <row r="494">
      <c r="A494">
        <f>Skills!A11</f>
        <v/>
      </c>
      <c r="B494">
        <f>Skills!B11</f>
        <v/>
      </c>
      <c r="C494">
        <f>Inputs!$B$3&gt;=110</f>
        <v/>
      </c>
      <c r="D494">
        <f>IF(Skills!C11=1,60+Inputs!$B$25+Inputs!$B$29,IF(Skills!C11=2,90+Inputs!$B$26+Inputs!$B$29,IF(Skills!C11=3,120+Inputs!$B$27+Inputs!$B$29,MAX(0,(Inputs!$B$3-100)*3)+Inputs!$B$28+Inputs!$B$29)))</f>
        <v/>
      </c>
      <c r="E494">
        <f>INDEX(FactorTable!$B$2:$Y$301, MATCH(ROUND(MIN(300,MAX(1,D494)),0), FactorTable!$A$2:$A$301,0), Skills!M11+1)</f>
        <v/>
      </c>
      <c r="F494">
        <f>IF(Skills!N11=TRUE,(Skills!L11/10)*(E494/1000),Skills!L11/10)+Skills!O11</f>
        <v/>
      </c>
      <c r="G494">
        <f>Skills!G11*IF(Skills!H11&gt;0,Skills!I11/Skills!H11,1)</f>
        <v/>
      </c>
      <c r="H494">
        <f>1-(1-Skills!J11/100)^Skills!K11</f>
        <v/>
      </c>
      <c r="I494" t="inlineStr">
        <is>
          <t>1</t>
        </is>
      </c>
      <c r="J494">
        <f>((Inputs!$B$6*(1+Inputs!$B$7/100))+(((Inputs!$B$12*(1+Inputs!$B$13/100))-(Inputs!$B$12*(1+Inputs!$B$13/100)))+0.25*(Inputs!$B$14-Inputs!$B$14))*(1+Inputs!$B$7/100))*(F494/100)</f>
        <v/>
      </c>
      <c r="K494">
        <f>J494*(1+((Inputs!$B$12*(1+Inputs!$B$13/100))*0.01+Inputs!$B$14*0.0025)/100)*(1+Inputs!$B$15/100)*(1+Inputs!$B$16/100)*(5000/(6000+Inputs!$B$42*(1-(Inputs!$B$19+0)/100)))*(1+(Inputs!$B$24+((C507=TRUE)*(F507-Calc!F24))+((C508=TRUE)*(F508-Calc!F25))+B521)/100)*(1+(IF(Skills!A11="EMPOWERED_PIERCING_ARROW",Inputs!$B$17+((C505=TRUE)*(F505-Calc!F22)),Inputs!$B$18+((C510=TRUE)*(F510-Calc!F27))))/100)*((1+(((C496=TRUE)*F496)+((C497=TRUE)*IF(Inputs!$B$38="pvp",F497,(1-Summary!$B$55)*(F497)+Summary!$B$55*(0)))+((C498=TRUE)*F498*IF(AND(Inputs!$B$38&lt;&gt;"pvp",Inputs!$B$43&gt;0),(((R498-1)*(Skills!T15*(1+Inputs!$B$34/100))+MIN((Skills!T15*(1+Inputs!$B$34/100)),MAX(0,Inputs!$B$43-((R498-1)*Skills!D15))))/Inputs!$B$43),IF(Inputs!$B$38="pvp",MIN((Skills!T15*(1+Inputs!$B$34/100)),15)/15,(Skills!T15*(1+Inputs!$B$34/100))/Skills!D15)))+((C495=TRUE)*F495)+((C512=TRUE)*(F512-Calc!F29)))/100)*I494)</f>
        <v/>
      </c>
      <c r="L494">
        <f>K494*(MIN(Inputs!$B$22+((C506=TRUE)*(F506-Calc!F23)),Inputs!$B$23+((C511=TRUE)*(F511-Calc!F28)))/100+(Inputs!$B$23+((C511=TRUE)*(F511-Calc!F28)))/100)/2</f>
        <v/>
      </c>
      <c r="M494">
        <f>L494*(1+(Inputs!$B$10+0+B520)/100)</f>
        <v/>
      </c>
      <c r="N494">
        <f>L494*(1-MIN(((Inputs!$B$9+1)+((C502=TRUE)*(F502-Calc!F19))+B515),100)/100)+M494*(MIN(((Inputs!$B$9+1)+((C502=TRUE)*(F502-Calc!F19))+B515),100)/100)</f>
        <v/>
      </c>
      <c r="O494">
        <f>(1-Summary!$B$55)*T494+Summary!$B$55*V494</f>
        <v/>
      </c>
      <c r="P494">
        <f>IF(B525=0,0,O494/B525)</f>
        <v/>
      </c>
      <c r="Q494">
        <f>IFERROR(1/IF(Inputs!$B$38="pvp",15,MAX(0.1,Skills!D11-IF(Skills!E11=TRUE,Inputs!$B$32,0))),0)</f>
        <v/>
      </c>
      <c r="R494">
        <f>IF(AND(Inputs!$B$38&lt;&gt;"pvp",Inputs!$B$43&gt;0),IF(MAX(0,Inputs!$B$43-B522)&lt;=0,0,(INT(MAX(0,Inputs!$B$43-B522)/IF(Inputs!$B$38="pvp",15,MAX(0.1,Skills!D11-IF(Skills!E11=TRUE,Inputs!$B$32,0))))+1)),0)</f>
        <v/>
      </c>
      <c r="S494">
        <f>IFERROR((H494*N494*IF(AND(Inputs!$B$38&lt;&gt;"pvp",Inputs!$B$43&gt;0),((Skills!G11*((R494-1)*IF(Skills!H11&gt;0,Skills!I11/Skills!H11,1)+IF(Skills!H11&gt;0,MIN(Skills!I11,MAX(0,MAX(0,Inputs!$B$43-B522)-((R494-1)*IF(Inputs!$B$38="pvp",15,MAX(0.1,Skills!D11-IF(Skills!E11=TRUE,Inputs!$B$32,0))))))/Skills!H11,1)))/Inputs!$B$43),G494*Q494))/N494*IF(Inputs!$B$38="pvp",1,(1-Summary!$B$55)*1+Summary!$B$55*(MIN(Skills!R11,Inputs!$B$37))),0)</f>
        <v/>
      </c>
      <c r="T494">
        <f>IF(C494,(H494*N494*IF(AND(Inputs!$B$38&lt;&gt;"pvp",Inputs!$B$43&gt;0),((Skills!G11*((R494-1)*IF(Skills!H11&gt;0,Skills!I11/Skills!H11,1)+IF(Skills!H11&gt;0,MIN(Skills!I11,MAX(0,MAX(0,Inputs!$B$43-B522)-((R494-1)*IF(Inputs!$B$38="pvp",15,MAX(0.1,Skills!D11-IF(Skills!E11=TRUE,Inputs!$B$32,0))))))/Skills!H11,1)))/Inputs!$B$43),G494*Q494))*IF(Inputs!$B$38="pvp",1,1+(Inputs!$B$20+0+Skills!P11)/100),0)</f>
        <v/>
      </c>
      <c r="V494">
        <f>IF(C494,(H494*N494*IF(AND(Inputs!$B$38&lt;&gt;"pvp",Inputs!$B$43&gt;0),((Skills!G11*((R494-1)*IF(Skills!H11&gt;0,Skills!I11/Skills!H11,1)+IF(Skills!H11&gt;0,MIN(Skills!I11,MAX(0,MAX(0,Inputs!$B$43-B522)-((R494-1)*IF(Inputs!$B$38="pvp",15,MAX(0.1,Skills!D11-IF(Skills!E11=TRUE,Inputs!$B$32,0))))))/Skills!H11,1)))/Inputs!$B$43),G494*Q494))*IF(Inputs!$B$38="pvp",1,(1+(Inputs!$B$21+Skills!Q11)/100)*(MIN(Skills!R11,Inputs!$B$37))),0)</f>
        <v/>
      </c>
    </row>
    <row r="495">
      <c r="A495">
        <f>Skills!A12</f>
        <v/>
      </c>
      <c r="B495">
        <f>Skills!B12</f>
        <v/>
      </c>
      <c r="C495">
        <f>Inputs!$B$3&gt;=60</f>
        <v/>
      </c>
      <c r="D495">
        <f>IF(Skills!C12=1,60+Inputs!$B$25+Inputs!$B$29,IF(Skills!C12=2,90+Inputs!$B$26+Inputs!$B$29,IF(Skills!C12=3,120+Inputs!$B$27+Inputs!$B$29,MAX(0,(Inputs!$B$3-100)*3)+Inputs!$B$28+Inputs!$B$29)))</f>
        <v/>
      </c>
      <c r="E495">
        <f>INDEX(FactorTable!$B$2:$Y$301, MATCH(ROUND(MIN(300,MAX(1,D495)),0), FactorTable!$A$2:$A$301,0), Skills!M12+1)</f>
        <v/>
      </c>
      <c r="F495">
        <f>IF(Skills!N12=TRUE,(Skills!L12/10)*(E495/1000),Skills!L12/10)+Skills!O12</f>
        <v/>
      </c>
      <c r="G495">
        <f>Skills!G12*IF(Skills!H12&gt;0,Skills!I12/Skills!H12,1)</f>
        <v/>
      </c>
      <c r="H495">
        <f>1-(1-Skills!J12/100)^Skills!K12</f>
        <v/>
      </c>
      <c r="I495" t="inlineStr">
        <is>
          <t>1</t>
        </is>
      </c>
      <c r="J495" t="inlineStr"/>
      <c r="K495" t="inlineStr"/>
      <c r="L495" t="inlineStr"/>
      <c r="M495" t="inlineStr"/>
      <c r="N495" t="inlineStr"/>
      <c r="O495">
        <f>(1-Summary!$B$55)*T495+Summary!$B$55*V495</f>
        <v/>
      </c>
      <c r="P495">
        <f>IF(B525=0,0,O495/B525)</f>
        <v/>
      </c>
      <c r="Q495" t="n">
        <v>0</v>
      </c>
      <c r="R495" t="n">
        <v>0</v>
      </c>
      <c r="S495" t="n">
        <v>0</v>
      </c>
      <c r="T495" t="n">
        <v>0</v>
      </c>
      <c r="V495" t="n">
        <v>0</v>
      </c>
    </row>
    <row r="496">
      <c r="A496">
        <f>Skills!A13</f>
        <v/>
      </c>
      <c r="B496">
        <f>Skills!B13</f>
        <v/>
      </c>
      <c r="C496">
        <f>Inputs!$B$3&gt;=74</f>
        <v/>
      </c>
      <c r="D496">
        <f>IF(Skills!C13=1,60+Inputs!$B$25+Inputs!$B$29,IF(Skills!C13=2,90+Inputs!$B$26+Inputs!$B$29,IF(Skills!C13=3,120+Inputs!$B$27+Inputs!$B$29,MAX(0,(Inputs!$B$3-100)*3)+Inputs!$B$28+Inputs!$B$29)))</f>
        <v/>
      </c>
      <c r="E496">
        <f>INDEX(FactorTable!$B$2:$Y$301, MATCH(ROUND(MIN(300,MAX(1,D496)),0), FactorTable!$A$2:$A$301,0), Skills!M13+1)</f>
        <v/>
      </c>
      <c r="F496">
        <f>IF(Skills!N13=TRUE,(Skills!L13/10)*(E496/1000),Skills!L13/10)+Skills!O13</f>
        <v/>
      </c>
      <c r="G496">
        <f>Skills!G13*IF(Skills!H13&gt;0,Skills!I13/Skills!H13,1)</f>
        <v/>
      </c>
      <c r="H496">
        <f>1-(1-Skills!J13/100)^Skills!K13</f>
        <v/>
      </c>
      <c r="I496" t="inlineStr">
        <is>
          <t>1</t>
        </is>
      </c>
      <c r="J496" t="inlineStr"/>
      <c r="K496" t="inlineStr"/>
      <c r="L496" t="inlineStr"/>
      <c r="M496" t="inlineStr"/>
      <c r="N496" t="inlineStr"/>
      <c r="O496">
        <f>(1-Summary!$B$55)*T496+Summary!$B$55*V496</f>
        <v/>
      </c>
      <c r="P496">
        <f>IF(B525=0,0,O496/B525)</f>
        <v/>
      </c>
      <c r="Q496" t="n">
        <v>0</v>
      </c>
      <c r="R496" t="n">
        <v>0</v>
      </c>
      <c r="S496" t="n">
        <v>0</v>
      </c>
      <c r="T496" t="n">
        <v>0</v>
      </c>
      <c r="V496" t="n">
        <v>0</v>
      </c>
    </row>
    <row r="497">
      <c r="A497">
        <f>Skills!A14</f>
        <v/>
      </c>
      <c r="B497">
        <f>Skills!B14</f>
        <v/>
      </c>
      <c r="C497">
        <f>Inputs!$B$3&gt;=74</f>
        <v/>
      </c>
      <c r="D497">
        <f>IF(Skills!C14=1,60+Inputs!$B$25+Inputs!$B$29,IF(Skills!C14=2,90+Inputs!$B$26+Inputs!$B$29,IF(Skills!C14=3,120+Inputs!$B$27+Inputs!$B$29,MAX(0,(Inputs!$B$3-100)*3)+Inputs!$B$28+Inputs!$B$29)))</f>
        <v/>
      </c>
      <c r="E497">
        <f>INDEX(FactorTable!$B$2:$Y$301, MATCH(ROUND(MIN(300,MAX(1,D497)),0), FactorTable!$A$2:$A$301,0), Skills!M14+1)</f>
        <v/>
      </c>
      <c r="F497">
        <f>IF(Skills!N14=TRUE,(Skills!L14/10)*(E497/1000),Skills!L14/10)+Skills!O14</f>
        <v/>
      </c>
      <c r="G497">
        <f>Skills!G14*IF(Skills!H14&gt;0,Skills!I14/Skills!H14,1)</f>
        <v/>
      </c>
      <c r="H497">
        <f>1-(1-Skills!J14/100)^Skills!K14</f>
        <v/>
      </c>
      <c r="I497" t="inlineStr">
        <is>
          <t>1</t>
        </is>
      </c>
      <c r="J497" t="inlineStr"/>
      <c r="K497" t="inlineStr"/>
      <c r="L497" t="inlineStr"/>
      <c r="M497" t="inlineStr"/>
      <c r="N497" t="inlineStr"/>
      <c r="O497">
        <f>(1-Summary!$B$55)*T497+Summary!$B$55*V497</f>
        <v/>
      </c>
      <c r="P497">
        <f>IF(B525=0,0,O497/B525)</f>
        <v/>
      </c>
      <c r="Q497" t="n">
        <v>0</v>
      </c>
      <c r="R497" t="n">
        <v>0</v>
      </c>
      <c r="S497" t="n">
        <v>0</v>
      </c>
      <c r="T497" t="n">
        <v>0</v>
      </c>
      <c r="V497" t="n">
        <v>0</v>
      </c>
    </row>
    <row r="498">
      <c r="A498">
        <f>Skills!A15</f>
        <v/>
      </c>
      <c r="B498">
        <f>Skills!B15</f>
        <v/>
      </c>
      <c r="C498">
        <f>Inputs!$B$3&gt;=117</f>
        <v/>
      </c>
      <c r="D498">
        <f>IF(Skills!C15=1,60+Inputs!$B$25+Inputs!$B$29,IF(Skills!C15=2,90+Inputs!$B$26+Inputs!$B$29,IF(Skills!C15=3,120+Inputs!$B$27+Inputs!$B$29,MAX(0,(Inputs!$B$3-100)*3)+Inputs!$B$28+Inputs!$B$29)))</f>
        <v/>
      </c>
      <c r="E498">
        <f>INDEX(FactorTable!$B$2:$Y$301, MATCH(ROUND(MIN(300,MAX(1,D498)),0), FactorTable!$A$2:$A$301,0), Skills!M15+1)</f>
        <v/>
      </c>
      <c r="F498">
        <f>IF(Skills!N15=TRUE,(Skills!L15/10)*(E498/1000),Skills!L15/10)+Skills!O15</f>
        <v/>
      </c>
      <c r="G498">
        <f>Skills!G15*IF(Skills!H15&gt;0,Skills!I15/Skills!H15,1)</f>
        <v/>
      </c>
      <c r="H498">
        <f>1-(1-Skills!J15/100)^Skills!K15</f>
        <v/>
      </c>
      <c r="I498" t="inlineStr">
        <is>
          <t>1</t>
        </is>
      </c>
      <c r="J498" t="inlineStr"/>
      <c r="K498" t="inlineStr"/>
      <c r="L498" t="inlineStr"/>
      <c r="M498" t="inlineStr"/>
      <c r="N498" t="inlineStr"/>
      <c r="O498">
        <f>(1-Summary!$B$55)*T498+Summary!$B$55*V498</f>
        <v/>
      </c>
      <c r="P498">
        <f>IF(B525=0,0,O498/B525)</f>
        <v/>
      </c>
      <c r="Q498">
        <f>IFERROR(1/IF(Inputs!$B$38="pvp",15,MAX(0.1,Skills!D15-IF(Skills!E15=TRUE,Inputs!$B$32,0))),0)</f>
        <v/>
      </c>
      <c r="R498">
        <f>IF(AND(Inputs!$B$38&lt;&gt;"pvp",Inputs!$B$43&gt;0),IF(Inputs!$B$43&lt;=0,0,(INT(Inputs!$B$43/IF(Inputs!$B$38="pvp",15,MAX(0.1,Skills!D15-IF(Skills!E15=TRUE,Inputs!$B$32,0))))+1)),0)</f>
        <v/>
      </c>
      <c r="S498" t="n">
        <v>0</v>
      </c>
      <c r="T498" t="n">
        <v>0</v>
      </c>
      <c r="V498" t="n">
        <v>0</v>
      </c>
    </row>
    <row r="499">
      <c r="A499">
        <f>Skills!A16</f>
        <v/>
      </c>
      <c r="B499">
        <f>Skills!B16</f>
        <v/>
      </c>
      <c r="C499">
        <f>Inputs!$B$3&gt;=115</f>
        <v/>
      </c>
      <c r="D499">
        <f>IF(Skills!C16=1,60+Inputs!$B$25+Inputs!$B$29,IF(Skills!C16=2,90+Inputs!$B$26+Inputs!$B$29,IF(Skills!C16=3,120+Inputs!$B$27+Inputs!$B$29,MAX(0,(Inputs!$B$3-100)*3)+Inputs!$B$28+Inputs!$B$29)))</f>
        <v/>
      </c>
      <c r="E499">
        <f>INDEX(FactorTable!$B$2:$Y$301, MATCH(ROUND(MIN(300,MAX(1,D499)),0), FactorTable!$A$2:$A$301,0), Skills!M16+1)</f>
        <v/>
      </c>
      <c r="F499">
        <f>IF(Skills!N16=TRUE,(Skills!L16/10)*(E499/1000),Skills!L16/10)+Skills!O16</f>
        <v/>
      </c>
      <c r="G499">
        <f>Skills!G16*IF(Skills!H16&gt;0,Skills!I16/Skills!H16,1)</f>
        <v/>
      </c>
      <c r="H499">
        <f>1-(1-Skills!J16/100)^Skills!K16</f>
        <v/>
      </c>
      <c r="I499" t="inlineStr">
        <is>
          <t>1</t>
        </is>
      </c>
      <c r="J499" t="inlineStr"/>
      <c r="K499" t="inlineStr"/>
      <c r="L499" t="inlineStr"/>
      <c r="M499" t="inlineStr"/>
      <c r="N499" t="inlineStr"/>
      <c r="O499">
        <f>(1-Summary!$B$55)*T499+Summary!$B$55*V499</f>
        <v/>
      </c>
      <c r="P499">
        <f>IF(B525=0,0,O499/B525)</f>
        <v/>
      </c>
      <c r="Q499">
        <f>IFERROR(1/IF(Inputs!$B$38="pvp",15,MAX(0.1,Skills!D16-IF(Skills!E16=TRUE,Inputs!$B$32,0))),0)</f>
        <v/>
      </c>
      <c r="R499">
        <f>IF(AND(Inputs!$B$38&lt;&gt;"pvp",Inputs!$B$43&gt;0),IF(Inputs!$B$43&lt;=0,0,(INT(Inputs!$B$43/IF(Inputs!$B$38="pvp",15,MAX(0.1,Skills!D16-IF(Skills!E16=TRUE,Inputs!$B$32,0))))+1)),0)</f>
        <v/>
      </c>
      <c r="S499" t="n">
        <v>0</v>
      </c>
      <c r="T499" t="n">
        <v>0</v>
      </c>
      <c r="V499" t="n">
        <v>0</v>
      </c>
    </row>
    <row r="500">
      <c r="A500">
        <f>Skills!A17</f>
        <v/>
      </c>
      <c r="B500">
        <f>Skills!B17</f>
        <v/>
      </c>
      <c r="C500">
        <f>Inputs!$B$3&gt;=72</f>
        <v/>
      </c>
      <c r="D500">
        <f>IF(Skills!C17=1,60+Inputs!$B$25+Inputs!$B$29,IF(Skills!C17=2,90+Inputs!$B$26+Inputs!$B$29,IF(Skills!C17=3,120+Inputs!$B$27+Inputs!$B$29,MAX(0,(Inputs!$B$3-100)*3)+Inputs!$B$28+Inputs!$B$29)))</f>
        <v/>
      </c>
      <c r="E500">
        <f>INDEX(FactorTable!$B$2:$Y$301, MATCH(ROUND(MIN(300,MAX(1,D500)),0), FactorTable!$A$2:$A$301,0), Skills!M17+1)</f>
        <v/>
      </c>
      <c r="F500">
        <f>IF(Skills!N17=TRUE,(Skills!L17/10)*(E500/1000),Skills!L17/10)+Skills!O17</f>
        <v/>
      </c>
      <c r="G500">
        <f>Skills!G17*IF(Skills!H17&gt;0,Skills!I17/Skills!H17,1)</f>
        <v/>
      </c>
      <c r="H500">
        <f>1-(1-Skills!J17/100)^Skills!K17</f>
        <v/>
      </c>
      <c r="I500" t="inlineStr">
        <is>
          <t>1</t>
        </is>
      </c>
      <c r="J500" t="inlineStr"/>
      <c r="K500" t="inlineStr"/>
      <c r="L500" t="inlineStr"/>
      <c r="M500" t="inlineStr"/>
      <c r="N500" t="inlineStr"/>
      <c r="O500">
        <f>(1-Summary!$B$55)*T500+Summary!$B$55*V500</f>
        <v/>
      </c>
      <c r="P500">
        <f>IF(B525=0,0,O500/B525)</f>
        <v/>
      </c>
      <c r="Q500" t="n">
        <v>0</v>
      </c>
      <c r="R500" t="n">
        <v>0</v>
      </c>
      <c r="S500" t="n">
        <v>0</v>
      </c>
      <c r="T500" t="n">
        <v>0</v>
      </c>
      <c r="V500" t="n">
        <v>0</v>
      </c>
    </row>
    <row r="501">
      <c r="A501">
        <f>Skills!A18</f>
        <v/>
      </c>
      <c r="B501">
        <f>Skills!B18</f>
        <v/>
      </c>
      <c r="C501">
        <f>TRUE</f>
        <v/>
      </c>
      <c r="D501">
        <f>IF(Skills!C18=1,60+Inputs!$B$25+Inputs!$B$29,IF(Skills!C18=2,90+Inputs!$B$26+Inputs!$B$29,IF(Skills!C18=3,120+Inputs!$B$27+Inputs!$B$29,MAX(0,(Inputs!$B$3-100)*3)+Inputs!$B$28+Inputs!$B$29)))</f>
        <v/>
      </c>
      <c r="E501">
        <f>INDEX(FactorTable!$B$2:$Y$301, MATCH(ROUND(MIN(300,MAX(1,D501)),0), FactorTable!$A$2:$A$301,0), Skills!M18+1)</f>
        <v/>
      </c>
      <c r="F501">
        <f>IF(Skills!N18=TRUE,(Skills!L18/10)*(E501/1000),Skills!L18/10)+Skills!O18</f>
        <v/>
      </c>
      <c r="G501">
        <f>Skills!G18*IF(Skills!H18&gt;0,Skills!I18/Skills!H18,1)</f>
        <v/>
      </c>
      <c r="H501">
        <f>1-(1-Skills!J18/100)^Skills!K18</f>
        <v/>
      </c>
      <c r="I501" t="inlineStr">
        <is>
          <t>1</t>
        </is>
      </c>
      <c r="J501" t="inlineStr"/>
      <c r="K501" t="inlineStr"/>
      <c r="L501" t="inlineStr"/>
      <c r="M501" t="inlineStr"/>
      <c r="N501" t="inlineStr"/>
      <c r="O501">
        <f>(1-Summary!$B$55)*T501+Summary!$B$55*V501</f>
        <v/>
      </c>
      <c r="P501">
        <f>IF(B525=0,0,O501/B525)</f>
        <v/>
      </c>
      <c r="Q501">
        <f>IFERROR(1/IF(Inputs!$B$38="pvp",15,MAX(0.1,Skills!D18-IF(Skills!E18=TRUE,Inputs!$B$32,0))),0)</f>
        <v/>
      </c>
      <c r="R501">
        <f>IF(AND(Inputs!$B$38&lt;&gt;"pvp",Inputs!$B$43&gt;0),IF(Inputs!$B$43&lt;=0,0,(INT(Inputs!$B$43/IF(Inputs!$B$38="pvp",15,MAX(0.1,Skills!D18-IF(Skills!E18=TRUE,Inputs!$B$32,0))))+1)),0)</f>
        <v/>
      </c>
      <c r="S501" t="n">
        <v>0</v>
      </c>
      <c r="T501" t="n">
        <v>0</v>
      </c>
      <c r="V501" t="n">
        <v>0</v>
      </c>
    </row>
    <row r="502">
      <c r="A502">
        <f>Skills!A19</f>
        <v/>
      </c>
      <c r="B502">
        <f>Skills!B19</f>
        <v/>
      </c>
      <c r="C502">
        <f>Inputs!$B$3&gt;=15</f>
        <v/>
      </c>
      <c r="D502">
        <f>IF(Skills!C19=1,60+Inputs!$B$25+Inputs!$B$29,IF(Skills!C19=2,90+Inputs!$B$26+Inputs!$B$29,IF(Skills!C19=3,120+Inputs!$B$27+Inputs!$B$29,MAX(0,(Inputs!$B$3-100)*3)+Inputs!$B$28+Inputs!$B$29)))</f>
        <v/>
      </c>
      <c r="E502">
        <f>INDEX(FactorTable!$B$2:$Y$301, MATCH(ROUND(MIN(300,MAX(1,D502)),0), FactorTable!$A$2:$A$301,0), Skills!M19+1)</f>
        <v/>
      </c>
      <c r="F502">
        <f>IF(Skills!N19=TRUE,(Skills!L19/10)*(E502/1000),Skills!L19/10)+Skills!O19</f>
        <v/>
      </c>
      <c r="G502">
        <f>Skills!G19*IF(Skills!H19&gt;0,Skills!I19/Skills!H19,1)</f>
        <v/>
      </c>
      <c r="H502">
        <f>1-(1-Skills!J19/100)^Skills!K19</f>
        <v/>
      </c>
      <c r="I502" t="inlineStr">
        <is>
          <t>1</t>
        </is>
      </c>
      <c r="J502" t="inlineStr"/>
      <c r="K502" t="inlineStr"/>
      <c r="L502" t="inlineStr"/>
      <c r="M502" t="inlineStr"/>
      <c r="N502" t="inlineStr"/>
      <c r="O502">
        <f>(1-Summary!$B$55)*T502+Summary!$B$55*V502</f>
        <v/>
      </c>
      <c r="P502">
        <f>IF(B525=0,0,O502/B525)</f>
        <v/>
      </c>
      <c r="Q502" t="n">
        <v>0</v>
      </c>
      <c r="R502" t="n">
        <v>0</v>
      </c>
      <c r="S502" t="n">
        <v>0</v>
      </c>
      <c r="T502" t="n">
        <v>0</v>
      </c>
      <c r="V502" t="n">
        <v>0</v>
      </c>
    </row>
    <row r="503">
      <c r="A503">
        <f>Skills!A20</f>
        <v/>
      </c>
      <c r="B503">
        <f>Skills!B20</f>
        <v/>
      </c>
      <c r="C503">
        <f>Inputs!$B$3&gt;=10</f>
        <v/>
      </c>
      <c r="D503">
        <f>IF(Skills!C20=1,60+Inputs!$B$25+Inputs!$B$29,IF(Skills!C20=2,90+Inputs!$B$26+Inputs!$B$29,IF(Skills!C20=3,120+Inputs!$B$27+Inputs!$B$29,MAX(0,(Inputs!$B$3-100)*3)+Inputs!$B$28+Inputs!$B$29)))</f>
        <v/>
      </c>
      <c r="E503">
        <f>INDEX(FactorTable!$B$2:$Y$301, MATCH(ROUND(MIN(300,MAX(1,D503)),0), FactorTable!$A$2:$A$301,0), Skills!M20+1)</f>
        <v/>
      </c>
      <c r="F503">
        <f>IF(Skills!N20=TRUE,(Skills!L20/10)*(E503/1000),Skills!L20/10)+Skills!O20</f>
        <v/>
      </c>
      <c r="G503">
        <f>Skills!G20*IF(Skills!H20&gt;0,Skills!I20/Skills!H20,1)</f>
        <v/>
      </c>
      <c r="H503">
        <f>1-(1-Skills!J20/100)^Skills!K20</f>
        <v/>
      </c>
      <c r="I503" t="inlineStr">
        <is>
          <t>1</t>
        </is>
      </c>
      <c r="J503" t="inlineStr"/>
      <c r="K503" t="inlineStr"/>
      <c r="L503" t="inlineStr"/>
      <c r="M503" t="inlineStr"/>
      <c r="N503" t="inlineStr"/>
      <c r="O503">
        <f>(1-Summary!$B$55)*T503+Summary!$B$55*V503</f>
        <v/>
      </c>
      <c r="P503">
        <f>IF(B525=0,0,O503/B525)</f>
        <v/>
      </c>
      <c r="Q503" t="n">
        <v>0</v>
      </c>
      <c r="R503" t="n">
        <v>0</v>
      </c>
      <c r="S503" t="n">
        <v>0</v>
      </c>
      <c r="T503" t="n">
        <v>0</v>
      </c>
      <c r="V503" t="n">
        <v>0</v>
      </c>
    </row>
    <row r="504">
      <c r="A504">
        <f>Skills!A21</f>
        <v/>
      </c>
      <c r="B504">
        <f>Skills!B21</f>
        <v/>
      </c>
      <c r="C504">
        <f>Inputs!$B$3&gt;=33</f>
        <v/>
      </c>
      <c r="D504">
        <f>IF(Skills!C21=1,60+Inputs!$B$25+Inputs!$B$29,IF(Skills!C21=2,90+Inputs!$B$26+Inputs!$B$29,IF(Skills!C21=3,120+Inputs!$B$27+Inputs!$B$29,MAX(0,(Inputs!$B$3-100)*3)+Inputs!$B$28+Inputs!$B$29)))</f>
        <v/>
      </c>
      <c r="E504">
        <f>INDEX(FactorTable!$B$2:$Y$301, MATCH(ROUND(MIN(300,MAX(1,D504)),0), FactorTable!$A$2:$A$301,0), Skills!M21+1)</f>
        <v/>
      </c>
      <c r="F504">
        <f>IF(Skills!N21=TRUE,(Skills!L21/10)*(E504/1000),Skills!L21/10)+Skills!O21</f>
        <v/>
      </c>
      <c r="G504">
        <f>Skills!G21*IF(Skills!H21&gt;0,Skills!I21/Skills!H21,1)</f>
        <v/>
      </c>
      <c r="H504">
        <f>1-(1-Skills!J21/100)^Skills!K21</f>
        <v/>
      </c>
      <c r="I504" t="inlineStr">
        <is>
          <t>1</t>
        </is>
      </c>
      <c r="J504" t="inlineStr"/>
      <c r="K504" t="inlineStr"/>
      <c r="L504" t="inlineStr"/>
      <c r="M504" t="inlineStr"/>
      <c r="N504" t="inlineStr"/>
      <c r="O504">
        <f>(1-Summary!$B$55)*T504+Summary!$B$55*V504</f>
        <v/>
      </c>
      <c r="P504">
        <f>IF(B525=0,0,O504/B525)</f>
        <v/>
      </c>
      <c r="Q504" t="n">
        <v>0</v>
      </c>
      <c r="R504" t="n">
        <v>0</v>
      </c>
      <c r="S504" t="n">
        <v>0</v>
      </c>
      <c r="T504" t="n">
        <v>0</v>
      </c>
      <c r="V504" t="n">
        <v>0</v>
      </c>
    </row>
    <row r="505">
      <c r="A505">
        <f>Skills!A22</f>
        <v/>
      </c>
      <c r="B505">
        <f>Skills!B22</f>
        <v/>
      </c>
      <c r="C505">
        <f>Inputs!$B$3&gt;=38</f>
        <v/>
      </c>
      <c r="D505">
        <f>IF(Skills!C22=1,60+Inputs!$B$25+Inputs!$B$29,IF(Skills!C22=2,90+Inputs!$B$26+Inputs!$B$29,IF(Skills!C22=3,120+Inputs!$B$27+Inputs!$B$29,MAX(0,(Inputs!$B$3-100)*3)+Inputs!$B$28+Inputs!$B$29)))</f>
        <v/>
      </c>
      <c r="E505">
        <f>INDEX(FactorTable!$B$2:$Y$301, MATCH(ROUND(MIN(300,MAX(1,D505)),0), FactorTable!$A$2:$A$301,0), Skills!M22+1)</f>
        <v/>
      </c>
      <c r="F505">
        <f>IF(Skills!N22=TRUE,(Skills!L22/10)*(E505/1000),Skills!L22/10)+Skills!O22</f>
        <v/>
      </c>
      <c r="G505">
        <f>Skills!G22*IF(Skills!H22&gt;0,Skills!I22/Skills!H22,1)</f>
        <v/>
      </c>
      <c r="H505">
        <f>1-(1-Skills!J22/100)^Skills!K22</f>
        <v/>
      </c>
      <c r="I505" t="inlineStr">
        <is>
          <t>1</t>
        </is>
      </c>
      <c r="J505" t="inlineStr"/>
      <c r="K505" t="inlineStr"/>
      <c r="L505" t="inlineStr"/>
      <c r="M505" t="inlineStr"/>
      <c r="N505" t="inlineStr"/>
      <c r="O505">
        <f>(1-Summary!$B$55)*T505+Summary!$B$55*V505</f>
        <v/>
      </c>
      <c r="P505">
        <f>IF(B525=0,0,O505/B525)</f>
        <v/>
      </c>
      <c r="Q505" t="n">
        <v>0</v>
      </c>
      <c r="R505" t="n">
        <v>0</v>
      </c>
      <c r="S505" t="n">
        <v>0</v>
      </c>
      <c r="T505" t="n">
        <v>0</v>
      </c>
      <c r="V505" t="n">
        <v>0</v>
      </c>
    </row>
    <row r="506">
      <c r="A506">
        <f>Skills!A23</f>
        <v/>
      </c>
      <c r="B506">
        <f>Skills!B23</f>
        <v/>
      </c>
      <c r="C506">
        <f>Inputs!$B$3&gt;=43</f>
        <v/>
      </c>
      <c r="D506">
        <f>IF(Skills!C23=1,60+Inputs!$B$25+Inputs!$B$29,IF(Skills!C23=2,90+Inputs!$B$26+Inputs!$B$29,IF(Skills!C23=3,120+Inputs!$B$27+Inputs!$B$29,MAX(0,(Inputs!$B$3-100)*3)+Inputs!$B$28+Inputs!$B$29)))</f>
        <v/>
      </c>
      <c r="E506">
        <f>INDEX(FactorTable!$B$2:$Y$301, MATCH(ROUND(MIN(300,MAX(1,D506)),0), FactorTable!$A$2:$A$301,0), Skills!M23+1)</f>
        <v/>
      </c>
      <c r="F506">
        <f>IF(Skills!N23=TRUE,(Skills!L23/10)*(E506/1000),Skills!L23/10)+Skills!O23</f>
        <v/>
      </c>
      <c r="G506">
        <f>Skills!G23*IF(Skills!H23&gt;0,Skills!I23/Skills!H23,1)</f>
        <v/>
      </c>
      <c r="H506">
        <f>1-(1-Skills!J23/100)^Skills!K23</f>
        <v/>
      </c>
      <c r="I506" t="inlineStr">
        <is>
          <t>1</t>
        </is>
      </c>
      <c r="J506" t="inlineStr"/>
      <c r="K506" t="inlineStr"/>
      <c r="L506" t="inlineStr"/>
      <c r="M506" t="inlineStr"/>
      <c r="N506" t="inlineStr"/>
      <c r="O506">
        <f>(1-Summary!$B$55)*T506+Summary!$B$55*V506</f>
        <v/>
      </c>
      <c r="P506">
        <f>IF(B525=0,0,O506/B525)</f>
        <v/>
      </c>
      <c r="Q506" t="n">
        <v>0</v>
      </c>
      <c r="R506" t="n">
        <v>0</v>
      </c>
      <c r="S506" t="n">
        <v>0</v>
      </c>
      <c r="T506" t="n">
        <v>0</v>
      </c>
      <c r="V506" t="n">
        <v>0</v>
      </c>
    </row>
    <row r="507">
      <c r="A507">
        <f>Skills!A24</f>
        <v/>
      </c>
      <c r="B507">
        <f>Skills!B24</f>
        <v/>
      </c>
      <c r="C507">
        <f>Inputs!$B$3&gt;=75</f>
        <v/>
      </c>
      <c r="D507">
        <f>IF(Skills!C24=1,60+Inputs!$B$25+Inputs!$B$29,IF(Skills!C24=2,90+Inputs!$B$26+Inputs!$B$29,IF(Skills!C24=3,120+Inputs!$B$27+Inputs!$B$29,MAX(0,(Inputs!$B$3-100)*3)+Inputs!$B$28+Inputs!$B$29)))</f>
        <v/>
      </c>
      <c r="E507">
        <f>INDEX(FactorTable!$B$2:$Y$301, MATCH(ROUND(MIN(300,MAX(1,D507)),0), FactorTable!$A$2:$A$301,0), Skills!M24+1)</f>
        <v/>
      </c>
      <c r="F507">
        <f>IF(Skills!N24=TRUE,(Skills!L24/10)*(E507/1000),Skills!L24/10)+Skills!O24</f>
        <v/>
      </c>
      <c r="G507">
        <f>Skills!G24*IF(Skills!H24&gt;0,Skills!I24/Skills!H24,1)</f>
        <v/>
      </c>
      <c r="H507">
        <f>1-(1-Skills!J24/100)^Skills!K24</f>
        <v/>
      </c>
      <c r="I507" t="inlineStr">
        <is>
          <t>1</t>
        </is>
      </c>
      <c r="J507" t="inlineStr"/>
      <c r="K507" t="inlineStr"/>
      <c r="L507" t="inlineStr"/>
      <c r="M507" t="inlineStr"/>
      <c r="N507" t="inlineStr"/>
      <c r="O507">
        <f>(1-Summary!$B$55)*T507+Summary!$B$55*V507</f>
        <v/>
      </c>
      <c r="P507">
        <f>IF(B525=0,0,O507/B525)</f>
        <v/>
      </c>
      <c r="Q507" t="n">
        <v>0</v>
      </c>
      <c r="R507" t="n">
        <v>0</v>
      </c>
      <c r="S507" t="n">
        <v>0</v>
      </c>
      <c r="T507" t="n">
        <v>0</v>
      </c>
      <c r="V507" t="n">
        <v>0</v>
      </c>
    </row>
    <row r="508">
      <c r="A508">
        <f>Skills!A25</f>
        <v/>
      </c>
      <c r="B508">
        <f>Skills!B25</f>
        <v/>
      </c>
      <c r="C508">
        <f>Inputs!$B$3&gt;=125</f>
        <v/>
      </c>
      <c r="D508">
        <f>IF(Skills!C25=1,60+Inputs!$B$25+Inputs!$B$29,IF(Skills!C25=2,90+Inputs!$B$26+Inputs!$B$29,IF(Skills!C25=3,120+Inputs!$B$27+Inputs!$B$29,MAX(0,(Inputs!$B$3-100)*3)+Inputs!$B$28+Inputs!$B$29)))</f>
        <v/>
      </c>
      <c r="E508">
        <f>INDEX(FactorTable!$B$2:$Y$301, MATCH(ROUND(MIN(300,MAX(1,D508)),0), FactorTable!$A$2:$A$301,0), Skills!M25+1)</f>
        <v/>
      </c>
      <c r="F508">
        <f>IF(Skills!N25=TRUE,(Skills!L25/10)*(E508/1000),Skills!L25/10)+Skills!O25</f>
        <v/>
      </c>
      <c r="G508">
        <f>Skills!G25*IF(Skills!H25&gt;0,Skills!I25/Skills!H25,1)</f>
        <v/>
      </c>
      <c r="H508">
        <f>1-(1-Skills!J25/100)^Skills!K25</f>
        <v/>
      </c>
      <c r="I508" t="inlineStr">
        <is>
          <t>1</t>
        </is>
      </c>
      <c r="J508" t="inlineStr"/>
      <c r="K508" t="inlineStr"/>
      <c r="L508" t="inlineStr"/>
      <c r="M508" t="inlineStr"/>
      <c r="N508" t="inlineStr"/>
      <c r="O508">
        <f>(1-Summary!$B$55)*T508+Summary!$B$55*V508</f>
        <v/>
      </c>
      <c r="P508">
        <f>IF(B525=0,0,O508/B525)</f>
        <v/>
      </c>
      <c r="Q508" t="n">
        <v>0</v>
      </c>
      <c r="R508" t="n">
        <v>0</v>
      </c>
      <c r="S508" t="n">
        <v>0</v>
      </c>
      <c r="T508" t="n">
        <v>0</v>
      </c>
      <c r="V508" t="n">
        <v>0</v>
      </c>
    </row>
    <row r="509">
      <c r="A509">
        <f>Skills!A26</f>
        <v/>
      </c>
      <c r="B509">
        <f>Skills!B26</f>
        <v/>
      </c>
      <c r="C509">
        <f>Inputs!$B$3&gt;=125</f>
        <v/>
      </c>
      <c r="D509">
        <f>IF(Skills!C26=1,60+Inputs!$B$25+Inputs!$B$29,IF(Skills!C26=2,90+Inputs!$B$26+Inputs!$B$29,IF(Skills!C26=3,120+Inputs!$B$27+Inputs!$B$29,MAX(0,(Inputs!$B$3-100)*3)+Inputs!$B$28+Inputs!$B$29)))</f>
        <v/>
      </c>
      <c r="E509">
        <f>INDEX(FactorTable!$B$2:$Y$301, MATCH(ROUND(MIN(300,MAX(1,D509)),0), FactorTable!$A$2:$A$301,0), Skills!M26+1)</f>
        <v/>
      </c>
      <c r="F509">
        <f>IF(Skills!N26=TRUE,(Skills!L26/10)*(E509/1000),Skills!L26/10)+Skills!O26</f>
        <v/>
      </c>
      <c r="G509">
        <f>Skills!G26*IF(Skills!H26&gt;0,Skills!I26/Skills!H26,1)</f>
        <v/>
      </c>
      <c r="H509">
        <f>1-(1-Skills!J26/100)^Skills!K26</f>
        <v/>
      </c>
      <c r="I509" t="inlineStr">
        <is>
          <t>1</t>
        </is>
      </c>
      <c r="J509" t="inlineStr"/>
      <c r="K509" t="inlineStr"/>
      <c r="L509" t="inlineStr"/>
      <c r="M509" t="inlineStr"/>
      <c r="N509" t="inlineStr"/>
      <c r="O509">
        <f>(1-Summary!$B$55)*T509+Summary!$B$55*V509</f>
        <v/>
      </c>
      <c r="P509">
        <f>IF(B525=0,0,O509/B525)</f>
        <v/>
      </c>
      <c r="Q509" t="n">
        <v>0</v>
      </c>
      <c r="R509" t="n">
        <v>0</v>
      </c>
      <c r="S509" t="n">
        <v>0</v>
      </c>
      <c r="T509" t="n">
        <v>0</v>
      </c>
      <c r="V509" t="n">
        <v>0</v>
      </c>
    </row>
    <row r="510">
      <c r="A510">
        <f>Skills!A27</f>
        <v/>
      </c>
      <c r="B510">
        <f>Skills!B27</f>
        <v/>
      </c>
      <c r="C510">
        <f>Inputs!$B$3&gt;=120</f>
        <v/>
      </c>
      <c r="D510">
        <f>IF(Skills!C27=1,60+Inputs!$B$25+Inputs!$B$29,IF(Skills!C27=2,90+Inputs!$B$26+Inputs!$B$29,IF(Skills!C27=3,120+Inputs!$B$27+Inputs!$B$29,MAX(0,(Inputs!$B$3-100)*3)+Inputs!$B$28+Inputs!$B$29)))</f>
        <v/>
      </c>
      <c r="E510">
        <f>INDEX(FactorTable!$B$2:$Y$301, MATCH(ROUND(MIN(300,MAX(1,D510)),0), FactorTable!$A$2:$A$301,0), Skills!M27+1)</f>
        <v/>
      </c>
      <c r="F510">
        <f>IF(Skills!N27=TRUE,(Skills!L27/10)*(E510/1000),Skills!L27/10)+Skills!O27</f>
        <v/>
      </c>
      <c r="G510">
        <f>Skills!G27*IF(Skills!H27&gt;0,Skills!I27/Skills!H27,1)</f>
        <v/>
      </c>
      <c r="H510">
        <f>1-(1-Skills!J27/100)^Skills!K27</f>
        <v/>
      </c>
      <c r="I510" t="inlineStr">
        <is>
          <t>1</t>
        </is>
      </c>
      <c r="J510" t="inlineStr"/>
      <c r="K510" t="inlineStr"/>
      <c r="L510" t="inlineStr"/>
      <c r="M510" t="inlineStr"/>
      <c r="N510" t="inlineStr"/>
      <c r="O510">
        <f>(1-Summary!$B$55)*T510+Summary!$B$55*V510</f>
        <v/>
      </c>
      <c r="P510">
        <f>IF(B525=0,0,O510/B525)</f>
        <v/>
      </c>
      <c r="Q510" t="n">
        <v>0</v>
      </c>
      <c r="R510" t="n">
        <v>0</v>
      </c>
      <c r="S510" t="n">
        <v>0</v>
      </c>
      <c r="T510" t="n">
        <v>0</v>
      </c>
      <c r="V510" t="n">
        <v>0</v>
      </c>
    </row>
    <row r="511">
      <c r="A511">
        <f>Skills!A28</f>
        <v/>
      </c>
      <c r="B511">
        <f>Skills!B28</f>
        <v/>
      </c>
      <c r="C511">
        <f>Inputs!$B$3&gt;=120</f>
        <v/>
      </c>
      <c r="D511">
        <f>IF(Skills!C28=1,60+Inputs!$B$25+Inputs!$B$29,IF(Skills!C28=2,90+Inputs!$B$26+Inputs!$B$29,IF(Skills!C28=3,120+Inputs!$B$27+Inputs!$B$29,MAX(0,(Inputs!$B$3-100)*3)+Inputs!$B$28+Inputs!$B$29)))</f>
        <v/>
      </c>
      <c r="E511">
        <f>INDEX(FactorTable!$B$2:$Y$301, MATCH(ROUND(MIN(300,MAX(1,D511)),0), FactorTable!$A$2:$A$301,0), Skills!M28+1)</f>
        <v/>
      </c>
      <c r="F511">
        <f>IF(Skills!N28=TRUE,(Skills!L28/10)*(E511/1000),Skills!L28/10)+Skills!O28</f>
        <v/>
      </c>
      <c r="G511">
        <f>Skills!G28*IF(Skills!H28&gt;0,Skills!I28/Skills!H28,1)</f>
        <v/>
      </c>
      <c r="H511">
        <f>1-(1-Skills!J28/100)^Skills!K28</f>
        <v/>
      </c>
      <c r="I511" t="inlineStr">
        <is>
          <t>1</t>
        </is>
      </c>
      <c r="J511" t="inlineStr"/>
      <c r="K511" t="inlineStr"/>
      <c r="L511" t="inlineStr"/>
      <c r="M511" t="inlineStr"/>
      <c r="N511" t="inlineStr"/>
      <c r="O511">
        <f>(1-Summary!$B$55)*T511+Summary!$B$55*V511</f>
        <v/>
      </c>
      <c r="P511">
        <f>IF(B525=0,0,O511/B525)</f>
        <v/>
      </c>
      <c r="Q511" t="n">
        <v>0</v>
      </c>
      <c r="R511" t="n">
        <v>0</v>
      </c>
      <c r="S511" t="n">
        <v>0</v>
      </c>
      <c r="T511" t="n">
        <v>0</v>
      </c>
      <c r="V511" t="n">
        <v>0</v>
      </c>
    </row>
    <row r="512">
      <c r="A512">
        <f>Skills!A29</f>
        <v/>
      </c>
      <c r="B512">
        <f>Skills!B29</f>
        <v/>
      </c>
      <c r="C512">
        <f>Inputs!$B$3&gt;=45</f>
        <v/>
      </c>
      <c r="D512">
        <f>IF(Skills!C29=1,60+Inputs!$B$25+Inputs!$B$29,IF(Skills!C29=2,90+Inputs!$B$26+Inputs!$B$29,IF(Skills!C29=3,120+Inputs!$B$27+Inputs!$B$29,MAX(0,(Inputs!$B$3-100)*3)+Inputs!$B$28+Inputs!$B$29)))</f>
        <v/>
      </c>
      <c r="E512">
        <f>INDEX(FactorTable!$B$2:$Y$301, MATCH(ROUND(MIN(300,MAX(1,D512)),0), FactorTable!$A$2:$A$301,0), Skills!M29+1)</f>
        <v/>
      </c>
      <c r="F512">
        <f>IF(Skills!N29=TRUE,(Skills!L29/10)*(E512/1000),Skills!L29/10)+Skills!O29</f>
        <v/>
      </c>
      <c r="G512">
        <f>Skills!G29*IF(Skills!H29&gt;0,Skills!I29/Skills!H29,1)</f>
        <v/>
      </c>
      <c r="H512">
        <f>1-(1-Skills!J29/100)^Skills!K29</f>
        <v/>
      </c>
      <c r="I512" t="inlineStr">
        <is>
          <t>1</t>
        </is>
      </c>
      <c r="J512" t="inlineStr"/>
      <c r="K512" t="inlineStr"/>
      <c r="L512" t="inlineStr"/>
      <c r="M512" t="inlineStr"/>
      <c r="N512" t="inlineStr"/>
      <c r="O512">
        <f>(1-Summary!$B$55)*T512+Summary!$B$55*V512</f>
        <v/>
      </c>
      <c r="P512">
        <f>IF(B525=0,0,O512/B525)</f>
        <v/>
      </c>
      <c r="Q512" t="n">
        <v>0</v>
      </c>
      <c r="R512" t="n">
        <v>0</v>
      </c>
      <c r="S512" t="n">
        <v>0</v>
      </c>
      <c r="T512" t="n">
        <v>0</v>
      </c>
      <c r="V512" t="n">
        <v>0</v>
      </c>
    </row>
    <row r="514">
      <c r="A514" t="inlineStr">
        <is>
          <t>Attack% Bucket Multiplier</t>
        </is>
      </c>
      <c r="B514">
        <f>(1+(((C496=TRUE)*F496)+((C497=TRUE)*IF(Inputs!$B$38="pvp",F497,(1-Summary!$B$55)*(F497)+Summary!$B$55*(0)))+((C498=TRUE)*F498*IF(AND(Inputs!$B$38&lt;&gt;"pvp",Inputs!$B$43&gt;0),(((R498-1)*(Skills!T15*(1+Inputs!$B$34/100))+MIN((Skills!T15*(1+Inputs!$B$34/100)),MAX(0,Inputs!$B$43-((R498-1)*Skills!D15))))/Inputs!$B$43),IF(Inputs!$B$38="pvp",MIN((Skills!T15*(1+Inputs!$B$34/100)),15)/15,(Skills!T15*(1+Inputs!$B$34/100))/Skills!D15)))+((C495=TRUE)*F495)+((C512=TRUE)*(F512-Calc!F29)))/100)</f>
        <v/>
      </c>
    </row>
    <row r="515">
      <c r="A515" t="inlineStr">
        <is>
          <t>Global Crit Rate Bonus %</t>
        </is>
      </c>
      <c r="B515">
        <f>(C499=TRUE)*20*IF(AND(Inputs!$B$38&lt;&gt;"pvp",Inputs!$B$43&gt;0),(((R499-1)*(Skills!T16*(1+Inputs!$B$34/100))+MIN((Skills!T16*(1+Inputs!$B$34/100)),MAX(0,Inputs!$B$43-((R499-1)*Skills!D16))))/Inputs!$B$43),IF(Inputs!$B$38="pvp",MIN((Skills!T16*(1+Inputs!$B$34/100)),15)/15,(Skills!T16*(1+Inputs!$B$34/100))/Skills!D16))</f>
        <v/>
      </c>
    </row>
    <row r="516">
      <c r="A516" t="inlineStr">
        <is>
          <t>Attack Speed Buff Bonus %</t>
        </is>
      </c>
      <c r="B516">
        <f>((C501=TRUE)*F501*IF(AND(Inputs!$B$38&lt;&gt;"pvp",Inputs!$B$43&gt;0),(((R501-1)*(Skills!T18*(1+Inputs!$B$34/100))+MIN((Skills!T18*(1+Inputs!$B$34/100)),MAX(0,Inputs!$B$43-((R501-1)*Skills!D18))))/Inputs!$B$43),IF(Inputs!$B$38="pvp",MIN((Skills!T18*(1+Inputs!$B$34/100)),15)/15,(Skills!T18*(1+Inputs!$B$34/100))/Skills!D18)))</f>
        <v/>
      </c>
    </row>
    <row r="517">
      <c r="A517" t="inlineStr">
        <is>
          <t>Actions Per Second</t>
        </is>
      </c>
      <c r="B517">
        <f>1+MIN(150,150*(1-(1-(Inputs!$B$11+((C503=TRUE)*(F503-Calc!F20))+((C504=TRUE)*(F504-Calc!F21)))/150)*(1-B516/150)))/100</f>
        <v/>
      </c>
    </row>
    <row r="518">
      <c r="A518" t="inlineStr">
        <is>
          <t>Skill + Buff Cast Rate</t>
        </is>
      </c>
      <c r="B518">
        <f>IF(AND(Inputs!$B$38&lt;&gt;"pvp",Inputs!$B$43&gt;0),SUMPRODUCT((Skills!E2:E29=TRUE)*(C485:C512=TRUE)*R485:R512*Skills!F2:F29)/Inputs!$B$43,SUMPRODUCT((Skills!E2:E29=TRUE)*(C485:C512=TRUE)*Q485:Q512*Skills!F2:F29))</f>
        <v/>
      </c>
    </row>
    <row r="519">
      <c r="A519" t="inlineStr">
        <is>
          <t>Empowered Piercing Arrow Casts Per Second</t>
        </is>
      </c>
      <c r="B519">
        <f>MAX(0,B517-B518)</f>
        <v/>
      </c>
    </row>
    <row r="520">
      <c r="A520" t="inlineStr">
        <is>
          <t>Global Critical Damage Bonus % (Sharp Eyes)</t>
        </is>
      </c>
      <c r="B520">
        <f>(C499=TRUE)*F499*IF(AND(Inputs!$B$38&lt;&gt;"pvp",Inputs!$B$43&gt;0),(((R499-1)*(Skills!T16*(1+Inputs!$B$34/100))+MIN((Skills!T16*(1+Inputs!$B$34/100)),MAX(0,Inputs!$B$43-((R499-1)*Skills!D16))))/Inputs!$B$43),IF(Inputs!$B$38="pvp",MIN((Skills!T16*(1+Inputs!$B$34/100)),15)/15,(Skills!T16*(1+Inputs!$B$34/100))/Skills!D16))</f>
        <v/>
      </c>
    </row>
    <row r="521">
      <c r="A521" t="inlineStr">
        <is>
          <t>Global Final Damage Bonus % (Mortal Blow + Last Man Standing conditional half)</t>
        </is>
      </c>
      <c r="B521">
        <f>(C500=TRUE)*F500+((C509=TRUE)*IF(Inputs!$B$38="pvp",F509,(1-Summary!$B$55)*(F509)+Summary!$B$55*(0)))</f>
        <v/>
      </c>
    </row>
    <row r="522">
      <c r="A522" t="inlineStr">
        <is>
          <t>Buff-Casting Startup Delay (s, fixed-duration only)</t>
        </is>
      </c>
      <c r="B522">
        <f>IF(AND(Inputs!$B$38&lt;&gt;"pvp",Inputs!$B$43&gt;0),SUMPRODUCT((Skills!T2:T29&gt;0)*(Skills!E2:E29=TRUE)*(C485:C512=TRUE))/B517,0)</f>
        <v/>
      </c>
    </row>
    <row r="523">
      <c r="A523" t="inlineStr">
        <is>
          <t>Boss-Only Total DPS (this block's swept value)</t>
        </is>
      </c>
      <c r="B523">
        <f>SUM(T485:T512)</f>
        <v/>
      </c>
    </row>
    <row r="524">
      <c r="A524" t="inlineStr">
        <is>
          <t>Normal-Only Total DPS (this block's swept value)</t>
        </is>
      </c>
      <c r="B524">
        <f>SUM(V485:V512)</f>
        <v/>
      </c>
    </row>
    <row r="525">
      <c r="A525" s="5" t="inlineStr">
        <is>
          <t>TOTAL DPS</t>
        </is>
      </c>
      <c r="B525" s="5">
        <f>SUM(O485:O512)</f>
        <v/>
      </c>
    </row>
    <row r="528">
      <c r="A528" s="5" t="inlineStr">
        <is>
          <t>Stat: CRIT_DAMAGE %</t>
        </is>
      </c>
    </row>
    <row r="529">
      <c r="A529" s="9" t="inlineStr">
        <is>
          <t>Key</t>
        </is>
      </c>
      <c r="B529" s="9" t="inlineStr">
        <is>
          <t>Name</t>
        </is>
      </c>
      <c r="C529" s="9" t="inlineStr">
        <is>
          <t>Unlocked</t>
        </is>
      </c>
      <c r="D529" s="9" t="inlineStr">
        <is>
          <t>InputLevel</t>
        </is>
      </c>
      <c r="E529" s="9" t="inlineStr">
        <is>
          <t>Factor</t>
        </is>
      </c>
      <c r="F529" s="9" t="inlineStr">
        <is>
          <t>CoefficientPercent</t>
        </is>
      </c>
      <c r="G529" s="9" t="inlineStr">
        <is>
          <t>EffectiveHits</t>
        </is>
      </c>
      <c r="H529" s="9" t="inlineStr">
        <is>
          <t>ProcProbability</t>
        </is>
      </c>
      <c r="I529" s="9" t="inlineStr">
        <is>
          <t>MapleHeroMultiplier</t>
        </is>
      </c>
      <c r="J529" s="9" t="inlineStr">
        <is>
          <t>BaseDamage</t>
        </is>
      </c>
      <c r="K529" s="9" t="inlineStr">
        <is>
          <t>BaseHitDamage</t>
        </is>
      </c>
      <c r="L529" s="9" t="inlineStr">
        <is>
          <t>NonCritAvg</t>
        </is>
      </c>
      <c r="M529" s="9" t="inlineStr">
        <is>
          <t>CritAvg</t>
        </is>
      </c>
      <c r="N529" s="9" t="inlineStr">
        <is>
          <t>ExpectedDamage(perHit)</t>
        </is>
      </c>
      <c r="O529" s="9" t="inlineStr">
        <is>
          <t>DPS</t>
        </is>
      </c>
      <c r="P529" s="9" t="inlineStr">
        <is>
          <t>% of Total</t>
        </is>
      </c>
      <c r="Q529" s="9" t="inlineStr">
        <is>
          <t>InvCooldown</t>
        </is>
      </c>
      <c r="R529" s="9" t="inlineStr">
        <is>
          <t>CastsInFight</t>
        </is>
      </c>
      <c r="S529" s="9" t="inlineStr">
        <is>
          <t>HitRate(perSec)</t>
        </is>
      </c>
      <c r="U529" t="inlineStr">
        <is>
          <t>helpers</t>
        </is>
      </c>
    </row>
    <row r="530">
      <c r="A530">
        <f>Skills!A2</f>
        <v/>
      </c>
      <c r="B530">
        <f>Skills!B2</f>
        <v/>
      </c>
      <c r="C530">
        <f>Inputs!$B$3&gt;=100</f>
        <v/>
      </c>
      <c r="D530" t="inlineStr"/>
      <c r="E530" t="inlineStr"/>
      <c r="F530">
        <f>U532+Skills!O2</f>
        <v/>
      </c>
      <c r="G530">
        <f>Skills!G2*IF(Skills!H2&gt;0,Skills!I2/Skills!H2,1)</f>
        <v/>
      </c>
      <c r="H530">
        <f>1-(1-Skills!J2/100)^Skills!K2</f>
        <v/>
      </c>
      <c r="I530" t="inlineStr">
        <is>
          <t>1</t>
        </is>
      </c>
      <c r="J530">
        <f>((Inputs!$B$6*(1+Inputs!$B$7/100))+(((Inputs!$B$12*(1+Inputs!$B$13/100))-(Inputs!$B$12*(1+Inputs!$B$13/100)))+0.25*(Inputs!$B$14-Inputs!$B$14))*(1+Inputs!$B$7/100))*(F530/100)</f>
        <v/>
      </c>
      <c r="K530">
        <f>J530*(1+((Inputs!$B$12*(1+Inputs!$B$13/100))*0.01+Inputs!$B$14*0.0025)/100)*(1+Inputs!$B$15/100)*(1+Inputs!$B$16/100)*(5000/(6000+Inputs!$B$42*(1-(Inputs!$B$19+0)/100)))*(1+(Inputs!$B$24+((C552=TRUE)*(F552-Calc!F24))+((C553=TRUE)*(F553-Calc!F25))+B566)/100)*(1+(IF(Skills!A2="EMPOWERED_PIERCING_ARROW",Inputs!$B$17+((C550=TRUE)*(F550-Calc!F22)),Inputs!$B$18+((C555=TRUE)*(F555-Calc!F27))))/100)*((1+(((C541=TRUE)*F541)+((C542=TRUE)*IF(Inputs!$B$38="pvp",F542,(1-Summary!$B$55)*(F542)+Summary!$B$55*(0)))+((C543=TRUE)*F543*IF(AND(Inputs!$B$38&lt;&gt;"pvp",Inputs!$B$43&gt;0),(((R543-1)*(Skills!T15*(1+Inputs!$B$34/100))+MIN((Skills!T15*(1+Inputs!$B$34/100)),MAX(0,Inputs!$B$43-((R543-1)*Skills!D15))))/Inputs!$B$43),IF(Inputs!$B$38="pvp",MIN((Skills!T15*(1+Inputs!$B$34/100)),15)/15,(Skills!T15*(1+Inputs!$B$34/100))/Skills!D15)))+((C540=TRUE)*F540)+((C557=TRUE)*(F557-Calc!F29)))/100)*I530)</f>
        <v/>
      </c>
      <c r="L530">
        <f>K530*(MIN(Inputs!$B$22+((C551=TRUE)*(F551-Calc!F23)),Inputs!$B$23+((C556=TRUE)*(F556-Calc!F28)))/100+(Inputs!$B$23+((C556=TRUE)*(F556-Calc!F28)))/100)/2</f>
        <v/>
      </c>
      <c r="M530">
        <f>L530*(1+((Inputs!$B$10+1)+0+B565)/100)</f>
        <v/>
      </c>
      <c r="N530">
        <f>L530*(1-MIN((Inputs!$B$9+((C547=TRUE)*(F547-Calc!F19))+B560),100)/100)+M530*(MIN((Inputs!$B$9+((C547=TRUE)*(F547-Calc!F19))+B560),100)/100)</f>
        <v/>
      </c>
      <c r="O530">
        <f>(1-Summary!$B$55)*T530+Summary!$B$55*V530</f>
        <v/>
      </c>
      <c r="P530">
        <f>IF(B570=0,0,O530/B570)</f>
        <v/>
      </c>
      <c r="Q530" t="n">
        <v>0</v>
      </c>
      <c r="R530" t="n">
        <v>0</v>
      </c>
      <c r="S530">
        <f>IFERROR((Skills!G2*N530*B564)/N530*IF(Inputs!$B$38="pvp",1,(1-Summary!$B$55)*1+Summary!$B$55*(MIN((6+Inputs!$B$33),Inputs!$B$37))),0)</f>
        <v/>
      </c>
      <c r="T530">
        <f>IF(C530,(Skills!G2*N530*B564)*IF(Inputs!$B$38="pvp",1,1+(Inputs!$B$20+0+Skills!P2)/100),0)</f>
        <v/>
      </c>
      <c r="U530">
        <f>MAX(0,(Inputs!$B$3-100)*3)+Inputs!$B$28+Inputs!$B$29</f>
        <v/>
      </c>
      <c r="V530">
        <f>IF(C530,(Skills!G2*N530*B564)*IF(Inputs!$B$38="pvp",1,(1+(Inputs!$B$21+Skills!Q2)/100)*(MIN((6+Inputs!$B$33),Inputs!$B$37))),0)</f>
        <v/>
      </c>
    </row>
    <row r="531">
      <c r="A531">
        <f>Skills!A3</f>
        <v/>
      </c>
      <c r="B531">
        <f>Skills!B3</f>
        <v/>
      </c>
      <c r="C531">
        <f>Inputs!$B$3&gt;=50</f>
        <v/>
      </c>
      <c r="D531">
        <f>IF(Skills!C3=1,60+Inputs!$B$25+Inputs!$B$29,IF(Skills!C3=2,90+Inputs!$B$26+Inputs!$B$29,IF(Skills!C3=3,120+Inputs!$B$27+Inputs!$B$29,MAX(0,(Inputs!$B$3-100)*3)+Inputs!$B$28+Inputs!$B$29)))</f>
        <v/>
      </c>
      <c r="E531">
        <f>INDEX(FactorTable!$B$2:$Y$301, MATCH(ROUND(MIN(300,MAX(1,D531)),0), FactorTable!$A$2:$A$301,0), Skills!M3+1)</f>
        <v/>
      </c>
      <c r="F531">
        <f>IF(Skills!N3=TRUE,(Skills!L3/10)*(E531/1000),Skills!L3/10)+Skills!O3</f>
        <v/>
      </c>
      <c r="G531" t="inlineStr"/>
      <c r="H531" t="inlineStr"/>
      <c r="I531" t="inlineStr">
        <is>
          <t>1</t>
        </is>
      </c>
      <c r="J531" t="inlineStr"/>
      <c r="K531" t="inlineStr"/>
      <c r="L531" t="inlineStr"/>
      <c r="M531" t="inlineStr"/>
      <c r="N531" t="inlineStr"/>
      <c r="O531" t="inlineStr"/>
      <c r="P531" t="inlineStr"/>
      <c r="Q531" t="inlineStr"/>
      <c r="R531" t="inlineStr"/>
      <c r="S531" t="inlineStr"/>
      <c r="T531" t="inlineStr"/>
      <c r="U531">
        <f>INDEX(FactorTable!$B$2:$Y$301, MATCH(ROUND(MIN(300,MAX(1,U530)),0), FactorTable!$A$2:$A$301,0), 22)</f>
        <v/>
      </c>
      <c r="V531" t="inlineStr"/>
    </row>
    <row r="532">
      <c r="A532">
        <f>Skills!A4</f>
        <v/>
      </c>
      <c r="B532">
        <f>Skills!B4</f>
        <v/>
      </c>
      <c r="C532">
        <f>Inputs!$B$3&gt;=105</f>
        <v/>
      </c>
      <c r="D532">
        <f>IF(Skills!C4=1,60+Inputs!$B$25+Inputs!$B$29,IF(Skills!C4=2,90+Inputs!$B$26+Inputs!$B$29,IF(Skills!C4=3,120+Inputs!$B$27+Inputs!$B$29,MAX(0,(Inputs!$B$3-100)*3)+Inputs!$B$28+Inputs!$B$29)))</f>
        <v/>
      </c>
      <c r="E532">
        <f>INDEX(FactorTable!$B$2:$Y$301, MATCH(ROUND(MIN(300,MAX(1,D532)),0), FactorTable!$A$2:$A$301,0), Skills!M4+1)</f>
        <v/>
      </c>
      <c r="F532">
        <f>IF(Skills!N4=TRUE,(Skills!L4/10)*(E532/1000),Skills!L4/10)+Skills!O4</f>
        <v/>
      </c>
      <c r="G532" t="inlineStr"/>
      <c r="H532" t="inlineStr"/>
      <c r="I532" t="inlineStr">
        <is>
          <t>1</t>
        </is>
      </c>
      <c r="J532" t="inlineStr"/>
      <c r="K532" t="inlineStr"/>
      <c r="L532" t="inlineStr"/>
      <c r="M532" t="inlineStr"/>
      <c r="N532" t="inlineStr"/>
      <c r="O532" t="inlineStr"/>
      <c r="P532" t="inlineStr"/>
      <c r="Q532" t="inlineStr"/>
      <c r="R532" t="inlineStr"/>
      <c r="S532" t="inlineStr"/>
      <c r="T532" t="inlineStr"/>
      <c r="U532">
        <f>290*U531/1000</f>
        <v/>
      </c>
      <c r="V532" t="inlineStr"/>
    </row>
    <row r="533">
      <c r="A533">
        <f>Skills!A5</f>
        <v/>
      </c>
      <c r="B533">
        <f>Skills!B5</f>
        <v/>
      </c>
      <c r="C533">
        <f>Inputs!$B$3&gt;=35</f>
        <v/>
      </c>
      <c r="D533">
        <f>IF(Skills!C5=1,60+Inputs!$B$25+Inputs!$B$29,IF(Skills!C5=2,90+Inputs!$B$26+Inputs!$B$29,IF(Skills!C5=3,120+Inputs!$B$27+Inputs!$B$29,MAX(0,(Inputs!$B$3-100)*3)+Inputs!$B$28+Inputs!$B$29)))</f>
        <v/>
      </c>
      <c r="E533">
        <f>INDEX(FactorTable!$B$2:$Y$301, MATCH(ROUND(MIN(300,MAX(1,D533)),0), FactorTable!$A$2:$A$301,0), Skills!M5+1)</f>
        <v/>
      </c>
      <c r="F533">
        <f>IF(Skills!N5=TRUE,(Skills!L5/10)*(E533/1000),Skills!L5/10)+Skills!O5</f>
        <v/>
      </c>
      <c r="G533">
        <f>Skills!G5*IF(Skills!H5&gt;0,Skills!I5/Skills!H5,1)</f>
        <v/>
      </c>
      <c r="H533">
        <f>1-(1-Skills!J5/100)^Skills!K5</f>
        <v/>
      </c>
      <c r="I533" t="inlineStr">
        <is>
          <t>1</t>
        </is>
      </c>
      <c r="J533">
        <f>((Inputs!$B$6*(1+Inputs!$B$7/100))+(((Inputs!$B$12*(1+Inputs!$B$13/100))-(Inputs!$B$12*(1+Inputs!$B$13/100)))+0.25*(Inputs!$B$14-Inputs!$B$14))*(1+Inputs!$B$7/100))*(F533/100)</f>
        <v/>
      </c>
      <c r="K533">
        <f>J533*(1+((Inputs!$B$12*(1+Inputs!$B$13/100))*0.01+Inputs!$B$14*0.0025)/100)*(1+Inputs!$B$15/100)*(1+Inputs!$B$16/100)*(5000/(6000+Inputs!$B$42*(1-(Inputs!$B$19+0)/100)))*(1+(Inputs!$B$24+((C552=TRUE)*(F552-Calc!F24))+((C553=TRUE)*(F553-Calc!F25))+B566)/100)*(1+4.0*IF(C536=TRUE,F536,0)/100)*(1+(IF(Skills!A5="EMPOWERED_PIERCING_ARROW",Inputs!$B$17+((C550=TRUE)*(F550-Calc!F22)),Inputs!$B$18+((C555=TRUE)*(F555-Calc!F27))))/100)*((1+(((C541=TRUE)*F541)+((C542=TRUE)*IF(Inputs!$B$38="pvp",F542,(1-Summary!$B$55)*(F542)+Summary!$B$55*(0)))+((C543=TRUE)*F543*IF(AND(Inputs!$B$38&lt;&gt;"pvp",Inputs!$B$43&gt;0),(((R543-1)*(Skills!T15*(1+Inputs!$B$34/100))+MIN((Skills!T15*(1+Inputs!$B$34/100)),MAX(0,Inputs!$B$43-((R543-1)*Skills!D15))))/Inputs!$B$43),IF(Inputs!$B$38="pvp",MIN((Skills!T15*(1+Inputs!$B$34/100)),15)/15,(Skills!T15*(1+Inputs!$B$34/100))/Skills!D15)))+((C540=TRUE)*F540)+((C557=TRUE)*(F557-Calc!F29)))/100)*I533)</f>
        <v/>
      </c>
      <c r="L533">
        <f>K533*(MIN(Inputs!$B$22+((C551=TRUE)*(F551-Calc!F23)),Inputs!$B$23+((C556=TRUE)*(F556-Calc!F28)))/100+(Inputs!$B$23+((C556=TRUE)*(F556-Calc!F28)))/100)/2</f>
        <v/>
      </c>
      <c r="M533">
        <f>L533*(1+((Inputs!$B$10+1)+0+B565)/100)</f>
        <v/>
      </c>
      <c r="N533">
        <f>L533*(1-MIN((Inputs!$B$9+((C547=TRUE)*(F547-Calc!F19))+B560),100)/100)+M533*(MIN((Inputs!$B$9+((C547=TRUE)*(F547-Calc!F19))+B560),100)/100)</f>
        <v/>
      </c>
      <c r="O533">
        <f>(1-Summary!$B$55)*T533+Summary!$B$55*V533</f>
        <v/>
      </c>
      <c r="P533">
        <f>IF(B570=0,0,O533/B570)</f>
        <v/>
      </c>
      <c r="Q533">
        <f>IFERROR(1/IF(Inputs!$B$38="pvp",15,MAX(0.1,Skills!D5-IF(Skills!E5=TRUE,Inputs!$B$32,0))),0)</f>
        <v/>
      </c>
      <c r="R533">
        <f>IF(AND(Inputs!$B$38&lt;&gt;"pvp",Inputs!$B$43&gt;0),IF(MAX(0,Inputs!$B$43-B567)&lt;=0,0,(INT(MAX(0,Inputs!$B$43-B567)/IF(Inputs!$B$38="pvp",15,MAX(0.1,Skills!D5-IF(Skills!E5=TRUE,Inputs!$B$32,0))))+1)),0)</f>
        <v/>
      </c>
      <c r="S533">
        <f>IFERROR((H533*N533*IF(AND(Inputs!$B$38&lt;&gt;"pvp",Inputs!$B$43&gt;0),((Skills!G5*((R533-1)*IF(Skills!H5&gt;0,Skills!I5/Skills!H5,1)+IF(Skills!H5&gt;0,MIN(Skills!I5,MAX(0,MAX(0,Inputs!$B$43-B567)-((R533-1)*IF(Inputs!$B$38="pvp",15,MAX(0.1,Skills!D5-IF(Skills!E5=TRUE,Inputs!$B$32,0))))))/Skills!H5,1)))/Inputs!$B$43),G533*Q533))/N533*IF(Inputs!$B$38="pvp",1,(1-Summary!$B$55)*1+Summary!$B$55*(MIN(Skills!R5,Inputs!$B$37))),0)</f>
        <v/>
      </c>
      <c r="T533">
        <f>IF(C533,(H533*N533*IF(AND(Inputs!$B$38&lt;&gt;"pvp",Inputs!$B$43&gt;0),((Skills!G5*((R533-1)*IF(Skills!H5&gt;0,Skills!I5/Skills!H5,1)+IF(Skills!H5&gt;0,MIN(Skills!I5,MAX(0,MAX(0,Inputs!$B$43-B567)-((R533-1)*IF(Inputs!$B$38="pvp",15,MAX(0.1,Skills!D5-IF(Skills!E5=TRUE,Inputs!$B$32,0))))))/Skills!H5,1)))/Inputs!$B$43),G533*Q533))*IF(Inputs!$B$38="pvp",1,1+(Inputs!$B$20+0+Skills!P5)/100),0)</f>
        <v/>
      </c>
      <c r="V533">
        <f>IF(C533,(H533*N533*IF(AND(Inputs!$B$38&lt;&gt;"pvp",Inputs!$B$43&gt;0),((Skills!G5*((R533-1)*IF(Skills!H5&gt;0,Skills!I5/Skills!H5,1)+IF(Skills!H5&gt;0,MIN(Skills!I5,MAX(0,MAX(0,Inputs!$B$43-B567)-((R533-1)*IF(Inputs!$B$38="pvp",15,MAX(0.1,Skills!D5-IF(Skills!E5=TRUE,Inputs!$B$32,0))))))/Skills!H5,1)))/Inputs!$B$43),G533*Q533))*IF(Inputs!$B$38="pvp",1,(1+(Inputs!$B$21+Skills!Q5)/100)*(MIN(Skills!R5,Inputs!$B$37))),0)</f>
        <v/>
      </c>
    </row>
    <row r="534">
      <c r="A534">
        <f>Skills!A6</f>
        <v/>
      </c>
      <c r="B534">
        <f>Skills!B6</f>
        <v/>
      </c>
      <c r="C534">
        <f>Inputs!$B$3&gt;=63</f>
        <v/>
      </c>
      <c r="D534">
        <f>IF(Skills!C6=1,60+Inputs!$B$25+Inputs!$B$29,IF(Skills!C6=2,90+Inputs!$B$26+Inputs!$B$29,IF(Skills!C6=3,120+Inputs!$B$27+Inputs!$B$29,MAX(0,(Inputs!$B$3-100)*3)+Inputs!$B$28+Inputs!$B$29)))</f>
        <v/>
      </c>
      <c r="E534">
        <f>INDEX(FactorTable!$B$2:$Y$301, MATCH(ROUND(MIN(300,MAX(1,D534)),0), FactorTable!$A$2:$A$301,0), Skills!M6+1)</f>
        <v/>
      </c>
      <c r="F534">
        <f>IF(Skills!N6=TRUE,(Skills!L6/10)*(E534/1000),Skills!L6/10)+Skills!O6</f>
        <v/>
      </c>
      <c r="G534">
        <f>Skills!G6*IF(Skills!H6&gt;0,Skills!I6/Skills!H6,1)</f>
        <v/>
      </c>
      <c r="H534">
        <f>1-(1-Skills!J6/100)^Skills!K6</f>
        <v/>
      </c>
      <c r="I534" t="inlineStr">
        <is>
          <t>1</t>
        </is>
      </c>
      <c r="J534">
        <f>((Inputs!$B$6*(1+Inputs!$B$7/100))+(((Inputs!$B$12*(1+Inputs!$B$13/100))-(Inputs!$B$12*(1+Inputs!$B$13/100)))+0.25*(Inputs!$B$14-Inputs!$B$14))*(1+Inputs!$B$7/100))*(F534/100)</f>
        <v/>
      </c>
      <c r="K534">
        <f>J534*(1+((Inputs!$B$12*(1+Inputs!$B$13/100))*0.01+Inputs!$B$14*0.0025)/100)*(1+Inputs!$B$15/100)*(1+Inputs!$B$16/100)*(5000/(6000+Inputs!$B$42*(1-(Inputs!$B$19+0)/100)))*(1+(Inputs!$B$24+((C552=TRUE)*(F552-Calc!F24))+((C553=TRUE)*(F553-Calc!F25))+B566)/100)*(1+1.0*IF(C536=TRUE,F536,0)/100)*(1+(IF(Skills!A6="EMPOWERED_PIERCING_ARROW",Inputs!$B$17+((C550=TRUE)*(F550-Calc!F22)),Inputs!$B$18+((C555=TRUE)*(F555-Calc!F27))))/100)*((1+(((C541=TRUE)*F541)+((C542=TRUE)*IF(Inputs!$B$38="pvp",F542,(1-Summary!$B$55)*(F542)+Summary!$B$55*(0)))+((C543=TRUE)*F543*IF(AND(Inputs!$B$38&lt;&gt;"pvp",Inputs!$B$43&gt;0),(((R543-1)*(Skills!T15*(1+Inputs!$B$34/100))+MIN((Skills!T15*(1+Inputs!$B$34/100)),MAX(0,Inputs!$B$43-((R543-1)*Skills!D15))))/Inputs!$B$43),IF(Inputs!$B$38="pvp",MIN((Skills!T15*(1+Inputs!$B$34/100)),15)/15,(Skills!T15*(1+Inputs!$B$34/100))/Skills!D15)))+((C540=TRUE)*F540)+((C557=TRUE)*(F557-Calc!F29)))/100)*I534)</f>
        <v/>
      </c>
      <c r="L534">
        <f>K534*(MIN(Inputs!$B$22+((C551=TRUE)*(F551-Calc!F23)),Inputs!$B$23+((C556=TRUE)*(F556-Calc!F28)))/100+(Inputs!$B$23+((C556=TRUE)*(F556-Calc!F28)))/100)/2</f>
        <v/>
      </c>
      <c r="M534">
        <f>L534*(1+((Inputs!$B$10+1)+0+B565)/100)</f>
        <v/>
      </c>
      <c r="N534">
        <f>L534*(1-MIN((Inputs!$B$9+((C547=TRUE)*(F547-Calc!F19))+B560),100)/100)+M534*(MIN((Inputs!$B$9+((C547=TRUE)*(F547-Calc!F19))+B560),100)/100)</f>
        <v/>
      </c>
      <c r="O534">
        <f>(1-Summary!$B$55)*T534+Summary!$B$55*V534</f>
        <v/>
      </c>
      <c r="P534">
        <f>IF(B570=0,0,O534/B570)</f>
        <v/>
      </c>
      <c r="Q534">
        <f>IFERROR(1/IF(Inputs!$B$38="pvp",15,MAX(0.1,Skills!D6-IF(Skills!E6=TRUE,Inputs!$B$32,0))),0)</f>
        <v/>
      </c>
      <c r="R534">
        <f>IF(AND(Inputs!$B$38&lt;&gt;"pvp",Inputs!$B$43&gt;0),IF(MAX(0,Inputs!$B$43-B567)&lt;=0,0,(INT(MAX(0,Inputs!$B$43-B567)/IF(Inputs!$B$38="pvp",15,MAX(0.1,Skills!D6-IF(Skills!E6=TRUE,Inputs!$B$32,0))))+1)),0)</f>
        <v/>
      </c>
      <c r="S534">
        <f>IFERROR((H534*N534*IF(AND(Inputs!$B$38&lt;&gt;"pvp",Inputs!$B$43&gt;0),((Skills!G6*((R534-1)*IF(Skills!H6&gt;0,Skills!I6/Skills!H6,1)+IF(Skills!H6&gt;0,MIN(Skills!I6,MAX(0,MAX(0,Inputs!$B$43-B567)-((R534-1)*IF(Inputs!$B$38="pvp",15,MAX(0.1,Skills!D6-IF(Skills!E6=TRUE,Inputs!$B$32,0))))))/Skills!H6,1)))/Inputs!$B$43),G534*Q534))/N534*IF(Inputs!$B$38="pvp",1,(1-Summary!$B$55)*1+Summary!$B$55*(MIN(Skills!R6,Inputs!$B$37))),0)</f>
        <v/>
      </c>
      <c r="T534">
        <f>IF(C534,(H534*N534*IF(AND(Inputs!$B$38&lt;&gt;"pvp",Inputs!$B$43&gt;0),((Skills!G6*((R534-1)*IF(Skills!H6&gt;0,Skills!I6/Skills!H6,1)+IF(Skills!H6&gt;0,MIN(Skills!I6,MAX(0,MAX(0,Inputs!$B$43-B567)-((R534-1)*IF(Inputs!$B$38="pvp",15,MAX(0.1,Skills!D6-IF(Skills!E6=TRUE,Inputs!$B$32,0))))))/Skills!H6,1)))/Inputs!$B$43),G534*Q534))*IF(Inputs!$B$38="pvp",1,1+(Inputs!$B$20+0+Skills!P6)/100),0)</f>
        <v/>
      </c>
      <c r="V534">
        <f>IF(C534,(H534*N534*IF(AND(Inputs!$B$38&lt;&gt;"pvp",Inputs!$B$43&gt;0),((Skills!G6*((R534-1)*IF(Skills!H6&gt;0,Skills!I6/Skills!H6,1)+IF(Skills!H6&gt;0,MIN(Skills!I6,MAX(0,MAX(0,Inputs!$B$43-B567)-((R534-1)*IF(Inputs!$B$38="pvp",15,MAX(0.1,Skills!D6-IF(Skills!E6=TRUE,Inputs!$B$32,0))))))/Skills!H6,1)))/Inputs!$B$43),G534*Q534))*IF(Inputs!$B$38="pvp",1,(1+(Inputs!$B$21+Skills!Q6)/100)*(MIN(Skills!R6,Inputs!$B$37))),0)</f>
        <v/>
      </c>
    </row>
    <row r="535">
      <c r="A535">
        <f>Skills!A7</f>
        <v/>
      </c>
      <c r="B535">
        <f>Skills!B7</f>
        <v/>
      </c>
      <c r="C535">
        <f>Inputs!$B$3&gt;=69</f>
        <v/>
      </c>
      <c r="D535">
        <f>IF(Skills!C7=1,60+Inputs!$B$25+Inputs!$B$29,IF(Skills!C7=2,90+Inputs!$B$26+Inputs!$B$29,IF(Skills!C7=3,120+Inputs!$B$27+Inputs!$B$29,MAX(0,(Inputs!$B$3-100)*3)+Inputs!$B$28+Inputs!$B$29)))</f>
        <v/>
      </c>
      <c r="E535">
        <f>INDEX(FactorTable!$B$2:$Y$301, MATCH(ROUND(MIN(300,MAX(1,D535)),0), FactorTable!$A$2:$A$301,0), Skills!M7+1)</f>
        <v/>
      </c>
      <c r="F535">
        <f>IF(Skills!N7=TRUE,(Skills!L7/10)*(E535/1000),Skills!L7/10)+Skills!O7</f>
        <v/>
      </c>
      <c r="G535">
        <f>Skills!G7*IF(Skills!H7&gt;0,Skills!I7/Skills!H7,1)</f>
        <v/>
      </c>
      <c r="H535">
        <f>1-(1-Skills!J7/100)^Skills!K7</f>
        <v/>
      </c>
      <c r="I535" t="inlineStr">
        <is>
          <t>1</t>
        </is>
      </c>
      <c r="J535">
        <f>((Inputs!$B$6*(1+Inputs!$B$7/100))+(((Inputs!$B$12*(1+Inputs!$B$13/100))-(Inputs!$B$12*(1+Inputs!$B$13/100)))+0.25*(Inputs!$B$14-Inputs!$B$14))*(1+Inputs!$B$7/100))*(F535/100)</f>
        <v/>
      </c>
      <c r="K535">
        <f>J535*(1+((Inputs!$B$12*(1+Inputs!$B$13/100))*0.01+Inputs!$B$14*0.0025)/100)*(1+Inputs!$B$15/100)*(1+Inputs!$B$16/100)*(5000/(6000+Inputs!$B$42*(1-(Inputs!$B$19+0)/100)))*(1+(Inputs!$B$24+((C552=TRUE)*(F552-Calc!F24))+((C553=TRUE)*(F553-Calc!F25))+B566)/100)*(1+1.2*IF(C536=TRUE,F536,0)/100)*(1+(IF(Skills!A7="EMPOWERED_PIERCING_ARROW",Inputs!$B$17+((C550=TRUE)*(F550-Calc!F22)),Inputs!$B$18+((C555=TRUE)*(F555-Calc!F27))))/100)*((1+(((C541=TRUE)*F541)+((C542=TRUE)*IF(Inputs!$B$38="pvp",F542,(1-Summary!$B$55)*(F542)+Summary!$B$55*(0)))+((C543=TRUE)*F543*IF(AND(Inputs!$B$38&lt;&gt;"pvp",Inputs!$B$43&gt;0),(((R543-1)*(Skills!T15*(1+Inputs!$B$34/100))+MIN((Skills!T15*(1+Inputs!$B$34/100)),MAX(0,Inputs!$B$43-((R543-1)*Skills!D15))))/Inputs!$B$43),IF(Inputs!$B$38="pvp",MIN((Skills!T15*(1+Inputs!$B$34/100)),15)/15,(Skills!T15*(1+Inputs!$B$34/100))/Skills!D15)))+((C540=TRUE)*F540)+((C557=TRUE)*(F557-Calc!F29)))/100)*I535)</f>
        <v/>
      </c>
      <c r="L535">
        <f>K535*(MIN(Inputs!$B$22+((C551=TRUE)*(F551-Calc!F23)),Inputs!$B$23+((C556=TRUE)*(F556-Calc!F28)))/100+(Inputs!$B$23+((C556=TRUE)*(F556-Calc!F28)))/100)/2</f>
        <v/>
      </c>
      <c r="M535">
        <f>L535*(1+((Inputs!$B$10+1)+0+B565)/100)</f>
        <v/>
      </c>
      <c r="N535">
        <f>L535*(1-MIN((Inputs!$B$9+((C547=TRUE)*(F547-Calc!F19))+B560),100)/100)+M535*(MIN((Inputs!$B$9+((C547=TRUE)*(F547-Calc!F19))+B560),100)/100)</f>
        <v/>
      </c>
      <c r="O535">
        <f>(1-Summary!$B$55)*T535+Summary!$B$55*V535</f>
        <v/>
      </c>
      <c r="P535">
        <f>IF(B570=0,0,O535/B570)</f>
        <v/>
      </c>
      <c r="Q535">
        <f>IFERROR(1/IF(Inputs!$B$38="pvp",15,MAX(0.1,Skills!D7-IF(Skills!E7=TRUE,Inputs!$B$32,0))),0)</f>
        <v/>
      </c>
      <c r="R535">
        <f>IF(AND(Inputs!$B$38&lt;&gt;"pvp",Inputs!$B$43&gt;0),IF(MAX(0,Inputs!$B$43-B567)&lt;=0,0,(INT(MAX(0,Inputs!$B$43-B567)/IF(Inputs!$B$38="pvp",15,MAX(0.1,Skills!D7-IF(Skills!E7=TRUE,Inputs!$B$32,0))))+1)),0)</f>
        <v/>
      </c>
      <c r="S535">
        <f>IFERROR((H535*N535*IF(AND(Inputs!$B$38&lt;&gt;"pvp",Inputs!$B$43&gt;0),((Skills!G7*((R535-1)*IF(Skills!H7&gt;0,Skills!I7/Skills!H7,1)+IF(Skills!H7&gt;0,MIN(Skills!I7,MAX(0,MAX(0,Inputs!$B$43-B567)-((R535-1)*IF(Inputs!$B$38="pvp",15,MAX(0.1,Skills!D7-IF(Skills!E7=TRUE,Inputs!$B$32,0))))))/Skills!H7,1)))/Inputs!$B$43),G535*Q535))/N535*IF(Inputs!$B$38="pvp",1,(1-Summary!$B$55)*1+Summary!$B$55*(MIN(Skills!R7,Inputs!$B$37))),0)</f>
        <v/>
      </c>
      <c r="T535">
        <f>IF(C535,(H535*N535*IF(AND(Inputs!$B$38&lt;&gt;"pvp",Inputs!$B$43&gt;0),((Skills!G7*((R535-1)*IF(Skills!H7&gt;0,Skills!I7/Skills!H7,1)+IF(Skills!H7&gt;0,MIN(Skills!I7,MAX(0,MAX(0,Inputs!$B$43-B567)-((R535-1)*IF(Inputs!$B$38="pvp",15,MAX(0.1,Skills!D7-IF(Skills!E7=TRUE,Inputs!$B$32,0))))))/Skills!H7,1)))/Inputs!$B$43),G535*Q535))*IF(Inputs!$B$38="pvp",1,1+(Inputs!$B$20+0+Skills!P7)/100),0)</f>
        <v/>
      </c>
      <c r="V535">
        <f>IF(C535,(H535*N535*IF(AND(Inputs!$B$38&lt;&gt;"pvp",Inputs!$B$43&gt;0),((Skills!G7*((R535-1)*IF(Skills!H7&gt;0,Skills!I7/Skills!H7,1)+IF(Skills!H7&gt;0,MIN(Skills!I7,MAX(0,MAX(0,Inputs!$B$43-B567)-((R535-1)*IF(Inputs!$B$38="pvp",15,MAX(0.1,Skills!D7-IF(Skills!E7=TRUE,Inputs!$B$32,0))))))/Skills!H7,1)))/Inputs!$B$43),G535*Q535))*IF(Inputs!$B$38="pvp",1,(1+(Inputs!$B$21+Skills!Q7)/100)*(MIN(Skills!R7,Inputs!$B$37))),0)</f>
        <v/>
      </c>
    </row>
    <row r="536">
      <c r="A536">
        <f>Skills!A8</f>
        <v/>
      </c>
      <c r="B536">
        <f>Skills!B8</f>
        <v/>
      </c>
      <c r="C536">
        <f>Inputs!$B$3&gt;=100</f>
        <v/>
      </c>
      <c r="D536">
        <f>IF(Skills!C8=1,60+Inputs!$B$25+Inputs!$B$29,IF(Skills!C8=2,90+Inputs!$B$26+Inputs!$B$29,IF(Skills!C8=3,120+Inputs!$B$27+Inputs!$B$29,MAX(0,(Inputs!$B$3-100)*3)+Inputs!$B$28+Inputs!$B$29)))</f>
        <v/>
      </c>
      <c r="E536">
        <f>INDEX(FactorTable!$B$2:$Y$301, MATCH(ROUND(MIN(300,MAX(1,D536)),0), FactorTable!$A$2:$A$301,0), Skills!M8+1)</f>
        <v/>
      </c>
      <c r="F536">
        <f>IF(Skills!N8=TRUE,(Skills!L8/10)*(E536/1000),Skills!L8/10)+Skills!O8</f>
        <v/>
      </c>
      <c r="G536" t="inlineStr"/>
      <c r="H536" t="inlineStr"/>
      <c r="I536" t="inlineStr">
        <is>
          <t>1</t>
        </is>
      </c>
      <c r="J536" t="inlineStr"/>
      <c r="K536" t="inlineStr"/>
      <c r="L536" t="inlineStr"/>
      <c r="M536" t="inlineStr"/>
      <c r="N536" t="inlineStr"/>
      <c r="O536" t="inlineStr"/>
      <c r="P536" t="inlineStr"/>
      <c r="Q536" t="inlineStr"/>
      <c r="R536" t="inlineStr"/>
      <c r="S536" t="inlineStr"/>
      <c r="T536" t="inlineStr"/>
      <c r="V536" t="inlineStr"/>
    </row>
    <row r="537">
      <c r="A537">
        <f>Skills!A9</f>
        <v/>
      </c>
      <c r="B537">
        <f>Skills!B9</f>
        <v/>
      </c>
      <c r="C537">
        <f>Inputs!$B$3&gt;=103</f>
        <v/>
      </c>
      <c r="D537">
        <f>IF(Skills!C9=1,60+Inputs!$B$25+Inputs!$B$29,IF(Skills!C9=2,90+Inputs!$B$26+Inputs!$B$29,IF(Skills!C9=3,120+Inputs!$B$27+Inputs!$B$29,MAX(0,(Inputs!$B$3-100)*3)+Inputs!$B$28+Inputs!$B$29)))</f>
        <v/>
      </c>
      <c r="E537">
        <f>INDEX(FactorTable!$B$2:$Y$301, MATCH(ROUND(MIN(300,MAX(1,D537)),0), FactorTable!$A$2:$A$301,0), Skills!M9+1)</f>
        <v/>
      </c>
      <c r="F537">
        <f>IF(Skills!N9=TRUE,(Skills!L9/10)*(E537/1000),Skills!L9/10)+Skills!O9</f>
        <v/>
      </c>
      <c r="G537">
        <f>Skills!G9*IF(Skills!H9&gt;0,Skills!I9/Skills!H9,1)</f>
        <v/>
      </c>
      <c r="H537">
        <f>1-(1-Skills!J9/100)^Skills!K9</f>
        <v/>
      </c>
      <c r="I537" t="inlineStr">
        <is>
          <t>1</t>
        </is>
      </c>
      <c r="J537">
        <f>((Inputs!$B$6*(1+Inputs!$B$7/100))+(((Inputs!$B$12*(1+Inputs!$B$13/100))-(Inputs!$B$12*(1+Inputs!$B$13/100)))+0.25*(Inputs!$B$14-Inputs!$B$14))*(1+Inputs!$B$7/100))*(F537/100)</f>
        <v/>
      </c>
      <c r="K537">
        <f>J537*(1+((Inputs!$B$12*(1+Inputs!$B$13/100))*0.01+Inputs!$B$14*0.0025)/100)*(1+Inputs!$B$15/100)*(1+Inputs!$B$16/100)*(5000/(6000+Inputs!$B$42*(1-(Inputs!$B$19+0)/100)))*(1+(Inputs!$B$24+((C552=TRUE)*(F552-Calc!F24))+((C553=TRUE)*(F553-Calc!F25))+B566)/100)*(1+(IF(Skills!A9="EMPOWERED_PIERCING_ARROW",Inputs!$B$17+((C550=TRUE)*(F550-Calc!F22)),Inputs!$B$18+((C555=TRUE)*(F555-Calc!F27))))/100)*((1+(((C541=TRUE)*F541)+((C542=TRUE)*IF(Inputs!$B$38="pvp",F542,(1-Summary!$B$55)*(F542)+Summary!$B$55*(0)))+((C543=TRUE)*F543*IF(AND(Inputs!$B$38&lt;&gt;"pvp",Inputs!$B$43&gt;0),(((R543-1)*(Skills!T15*(1+Inputs!$B$34/100))+MIN((Skills!T15*(1+Inputs!$B$34/100)),MAX(0,Inputs!$B$43-((R543-1)*Skills!D15))))/Inputs!$B$43),IF(Inputs!$B$38="pvp",MIN((Skills!T15*(1+Inputs!$B$34/100)),15)/15,(Skills!T15*(1+Inputs!$B$34/100))/Skills!D15)))+((C540=TRUE)*F540)+((C557=TRUE)*(F557-Calc!F29)))/100)*I537)</f>
        <v/>
      </c>
      <c r="L537">
        <f>K537*(MIN(Inputs!$B$22+((C551=TRUE)*(F551-Calc!F23)),Inputs!$B$23+((C556=TRUE)*(F556-Calc!F28)))/100+(Inputs!$B$23+((C556=TRUE)*(F556-Calc!F28)))/100)/2</f>
        <v/>
      </c>
      <c r="M537">
        <f>L537*(1+((Inputs!$B$10+1)+0+B565)/100)</f>
        <v/>
      </c>
      <c r="N537">
        <f>L537*(1-MIN((Inputs!$B$9+((C547=TRUE)*(F547-Calc!F19))+B560),100)/100)+M537*(MIN((Inputs!$B$9+((C547=TRUE)*(F547-Calc!F19))+B560),100)/100)</f>
        <v/>
      </c>
      <c r="O537">
        <f>(1-Summary!$B$55)*T537+Summary!$B$55*V537</f>
        <v/>
      </c>
      <c r="P537">
        <f>IF(B570=0,0,O537/B570)</f>
        <v/>
      </c>
      <c r="Q537">
        <f>IFERROR(1/IF(Inputs!$B$38="pvp",15,MAX(0.1,Skills!D9-IF(Skills!E9=TRUE,Inputs!$B$32,0))),0)</f>
        <v/>
      </c>
      <c r="R537">
        <f>IF(AND(Inputs!$B$38&lt;&gt;"pvp",Inputs!$B$43&gt;0),IF(MAX(0,Inputs!$B$43-B567)&lt;=0,0,(INT(MAX(0,Inputs!$B$43-B567)/IF(Inputs!$B$38="pvp",15,MAX(0.1,Skills!D9-IF(Skills!E9=TRUE,Inputs!$B$32,0))))+1)),0)</f>
        <v/>
      </c>
      <c r="S537">
        <f>IFERROR((H537*N537*IF(AND(Inputs!$B$38&lt;&gt;"pvp",Inputs!$B$43&gt;0),((Skills!G9*((R537-1)*IF(Skills!H9&gt;0,Skills!I9/Skills!H9,1)+IF(Skills!H9&gt;0,MIN(Skills!I9,MAX(0,MAX(0,Inputs!$B$43-B567)-((R537-1)*IF(Inputs!$B$38="pvp",15,MAX(0.1,Skills!D9-IF(Skills!E9=TRUE,Inputs!$B$32,0))))))/Skills!H9,1)))/Inputs!$B$43),G537*Q537))/N537*IF(Inputs!$B$38="pvp",1,(1-Summary!$B$55)*1+Summary!$B$55*(MIN(Skills!R9,Inputs!$B$37))),0)</f>
        <v/>
      </c>
      <c r="T537">
        <f>IF(C537,(H537*N537*IF(AND(Inputs!$B$38&lt;&gt;"pvp",Inputs!$B$43&gt;0),((Skills!G9*((R537-1)*IF(Skills!H9&gt;0,Skills!I9/Skills!H9,1)+IF(Skills!H9&gt;0,MIN(Skills!I9,MAX(0,MAX(0,Inputs!$B$43-B567)-((R537-1)*IF(Inputs!$B$38="pvp",15,MAX(0.1,Skills!D9-IF(Skills!E9=TRUE,Inputs!$B$32,0))))))/Skills!H9,1)))/Inputs!$B$43),G537*Q537))*IF(Inputs!$B$38="pvp",1,1+(Inputs!$B$20+0+Skills!P9)/100),0)</f>
        <v/>
      </c>
      <c r="V537">
        <f>IF(C537,(H537*N537*IF(AND(Inputs!$B$38&lt;&gt;"pvp",Inputs!$B$43&gt;0),((Skills!G9*((R537-1)*IF(Skills!H9&gt;0,Skills!I9/Skills!H9,1)+IF(Skills!H9&gt;0,MIN(Skills!I9,MAX(0,MAX(0,Inputs!$B$43-B567)-((R537-1)*IF(Inputs!$B$38="pvp",15,MAX(0.1,Skills!D9-IF(Skills!E9=TRUE,Inputs!$B$32,0))))))/Skills!H9,1)))/Inputs!$B$43),G537*Q537))*IF(Inputs!$B$38="pvp",1,(1+(Inputs!$B$21+Skills!Q9)/100)*(MIN(Skills!R9,Inputs!$B$37))),0)</f>
        <v/>
      </c>
    </row>
    <row r="538">
      <c r="A538">
        <f>Skills!A10</f>
        <v/>
      </c>
      <c r="B538">
        <f>Skills!B10</f>
        <v/>
      </c>
      <c r="C538">
        <f>Inputs!$B$3&gt;=107</f>
        <v/>
      </c>
      <c r="D538">
        <f>IF(Skills!C10=1,60+Inputs!$B$25+Inputs!$B$29,IF(Skills!C10=2,90+Inputs!$B$26+Inputs!$B$29,IF(Skills!C10=3,120+Inputs!$B$27+Inputs!$B$29,MAX(0,(Inputs!$B$3-100)*3)+Inputs!$B$28+Inputs!$B$29)))</f>
        <v/>
      </c>
      <c r="E538">
        <f>INDEX(FactorTable!$B$2:$Y$301, MATCH(ROUND(MIN(300,MAX(1,D538)),0), FactorTable!$A$2:$A$301,0), Skills!M10+1)</f>
        <v/>
      </c>
      <c r="F538">
        <f>IF(Skills!N10=TRUE,(Skills!L10/10)*(E538/1000),Skills!L10/10)+Skills!O10</f>
        <v/>
      </c>
      <c r="G538">
        <f>Skills!G10*IF(Skills!H10&gt;0,Skills!I10/Skills!H10,1)</f>
        <v/>
      </c>
      <c r="H538">
        <f>1-(1-Skills!J10/100)^Skills!K10</f>
        <v/>
      </c>
      <c r="I538" t="inlineStr">
        <is>
          <t>1</t>
        </is>
      </c>
      <c r="J538">
        <f>((Inputs!$B$6*(1+Inputs!$B$7/100))+(((Inputs!$B$12*(1+Inputs!$B$13/100))-(Inputs!$B$12*(1+Inputs!$B$13/100)))+0.25*(Inputs!$B$14-Inputs!$B$14))*(1+Inputs!$B$7/100))*(F538/100)</f>
        <v/>
      </c>
      <c r="K538">
        <f>J538*(1+((Inputs!$B$12*(1+Inputs!$B$13/100))*0.01+Inputs!$B$14*0.0025)/100)*(1+Inputs!$B$15/100)*(1+Inputs!$B$16/100)*(5000/(6000+Inputs!$B$42*(1-(Inputs!$B$19+0)/100)))*(1+(Inputs!$B$24+((C552=TRUE)*(F552-Calc!F24))+((C553=TRUE)*(F553-Calc!F25))+B566)/100)*(1+(IF(Skills!A10="EMPOWERED_PIERCING_ARROW",Inputs!$B$17+((C550=TRUE)*(F550-Calc!F22)),Inputs!$B$18+((C555=TRUE)*(F555-Calc!F27))))/100)*((1+(((C541=TRUE)*F541)+((C542=TRUE)*IF(Inputs!$B$38="pvp",F542,(1-Summary!$B$55)*(F542)+Summary!$B$55*(0)))+((C543=TRUE)*F543*IF(AND(Inputs!$B$38&lt;&gt;"pvp",Inputs!$B$43&gt;0),(((R543-1)*(Skills!T15*(1+Inputs!$B$34/100))+MIN((Skills!T15*(1+Inputs!$B$34/100)),MAX(0,Inputs!$B$43-((R543-1)*Skills!D15))))/Inputs!$B$43),IF(Inputs!$B$38="pvp",MIN((Skills!T15*(1+Inputs!$B$34/100)),15)/15,(Skills!T15*(1+Inputs!$B$34/100))/Skills!D15)))+((C540=TRUE)*F540)+((C557=TRUE)*(F557-Calc!F29)))/100)*I538)</f>
        <v/>
      </c>
      <c r="L538">
        <f>K538*(MIN(Inputs!$B$22+((C551=TRUE)*(F551-Calc!F23)),Inputs!$B$23+((C556=TRUE)*(F556-Calc!F28)))/100+(Inputs!$B$23+((C556=TRUE)*(F556-Calc!F28)))/100)/2</f>
        <v/>
      </c>
      <c r="M538">
        <f>L538*(1+((Inputs!$B$10+1)+0+B565)/100)</f>
        <v/>
      </c>
      <c r="N538">
        <f>L538*(1-MIN((Inputs!$B$9+((C547=TRUE)*(F547-Calc!F19))+B560),100)/100)+M538*(MIN((Inputs!$B$9+((C547=TRUE)*(F547-Calc!F19))+B560),100)/100)</f>
        <v/>
      </c>
      <c r="O538">
        <f>(1-Summary!$B$55)*T538+Summary!$B$55*V538</f>
        <v/>
      </c>
      <c r="P538">
        <f>IF(B570=0,0,O538/B570)</f>
        <v/>
      </c>
      <c r="Q538" t="n">
        <v>0</v>
      </c>
      <c r="R538" t="n">
        <v>0</v>
      </c>
      <c r="S538" t="n">
        <v>0</v>
      </c>
      <c r="T538">
        <f>IF(C538,(0.15*SUMPRODUCT((Skills!U2:U29=TRUE)*(C530:C557=TRUE)*S530:S557)*Skills!G10*N538)*IF(Inputs!$B$38="pvp",1,1+(Inputs!$B$20+0+Skills!P10)/100),0)</f>
        <v/>
      </c>
      <c r="V538">
        <f>IF(C538,(0.15*SUMPRODUCT((Skills!U2:U29=TRUE)*(C530:C557=TRUE)*S530:S557)*Skills!G10*N538)*IF(Inputs!$B$38="pvp",1,(1+(Inputs!$B$21+Skills!Q10)/100)*(MIN(Skills!R10,Inputs!$B$37))),0)</f>
        <v/>
      </c>
    </row>
    <row r="539">
      <c r="A539">
        <f>Skills!A11</f>
        <v/>
      </c>
      <c r="B539">
        <f>Skills!B11</f>
        <v/>
      </c>
      <c r="C539">
        <f>Inputs!$B$3&gt;=110</f>
        <v/>
      </c>
      <c r="D539">
        <f>IF(Skills!C11=1,60+Inputs!$B$25+Inputs!$B$29,IF(Skills!C11=2,90+Inputs!$B$26+Inputs!$B$29,IF(Skills!C11=3,120+Inputs!$B$27+Inputs!$B$29,MAX(0,(Inputs!$B$3-100)*3)+Inputs!$B$28+Inputs!$B$29)))</f>
        <v/>
      </c>
      <c r="E539">
        <f>INDEX(FactorTable!$B$2:$Y$301, MATCH(ROUND(MIN(300,MAX(1,D539)),0), FactorTable!$A$2:$A$301,0), Skills!M11+1)</f>
        <v/>
      </c>
      <c r="F539">
        <f>IF(Skills!N11=TRUE,(Skills!L11/10)*(E539/1000),Skills!L11/10)+Skills!O11</f>
        <v/>
      </c>
      <c r="G539">
        <f>Skills!G11*IF(Skills!H11&gt;0,Skills!I11/Skills!H11,1)</f>
        <v/>
      </c>
      <c r="H539">
        <f>1-(1-Skills!J11/100)^Skills!K11</f>
        <v/>
      </c>
      <c r="I539" t="inlineStr">
        <is>
          <t>1</t>
        </is>
      </c>
      <c r="J539">
        <f>((Inputs!$B$6*(1+Inputs!$B$7/100))+(((Inputs!$B$12*(1+Inputs!$B$13/100))-(Inputs!$B$12*(1+Inputs!$B$13/100)))+0.25*(Inputs!$B$14-Inputs!$B$14))*(1+Inputs!$B$7/100))*(F539/100)</f>
        <v/>
      </c>
      <c r="K539">
        <f>J539*(1+((Inputs!$B$12*(1+Inputs!$B$13/100))*0.01+Inputs!$B$14*0.0025)/100)*(1+Inputs!$B$15/100)*(1+Inputs!$B$16/100)*(5000/(6000+Inputs!$B$42*(1-(Inputs!$B$19+0)/100)))*(1+(Inputs!$B$24+((C552=TRUE)*(F552-Calc!F24))+((C553=TRUE)*(F553-Calc!F25))+B566)/100)*(1+(IF(Skills!A11="EMPOWERED_PIERCING_ARROW",Inputs!$B$17+((C550=TRUE)*(F550-Calc!F22)),Inputs!$B$18+((C555=TRUE)*(F555-Calc!F27))))/100)*((1+(((C541=TRUE)*F541)+((C542=TRUE)*IF(Inputs!$B$38="pvp",F542,(1-Summary!$B$55)*(F542)+Summary!$B$55*(0)))+((C543=TRUE)*F543*IF(AND(Inputs!$B$38&lt;&gt;"pvp",Inputs!$B$43&gt;0),(((R543-1)*(Skills!T15*(1+Inputs!$B$34/100))+MIN((Skills!T15*(1+Inputs!$B$34/100)),MAX(0,Inputs!$B$43-((R543-1)*Skills!D15))))/Inputs!$B$43),IF(Inputs!$B$38="pvp",MIN((Skills!T15*(1+Inputs!$B$34/100)),15)/15,(Skills!T15*(1+Inputs!$B$34/100))/Skills!D15)))+((C540=TRUE)*F540)+((C557=TRUE)*(F557-Calc!F29)))/100)*I539)</f>
        <v/>
      </c>
      <c r="L539">
        <f>K539*(MIN(Inputs!$B$22+((C551=TRUE)*(F551-Calc!F23)),Inputs!$B$23+((C556=TRUE)*(F556-Calc!F28)))/100+(Inputs!$B$23+((C556=TRUE)*(F556-Calc!F28)))/100)/2</f>
        <v/>
      </c>
      <c r="M539">
        <f>L539*(1+((Inputs!$B$10+1)+0+B565)/100)</f>
        <v/>
      </c>
      <c r="N539">
        <f>L539*(1-MIN((Inputs!$B$9+((C547=TRUE)*(F547-Calc!F19))+B560),100)/100)+M539*(MIN((Inputs!$B$9+((C547=TRUE)*(F547-Calc!F19))+B560),100)/100)</f>
        <v/>
      </c>
      <c r="O539">
        <f>(1-Summary!$B$55)*T539+Summary!$B$55*V539</f>
        <v/>
      </c>
      <c r="P539">
        <f>IF(B570=0,0,O539/B570)</f>
        <v/>
      </c>
      <c r="Q539">
        <f>IFERROR(1/IF(Inputs!$B$38="pvp",15,MAX(0.1,Skills!D11-IF(Skills!E11=TRUE,Inputs!$B$32,0))),0)</f>
        <v/>
      </c>
      <c r="R539">
        <f>IF(AND(Inputs!$B$38&lt;&gt;"pvp",Inputs!$B$43&gt;0),IF(MAX(0,Inputs!$B$43-B567)&lt;=0,0,(INT(MAX(0,Inputs!$B$43-B567)/IF(Inputs!$B$38="pvp",15,MAX(0.1,Skills!D11-IF(Skills!E11=TRUE,Inputs!$B$32,0))))+1)),0)</f>
        <v/>
      </c>
      <c r="S539">
        <f>IFERROR((H539*N539*IF(AND(Inputs!$B$38&lt;&gt;"pvp",Inputs!$B$43&gt;0),((Skills!G11*((R539-1)*IF(Skills!H11&gt;0,Skills!I11/Skills!H11,1)+IF(Skills!H11&gt;0,MIN(Skills!I11,MAX(0,MAX(0,Inputs!$B$43-B567)-((R539-1)*IF(Inputs!$B$38="pvp",15,MAX(0.1,Skills!D11-IF(Skills!E11=TRUE,Inputs!$B$32,0))))))/Skills!H11,1)))/Inputs!$B$43),G539*Q539))/N539*IF(Inputs!$B$38="pvp",1,(1-Summary!$B$55)*1+Summary!$B$55*(MIN(Skills!R11,Inputs!$B$37))),0)</f>
        <v/>
      </c>
      <c r="T539">
        <f>IF(C539,(H539*N539*IF(AND(Inputs!$B$38&lt;&gt;"pvp",Inputs!$B$43&gt;0),((Skills!G11*((R539-1)*IF(Skills!H11&gt;0,Skills!I11/Skills!H11,1)+IF(Skills!H11&gt;0,MIN(Skills!I11,MAX(0,MAX(0,Inputs!$B$43-B567)-((R539-1)*IF(Inputs!$B$38="pvp",15,MAX(0.1,Skills!D11-IF(Skills!E11=TRUE,Inputs!$B$32,0))))))/Skills!H11,1)))/Inputs!$B$43),G539*Q539))*IF(Inputs!$B$38="pvp",1,1+(Inputs!$B$20+0+Skills!P11)/100),0)</f>
        <v/>
      </c>
      <c r="V539">
        <f>IF(C539,(H539*N539*IF(AND(Inputs!$B$38&lt;&gt;"pvp",Inputs!$B$43&gt;0),((Skills!G11*((R539-1)*IF(Skills!H11&gt;0,Skills!I11/Skills!H11,1)+IF(Skills!H11&gt;0,MIN(Skills!I11,MAX(0,MAX(0,Inputs!$B$43-B567)-((R539-1)*IF(Inputs!$B$38="pvp",15,MAX(0.1,Skills!D11-IF(Skills!E11=TRUE,Inputs!$B$32,0))))))/Skills!H11,1)))/Inputs!$B$43),G539*Q539))*IF(Inputs!$B$38="pvp",1,(1+(Inputs!$B$21+Skills!Q11)/100)*(MIN(Skills!R11,Inputs!$B$37))),0)</f>
        <v/>
      </c>
    </row>
    <row r="540">
      <c r="A540">
        <f>Skills!A12</f>
        <v/>
      </c>
      <c r="B540">
        <f>Skills!B12</f>
        <v/>
      </c>
      <c r="C540">
        <f>Inputs!$B$3&gt;=60</f>
        <v/>
      </c>
      <c r="D540">
        <f>IF(Skills!C12=1,60+Inputs!$B$25+Inputs!$B$29,IF(Skills!C12=2,90+Inputs!$B$26+Inputs!$B$29,IF(Skills!C12=3,120+Inputs!$B$27+Inputs!$B$29,MAX(0,(Inputs!$B$3-100)*3)+Inputs!$B$28+Inputs!$B$29)))</f>
        <v/>
      </c>
      <c r="E540">
        <f>INDEX(FactorTable!$B$2:$Y$301, MATCH(ROUND(MIN(300,MAX(1,D540)),0), FactorTable!$A$2:$A$301,0), Skills!M12+1)</f>
        <v/>
      </c>
      <c r="F540">
        <f>IF(Skills!N12=TRUE,(Skills!L12/10)*(E540/1000),Skills!L12/10)+Skills!O12</f>
        <v/>
      </c>
      <c r="G540">
        <f>Skills!G12*IF(Skills!H12&gt;0,Skills!I12/Skills!H12,1)</f>
        <v/>
      </c>
      <c r="H540">
        <f>1-(1-Skills!J12/100)^Skills!K12</f>
        <v/>
      </c>
      <c r="I540" t="inlineStr">
        <is>
          <t>1</t>
        </is>
      </c>
      <c r="J540" t="inlineStr"/>
      <c r="K540" t="inlineStr"/>
      <c r="L540" t="inlineStr"/>
      <c r="M540" t="inlineStr"/>
      <c r="N540" t="inlineStr"/>
      <c r="O540">
        <f>(1-Summary!$B$55)*T540+Summary!$B$55*V540</f>
        <v/>
      </c>
      <c r="P540">
        <f>IF(B570=0,0,O540/B570)</f>
        <v/>
      </c>
      <c r="Q540" t="n">
        <v>0</v>
      </c>
      <c r="R540" t="n">
        <v>0</v>
      </c>
      <c r="S540" t="n">
        <v>0</v>
      </c>
      <c r="T540" t="n">
        <v>0</v>
      </c>
      <c r="V540" t="n">
        <v>0</v>
      </c>
    </row>
    <row r="541">
      <c r="A541">
        <f>Skills!A13</f>
        <v/>
      </c>
      <c r="B541">
        <f>Skills!B13</f>
        <v/>
      </c>
      <c r="C541">
        <f>Inputs!$B$3&gt;=74</f>
        <v/>
      </c>
      <c r="D541">
        <f>IF(Skills!C13=1,60+Inputs!$B$25+Inputs!$B$29,IF(Skills!C13=2,90+Inputs!$B$26+Inputs!$B$29,IF(Skills!C13=3,120+Inputs!$B$27+Inputs!$B$29,MAX(0,(Inputs!$B$3-100)*3)+Inputs!$B$28+Inputs!$B$29)))</f>
        <v/>
      </c>
      <c r="E541">
        <f>INDEX(FactorTable!$B$2:$Y$301, MATCH(ROUND(MIN(300,MAX(1,D541)),0), FactorTable!$A$2:$A$301,0), Skills!M13+1)</f>
        <v/>
      </c>
      <c r="F541">
        <f>IF(Skills!N13=TRUE,(Skills!L13/10)*(E541/1000),Skills!L13/10)+Skills!O13</f>
        <v/>
      </c>
      <c r="G541">
        <f>Skills!G13*IF(Skills!H13&gt;0,Skills!I13/Skills!H13,1)</f>
        <v/>
      </c>
      <c r="H541">
        <f>1-(1-Skills!J13/100)^Skills!K13</f>
        <v/>
      </c>
      <c r="I541" t="inlineStr">
        <is>
          <t>1</t>
        </is>
      </c>
      <c r="J541" t="inlineStr"/>
      <c r="K541" t="inlineStr"/>
      <c r="L541" t="inlineStr"/>
      <c r="M541" t="inlineStr"/>
      <c r="N541" t="inlineStr"/>
      <c r="O541">
        <f>(1-Summary!$B$55)*T541+Summary!$B$55*V541</f>
        <v/>
      </c>
      <c r="P541">
        <f>IF(B570=0,0,O541/B570)</f>
        <v/>
      </c>
      <c r="Q541" t="n">
        <v>0</v>
      </c>
      <c r="R541" t="n">
        <v>0</v>
      </c>
      <c r="S541" t="n">
        <v>0</v>
      </c>
      <c r="T541" t="n">
        <v>0</v>
      </c>
      <c r="V541" t="n">
        <v>0</v>
      </c>
    </row>
    <row r="542">
      <c r="A542">
        <f>Skills!A14</f>
        <v/>
      </c>
      <c r="B542">
        <f>Skills!B14</f>
        <v/>
      </c>
      <c r="C542">
        <f>Inputs!$B$3&gt;=74</f>
        <v/>
      </c>
      <c r="D542">
        <f>IF(Skills!C14=1,60+Inputs!$B$25+Inputs!$B$29,IF(Skills!C14=2,90+Inputs!$B$26+Inputs!$B$29,IF(Skills!C14=3,120+Inputs!$B$27+Inputs!$B$29,MAX(0,(Inputs!$B$3-100)*3)+Inputs!$B$28+Inputs!$B$29)))</f>
        <v/>
      </c>
      <c r="E542">
        <f>INDEX(FactorTable!$B$2:$Y$301, MATCH(ROUND(MIN(300,MAX(1,D542)),0), FactorTable!$A$2:$A$301,0), Skills!M14+1)</f>
        <v/>
      </c>
      <c r="F542">
        <f>IF(Skills!N14=TRUE,(Skills!L14/10)*(E542/1000),Skills!L14/10)+Skills!O14</f>
        <v/>
      </c>
      <c r="G542">
        <f>Skills!G14*IF(Skills!H14&gt;0,Skills!I14/Skills!H14,1)</f>
        <v/>
      </c>
      <c r="H542">
        <f>1-(1-Skills!J14/100)^Skills!K14</f>
        <v/>
      </c>
      <c r="I542" t="inlineStr">
        <is>
          <t>1</t>
        </is>
      </c>
      <c r="J542" t="inlineStr"/>
      <c r="K542" t="inlineStr"/>
      <c r="L542" t="inlineStr"/>
      <c r="M542" t="inlineStr"/>
      <c r="N542" t="inlineStr"/>
      <c r="O542">
        <f>(1-Summary!$B$55)*T542+Summary!$B$55*V542</f>
        <v/>
      </c>
      <c r="P542">
        <f>IF(B570=0,0,O542/B570)</f>
        <v/>
      </c>
      <c r="Q542" t="n">
        <v>0</v>
      </c>
      <c r="R542" t="n">
        <v>0</v>
      </c>
      <c r="S542" t="n">
        <v>0</v>
      </c>
      <c r="T542" t="n">
        <v>0</v>
      </c>
      <c r="V542" t="n">
        <v>0</v>
      </c>
    </row>
    <row r="543">
      <c r="A543">
        <f>Skills!A15</f>
        <v/>
      </c>
      <c r="B543">
        <f>Skills!B15</f>
        <v/>
      </c>
      <c r="C543">
        <f>Inputs!$B$3&gt;=117</f>
        <v/>
      </c>
      <c r="D543">
        <f>IF(Skills!C15=1,60+Inputs!$B$25+Inputs!$B$29,IF(Skills!C15=2,90+Inputs!$B$26+Inputs!$B$29,IF(Skills!C15=3,120+Inputs!$B$27+Inputs!$B$29,MAX(0,(Inputs!$B$3-100)*3)+Inputs!$B$28+Inputs!$B$29)))</f>
        <v/>
      </c>
      <c r="E543">
        <f>INDEX(FactorTable!$B$2:$Y$301, MATCH(ROUND(MIN(300,MAX(1,D543)),0), FactorTable!$A$2:$A$301,0), Skills!M15+1)</f>
        <v/>
      </c>
      <c r="F543">
        <f>IF(Skills!N15=TRUE,(Skills!L15/10)*(E543/1000),Skills!L15/10)+Skills!O15</f>
        <v/>
      </c>
      <c r="G543">
        <f>Skills!G15*IF(Skills!H15&gt;0,Skills!I15/Skills!H15,1)</f>
        <v/>
      </c>
      <c r="H543">
        <f>1-(1-Skills!J15/100)^Skills!K15</f>
        <v/>
      </c>
      <c r="I543" t="inlineStr">
        <is>
          <t>1</t>
        </is>
      </c>
      <c r="J543" t="inlineStr"/>
      <c r="K543" t="inlineStr"/>
      <c r="L543" t="inlineStr"/>
      <c r="M543" t="inlineStr"/>
      <c r="N543" t="inlineStr"/>
      <c r="O543">
        <f>(1-Summary!$B$55)*T543+Summary!$B$55*V543</f>
        <v/>
      </c>
      <c r="P543">
        <f>IF(B570=0,0,O543/B570)</f>
        <v/>
      </c>
      <c r="Q543">
        <f>IFERROR(1/IF(Inputs!$B$38="pvp",15,MAX(0.1,Skills!D15-IF(Skills!E15=TRUE,Inputs!$B$32,0))),0)</f>
        <v/>
      </c>
      <c r="R543">
        <f>IF(AND(Inputs!$B$38&lt;&gt;"pvp",Inputs!$B$43&gt;0),IF(Inputs!$B$43&lt;=0,0,(INT(Inputs!$B$43/IF(Inputs!$B$38="pvp",15,MAX(0.1,Skills!D15-IF(Skills!E15=TRUE,Inputs!$B$32,0))))+1)),0)</f>
        <v/>
      </c>
      <c r="S543" t="n">
        <v>0</v>
      </c>
      <c r="T543" t="n">
        <v>0</v>
      </c>
      <c r="V543" t="n">
        <v>0</v>
      </c>
    </row>
    <row r="544">
      <c r="A544">
        <f>Skills!A16</f>
        <v/>
      </c>
      <c r="B544">
        <f>Skills!B16</f>
        <v/>
      </c>
      <c r="C544">
        <f>Inputs!$B$3&gt;=115</f>
        <v/>
      </c>
      <c r="D544">
        <f>IF(Skills!C16=1,60+Inputs!$B$25+Inputs!$B$29,IF(Skills!C16=2,90+Inputs!$B$26+Inputs!$B$29,IF(Skills!C16=3,120+Inputs!$B$27+Inputs!$B$29,MAX(0,(Inputs!$B$3-100)*3)+Inputs!$B$28+Inputs!$B$29)))</f>
        <v/>
      </c>
      <c r="E544">
        <f>INDEX(FactorTable!$B$2:$Y$301, MATCH(ROUND(MIN(300,MAX(1,D544)),0), FactorTable!$A$2:$A$301,0), Skills!M16+1)</f>
        <v/>
      </c>
      <c r="F544">
        <f>IF(Skills!N16=TRUE,(Skills!L16/10)*(E544/1000),Skills!L16/10)+Skills!O16</f>
        <v/>
      </c>
      <c r="G544">
        <f>Skills!G16*IF(Skills!H16&gt;0,Skills!I16/Skills!H16,1)</f>
        <v/>
      </c>
      <c r="H544">
        <f>1-(1-Skills!J16/100)^Skills!K16</f>
        <v/>
      </c>
      <c r="I544" t="inlineStr">
        <is>
          <t>1</t>
        </is>
      </c>
      <c r="J544" t="inlineStr"/>
      <c r="K544" t="inlineStr"/>
      <c r="L544" t="inlineStr"/>
      <c r="M544" t="inlineStr"/>
      <c r="N544" t="inlineStr"/>
      <c r="O544">
        <f>(1-Summary!$B$55)*T544+Summary!$B$55*V544</f>
        <v/>
      </c>
      <c r="P544">
        <f>IF(B570=0,0,O544/B570)</f>
        <v/>
      </c>
      <c r="Q544">
        <f>IFERROR(1/IF(Inputs!$B$38="pvp",15,MAX(0.1,Skills!D16-IF(Skills!E16=TRUE,Inputs!$B$32,0))),0)</f>
        <v/>
      </c>
      <c r="R544">
        <f>IF(AND(Inputs!$B$38&lt;&gt;"pvp",Inputs!$B$43&gt;0),IF(Inputs!$B$43&lt;=0,0,(INT(Inputs!$B$43/IF(Inputs!$B$38="pvp",15,MAX(0.1,Skills!D16-IF(Skills!E16=TRUE,Inputs!$B$32,0))))+1)),0)</f>
        <v/>
      </c>
      <c r="S544" t="n">
        <v>0</v>
      </c>
      <c r="T544" t="n">
        <v>0</v>
      </c>
      <c r="V544" t="n">
        <v>0</v>
      </c>
    </row>
    <row r="545">
      <c r="A545">
        <f>Skills!A17</f>
        <v/>
      </c>
      <c r="B545">
        <f>Skills!B17</f>
        <v/>
      </c>
      <c r="C545">
        <f>Inputs!$B$3&gt;=72</f>
        <v/>
      </c>
      <c r="D545">
        <f>IF(Skills!C17=1,60+Inputs!$B$25+Inputs!$B$29,IF(Skills!C17=2,90+Inputs!$B$26+Inputs!$B$29,IF(Skills!C17=3,120+Inputs!$B$27+Inputs!$B$29,MAX(0,(Inputs!$B$3-100)*3)+Inputs!$B$28+Inputs!$B$29)))</f>
        <v/>
      </c>
      <c r="E545">
        <f>INDEX(FactorTable!$B$2:$Y$301, MATCH(ROUND(MIN(300,MAX(1,D545)),0), FactorTable!$A$2:$A$301,0), Skills!M17+1)</f>
        <v/>
      </c>
      <c r="F545">
        <f>IF(Skills!N17=TRUE,(Skills!L17/10)*(E545/1000),Skills!L17/10)+Skills!O17</f>
        <v/>
      </c>
      <c r="G545">
        <f>Skills!G17*IF(Skills!H17&gt;0,Skills!I17/Skills!H17,1)</f>
        <v/>
      </c>
      <c r="H545">
        <f>1-(1-Skills!J17/100)^Skills!K17</f>
        <v/>
      </c>
      <c r="I545" t="inlineStr">
        <is>
          <t>1</t>
        </is>
      </c>
      <c r="J545" t="inlineStr"/>
      <c r="K545" t="inlineStr"/>
      <c r="L545" t="inlineStr"/>
      <c r="M545" t="inlineStr"/>
      <c r="N545" t="inlineStr"/>
      <c r="O545">
        <f>(1-Summary!$B$55)*T545+Summary!$B$55*V545</f>
        <v/>
      </c>
      <c r="P545">
        <f>IF(B570=0,0,O545/B570)</f>
        <v/>
      </c>
      <c r="Q545" t="n">
        <v>0</v>
      </c>
      <c r="R545" t="n">
        <v>0</v>
      </c>
      <c r="S545" t="n">
        <v>0</v>
      </c>
      <c r="T545" t="n">
        <v>0</v>
      </c>
      <c r="V545" t="n">
        <v>0</v>
      </c>
    </row>
    <row r="546">
      <c r="A546">
        <f>Skills!A18</f>
        <v/>
      </c>
      <c r="B546">
        <f>Skills!B18</f>
        <v/>
      </c>
      <c r="C546">
        <f>TRUE</f>
        <v/>
      </c>
      <c r="D546">
        <f>IF(Skills!C18=1,60+Inputs!$B$25+Inputs!$B$29,IF(Skills!C18=2,90+Inputs!$B$26+Inputs!$B$29,IF(Skills!C18=3,120+Inputs!$B$27+Inputs!$B$29,MAX(0,(Inputs!$B$3-100)*3)+Inputs!$B$28+Inputs!$B$29)))</f>
        <v/>
      </c>
      <c r="E546">
        <f>INDEX(FactorTable!$B$2:$Y$301, MATCH(ROUND(MIN(300,MAX(1,D546)),0), FactorTable!$A$2:$A$301,0), Skills!M18+1)</f>
        <v/>
      </c>
      <c r="F546">
        <f>IF(Skills!N18=TRUE,(Skills!L18/10)*(E546/1000),Skills!L18/10)+Skills!O18</f>
        <v/>
      </c>
      <c r="G546">
        <f>Skills!G18*IF(Skills!H18&gt;0,Skills!I18/Skills!H18,1)</f>
        <v/>
      </c>
      <c r="H546">
        <f>1-(1-Skills!J18/100)^Skills!K18</f>
        <v/>
      </c>
      <c r="I546" t="inlineStr">
        <is>
          <t>1</t>
        </is>
      </c>
      <c r="J546" t="inlineStr"/>
      <c r="K546" t="inlineStr"/>
      <c r="L546" t="inlineStr"/>
      <c r="M546" t="inlineStr"/>
      <c r="N546" t="inlineStr"/>
      <c r="O546">
        <f>(1-Summary!$B$55)*T546+Summary!$B$55*V546</f>
        <v/>
      </c>
      <c r="P546">
        <f>IF(B570=0,0,O546/B570)</f>
        <v/>
      </c>
      <c r="Q546">
        <f>IFERROR(1/IF(Inputs!$B$38="pvp",15,MAX(0.1,Skills!D18-IF(Skills!E18=TRUE,Inputs!$B$32,0))),0)</f>
        <v/>
      </c>
      <c r="R546">
        <f>IF(AND(Inputs!$B$38&lt;&gt;"pvp",Inputs!$B$43&gt;0),IF(Inputs!$B$43&lt;=0,0,(INT(Inputs!$B$43/IF(Inputs!$B$38="pvp",15,MAX(0.1,Skills!D18-IF(Skills!E18=TRUE,Inputs!$B$32,0))))+1)),0)</f>
        <v/>
      </c>
      <c r="S546" t="n">
        <v>0</v>
      </c>
      <c r="T546" t="n">
        <v>0</v>
      </c>
      <c r="V546" t="n">
        <v>0</v>
      </c>
    </row>
    <row r="547">
      <c r="A547">
        <f>Skills!A19</f>
        <v/>
      </c>
      <c r="B547">
        <f>Skills!B19</f>
        <v/>
      </c>
      <c r="C547">
        <f>Inputs!$B$3&gt;=15</f>
        <v/>
      </c>
      <c r="D547">
        <f>IF(Skills!C19=1,60+Inputs!$B$25+Inputs!$B$29,IF(Skills!C19=2,90+Inputs!$B$26+Inputs!$B$29,IF(Skills!C19=3,120+Inputs!$B$27+Inputs!$B$29,MAX(0,(Inputs!$B$3-100)*3)+Inputs!$B$28+Inputs!$B$29)))</f>
        <v/>
      </c>
      <c r="E547">
        <f>INDEX(FactorTable!$B$2:$Y$301, MATCH(ROUND(MIN(300,MAX(1,D547)),0), FactorTable!$A$2:$A$301,0), Skills!M19+1)</f>
        <v/>
      </c>
      <c r="F547">
        <f>IF(Skills!N19=TRUE,(Skills!L19/10)*(E547/1000),Skills!L19/10)+Skills!O19</f>
        <v/>
      </c>
      <c r="G547">
        <f>Skills!G19*IF(Skills!H19&gt;0,Skills!I19/Skills!H19,1)</f>
        <v/>
      </c>
      <c r="H547">
        <f>1-(1-Skills!J19/100)^Skills!K19</f>
        <v/>
      </c>
      <c r="I547" t="inlineStr">
        <is>
          <t>1</t>
        </is>
      </c>
      <c r="J547" t="inlineStr"/>
      <c r="K547" t="inlineStr"/>
      <c r="L547" t="inlineStr"/>
      <c r="M547" t="inlineStr"/>
      <c r="N547" t="inlineStr"/>
      <c r="O547">
        <f>(1-Summary!$B$55)*T547+Summary!$B$55*V547</f>
        <v/>
      </c>
      <c r="P547">
        <f>IF(B570=0,0,O547/B570)</f>
        <v/>
      </c>
      <c r="Q547" t="n">
        <v>0</v>
      </c>
      <c r="R547" t="n">
        <v>0</v>
      </c>
      <c r="S547" t="n">
        <v>0</v>
      </c>
      <c r="T547" t="n">
        <v>0</v>
      </c>
      <c r="V547" t="n">
        <v>0</v>
      </c>
    </row>
    <row r="548">
      <c r="A548">
        <f>Skills!A20</f>
        <v/>
      </c>
      <c r="B548">
        <f>Skills!B20</f>
        <v/>
      </c>
      <c r="C548">
        <f>Inputs!$B$3&gt;=10</f>
        <v/>
      </c>
      <c r="D548">
        <f>IF(Skills!C20=1,60+Inputs!$B$25+Inputs!$B$29,IF(Skills!C20=2,90+Inputs!$B$26+Inputs!$B$29,IF(Skills!C20=3,120+Inputs!$B$27+Inputs!$B$29,MAX(0,(Inputs!$B$3-100)*3)+Inputs!$B$28+Inputs!$B$29)))</f>
        <v/>
      </c>
      <c r="E548">
        <f>INDEX(FactorTable!$B$2:$Y$301, MATCH(ROUND(MIN(300,MAX(1,D548)),0), FactorTable!$A$2:$A$301,0), Skills!M20+1)</f>
        <v/>
      </c>
      <c r="F548">
        <f>IF(Skills!N20=TRUE,(Skills!L20/10)*(E548/1000),Skills!L20/10)+Skills!O20</f>
        <v/>
      </c>
      <c r="G548">
        <f>Skills!G20*IF(Skills!H20&gt;0,Skills!I20/Skills!H20,1)</f>
        <v/>
      </c>
      <c r="H548">
        <f>1-(1-Skills!J20/100)^Skills!K20</f>
        <v/>
      </c>
      <c r="I548" t="inlineStr">
        <is>
          <t>1</t>
        </is>
      </c>
      <c r="J548" t="inlineStr"/>
      <c r="K548" t="inlineStr"/>
      <c r="L548" t="inlineStr"/>
      <c r="M548" t="inlineStr"/>
      <c r="N548" t="inlineStr"/>
      <c r="O548">
        <f>(1-Summary!$B$55)*T548+Summary!$B$55*V548</f>
        <v/>
      </c>
      <c r="P548">
        <f>IF(B570=0,0,O548/B570)</f>
        <v/>
      </c>
      <c r="Q548" t="n">
        <v>0</v>
      </c>
      <c r="R548" t="n">
        <v>0</v>
      </c>
      <c r="S548" t="n">
        <v>0</v>
      </c>
      <c r="T548" t="n">
        <v>0</v>
      </c>
      <c r="V548" t="n">
        <v>0</v>
      </c>
    </row>
    <row r="549">
      <c r="A549">
        <f>Skills!A21</f>
        <v/>
      </c>
      <c r="B549">
        <f>Skills!B21</f>
        <v/>
      </c>
      <c r="C549">
        <f>Inputs!$B$3&gt;=33</f>
        <v/>
      </c>
      <c r="D549">
        <f>IF(Skills!C21=1,60+Inputs!$B$25+Inputs!$B$29,IF(Skills!C21=2,90+Inputs!$B$26+Inputs!$B$29,IF(Skills!C21=3,120+Inputs!$B$27+Inputs!$B$29,MAX(0,(Inputs!$B$3-100)*3)+Inputs!$B$28+Inputs!$B$29)))</f>
        <v/>
      </c>
      <c r="E549">
        <f>INDEX(FactorTable!$B$2:$Y$301, MATCH(ROUND(MIN(300,MAX(1,D549)),0), FactorTable!$A$2:$A$301,0), Skills!M21+1)</f>
        <v/>
      </c>
      <c r="F549">
        <f>IF(Skills!N21=TRUE,(Skills!L21/10)*(E549/1000),Skills!L21/10)+Skills!O21</f>
        <v/>
      </c>
      <c r="G549">
        <f>Skills!G21*IF(Skills!H21&gt;0,Skills!I21/Skills!H21,1)</f>
        <v/>
      </c>
      <c r="H549">
        <f>1-(1-Skills!J21/100)^Skills!K21</f>
        <v/>
      </c>
      <c r="I549" t="inlineStr">
        <is>
          <t>1</t>
        </is>
      </c>
      <c r="J549" t="inlineStr"/>
      <c r="K549" t="inlineStr"/>
      <c r="L549" t="inlineStr"/>
      <c r="M549" t="inlineStr"/>
      <c r="N549" t="inlineStr"/>
      <c r="O549">
        <f>(1-Summary!$B$55)*T549+Summary!$B$55*V549</f>
        <v/>
      </c>
      <c r="P549">
        <f>IF(B570=0,0,O549/B570)</f>
        <v/>
      </c>
      <c r="Q549" t="n">
        <v>0</v>
      </c>
      <c r="R549" t="n">
        <v>0</v>
      </c>
      <c r="S549" t="n">
        <v>0</v>
      </c>
      <c r="T549" t="n">
        <v>0</v>
      </c>
      <c r="V549" t="n">
        <v>0</v>
      </c>
    </row>
    <row r="550">
      <c r="A550">
        <f>Skills!A22</f>
        <v/>
      </c>
      <c r="B550">
        <f>Skills!B22</f>
        <v/>
      </c>
      <c r="C550">
        <f>Inputs!$B$3&gt;=38</f>
        <v/>
      </c>
      <c r="D550">
        <f>IF(Skills!C22=1,60+Inputs!$B$25+Inputs!$B$29,IF(Skills!C22=2,90+Inputs!$B$26+Inputs!$B$29,IF(Skills!C22=3,120+Inputs!$B$27+Inputs!$B$29,MAX(0,(Inputs!$B$3-100)*3)+Inputs!$B$28+Inputs!$B$29)))</f>
        <v/>
      </c>
      <c r="E550">
        <f>INDEX(FactorTable!$B$2:$Y$301, MATCH(ROUND(MIN(300,MAX(1,D550)),0), FactorTable!$A$2:$A$301,0), Skills!M22+1)</f>
        <v/>
      </c>
      <c r="F550">
        <f>IF(Skills!N22=TRUE,(Skills!L22/10)*(E550/1000),Skills!L22/10)+Skills!O22</f>
        <v/>
      </c>
      <c r="G550">
        <f>Skills!G22*IF(Skills!H22&gt;0,Skills!I22/Skills!H22,1)</f>
        <v/>
      </c>
      <c r="H550">
        <f>1-(1-Skills!J22/100)^Skills!K22</f>
        <v/>
      </c>
      <c r="I550" t="inlineStr">
        <is>
          <t>1</t>
        </is>
      </c>
      <c r="J550" t="inlineStr"/>
      <c r="K550" t="inlineStr"/>
      <c r="L550" t="inlineStr"/>
      <c r="M550" t="inlineStr"/>
      <c r="N550" t="inlineStr"/>
      <c r="O550">
        <f>(1-Summary!$B$55)*T550+Summary!$B$55*V550</f>
        <v/>
      </c>
      <c r="P550">
        <f>IF(B570=0,0,O550/B570)</f>
        <v/>
      </c>
      <c r="Q550" t="n">
        <v>0</v>
      </c>
      <c r="R550" t="n">
        <v>0</v>
      </c>
      <c r="S550" t="n">
        <v>0</v>
      </c>
      <c r="T550" t="n">
        <v>0</v>
      </c>
      <c r="V550" t="n">
        <v>0</v>
      </c>
    </row>
    <row r="551">
      <c r="A551">
        <f>Skills!A23</f>
        <v/>
      </c>
      <c r="B551">
        <f>Skills!B23</f>
        <v/>
      </c>
      <c r="C551">
        <f>Inputs!$B$3&gt;=43</f>
        <v/>
      </c>
      <c r="D551">
        <f>IF(Skills!C23=1,60+Inputs!$B$25+Inputs!$B$29,IF(Skills!C23=2,90+Inputs!$B$26+Inputs!$B$29,IF(Skills!C23=3,120+Inputs!$B$27+Inputs!$B$29,MAX(0,(Inputs!$B$3-100)*3)+Inputs!$B$28+Inputs!$B$29)))</f>
        <v/>
      </c>
      <c r="E551">
        <f>INDEX(FactorTable!$B$2:$Y$301, MATCH(ROUND(MIN(300,MAX(1,D551)),0), FactorTable!$A$2:$A$301,0), Skills!M23+1)</f>
        <v/>
      </c>
      <c r="F551">
        <f>IF(Skills!N23=TRUE,(Skills!L23/10)*(E551/1000),Skills!L23/10)+Skills!O23</f>
        <v/>
      </c>
      <c r="G551">
        <f>Skills!G23*IF(Skills!H23&gt;0,Skills!I23/Skills!H23,1)</f>
        <v/>
      </c>
      <c r="H551">
        <f>1-(1-Skills!J23/100)^Skills!K23</f>
        <v/>
      </c>
      <c r="I551" t="inlineStr">
        <is>
          <t>1</t>
        </is>
      </c>
      <c r="J551" t="inlineStr"/>
      <c r="K551" t="inlineStr"/>
      <c r="L551" t="inlineStr"/>
      <c r="M551" t="inlineStr"/>
      <c r="N551" t="inlineStr"/>
      <c r="O551">
        <f>(1-Summary!$B$55)*T551+Summary!$B$55*V551</f>
        <v/>
      </c>
      <c r="P551">
        <f>IF(B570=0,0,O551/B570)</f>
        <v/>
      </c>
      <c r="Q551" t="n">
        <v>0</v>
      </c>
      <c r="R551" t="n">
        <v>0</v>
      </c>
      <c r="S551" t="n">
        <v>0</v>
      </c>
      <c r="T551" t="n">
        <v>0</v>
      </c>
      <c r="V551" t="n">
        <v>0</v>
      </c>
    </row>
    <row r="552">
      <c r="A552">
        <f>Skills!A24</f>
        <v/>
      </c>
      <c r="B552">
        <f>Skills!B24</f>
        <v/>
      </c>
      <c r="C552">
        <f>Inputs!$B$3&gt;=75</f>
        <v/>
      </c>
      <c r="D552">
        <f>IF(Skills!C24=1,60+Inputs!$B$25+Inputs!$B$29,IF(Skills!C24=2,90+Inputs!$B$26+Inputs!$B$29,IF(Skills!C24=3,120+Inputs!$B$27+Inputs!$B$29,MAX(0,(Inputs!$B$3-100)*3)+Inputs!$B$28+Inputs!$B$29)))</f>
        <v/>
      </c>
      <c r="E552">
        <f>INDEX(FactorTable!$B$2:$Y$301, MATCH(ROUND(MIN(300,MAX(1,D552)),0), FactorTable!$A$2:$A$301,0), Skills!M24+1)</f>
        <v/>
      </c>
      <c r="F552">
        <f>IF(Skills!N24=TRUE,(Skills!L24/10)*(E552/1000),Skills!L24/10)+Skills!O24</f>
        <v/>
      </c>
      <c r="G552">
        <f>Skills!G24*IF(Skills!H24&gt;0,Skills!I24/Skills!H24,1)</f>
        <v/>
      </c>
      <c r="H552">
        <f>1-(1-Skills!J24/100)^Skills!K24</f>
        <v/>
      </c>
      <c r="I552" t="inlineStr">
        <is>
          <t>1</t>
        </is>
      </c>
      <c r="J552" t="inlineStr"/>
      <c r="K552" t="inlineStr"/>
      <c r="L552" t="inlineStr"/>
      <c r="M552" t="inlineStr"/>
      <c r="N552" t="inlineStr"/>
      <c r="O552">
        <f>(1-Summary!$B$55)*T552+Summary!$B$55*V552</f>
        <v/>
      </c>
      <c r="P552">
        <f>IF(B570=0,0,O552/B570)</f>
        <v/>
      </c>
      <c r="Q552" t="n">
        <v>0</v>
      </c>
      <c r="R552" t="n">
        <v>0</v>
      </c>
      <c r="S552" t="n">
        <v>0</v>
      </c>
      <c r="T552" t="n">
        <v>0</v>
      </c>
      <c r="V552" t="n">
        <v>0</v>
      </c>
    </row>
    <row r="553">
      <c r="A553">
        <f>Skills!A25</f>
        <v/>
      </c>
      <c r="B553">
        <f>Skills!B25</f>
        <v/>
      </c>
      <c r="C553">
        <f>Inputs!$B$3&gt;=125</f>
        <v/>
      </c>
      <c r="D553">
        <f>IF(Skills!C25=1,60+Inputs!$B$25+Inputs!$B$29,IF(Skills!C25=2,90+Inputs!$B$26+Inputs!$B$29,IF(Skills!C25=3,120+Inputs!$B$27+Inputs!$B$29,MAX(0,(Inputs!$B$3-100)*3)+Inputs!$B$28+Inputs!$B$29)))</f>
        <v/>
      </c>
      <c r="E553">
        <f>INDEX(FactorTable!$B$2:$Y$301, MATCH(ROUND(MIN(300,MAX(1,D553)),0), FactorTable!$A$2:$A$301,0), Skills!M25+1)</f>
        <v/>
      </c>
      <c r="F553">
        <f>IF(Skills!N25=TRUE,(Skills!L25/10)*(E553/1000),Skills!L25/10)+Skills!O25</f>
        <v/>
      </c>
      <c r="G553">
        <f>Skills!G25*IF(Skills!H25&gt;0,Skills!I25/Skills!H25,1)</f>
        <v/>
      </c>
      <c r="H553">
        <f>1-(1-Skills!J25/100)^Skills!K25</f>
        <v/>
      </c>
      <c r="I553" t="inlineStr">
        <is>
          <t>1</t>
        </is>
      </c>
      <c r="J553" t="inlineStr"/>
      <c r="K553" t="inlineStr"/>
      <c r="L553" t="inlineStr"/>
      <c r="M553" t="inlineStr"/>
      <c r="N553" t="inlineStr"/>
      <c r="O553">
        <f>(1-Summary!$B$55)*T553+Summary!$B$55*V553</f>
        <v/>
      </c>
      <c r="P553">
        <f>IF(B570=0,0,O553/B570)</f>
        <v/>
      </c>
      <c r="Q553" t="n">
        <v>0</v>
      </c>
      <c r="R553" t="n">
        <v>0</v>
      </c>
      <c r="S553" t="n">
        <v>0</v>
      </c>
      <c r="T553" t="n">
        <v>0</v>
      </c>
      <c r="V553" t="n">
        <v>0</v>
      </c>
    </row>
    <row r="554">
      <c r="A554">
        <f>Skills!A26</f>
        <v/>
      </c>
      <c r="B554">
        <f>Skills!B26</f>
        <v/>
      </c>
      <c r="C554">
        <f>Inputs!$B$3&gt;=125</f>
        <v/>
      </c>
      <c r="D554">
        <f>IF(Skills!C26=1,60+Inputs!$B$25+Inputs!$B$29,IF(Skills!C26=2,90+Inputs!$B$26+Inputs!$B$29,IF(Skills!C26=3,120+Inputs!$B$27+Inputs!$B$29,MAX(0,(Inputs!$B$3-100)*3)+Inputs!$B$28+Inputs!$B$29)))</f>
        <v/>
      </c>
      <c r="E554">
        <f>INDEX(FactorTable!$B$2:$Y$301, MATCH(ROUND(MIN(300,MAX(1,D554)),0), FactorTable!$A$2:$A$301,0), Skills!M26+1)</f>
        <v/>
      </c>
      <c r="F554">
        <f>IF(Skills!N26=TRUE,(Skills!L26/10)*(E554/1000),Skills!L26/10)+Skills!O26</f>
        <v/>
      </c>
      <c r="G554">
        <f>Skills!G26*IF(Skills!H26&gt;0,Skills!I26/Skills!H26,1)</f>
        <v/>
      </c>
      <c r="H554">
        <f>1-(1-Skills!J26/100)^Skills!K26</f>
        <v/>
      </c>
      <c r="I554" t="inlineStr">
        <is>
          <t>1</t>
        </is>
      </c>
      <c r="J554" t="inlineStr"/>
      <c r="K554" t="inlineStr"/>
      <c r="L554" t="inlineStr"/>
      <c r="M554" t="inlineStr"/>
      <c r="N554" t="inlineStr"/>
      <c r="O554">
        <f>(1-Summary!$B$55)*T554+Summary!$B$55*V554</f>
        <v/>
      </c>
      <c r="P554">
        <f>IF(B570=0,0,O554/B570)</f>
        <v/>
      </c>
      <c r="Q554" t="n">
        <v>0</v>
      </c>
      <c r="R554" t="n">
        <v>0</v>
      </c>
      <c r="S554" t="n">
        <v>0</v>
      </c>
      <c r="T554" t="n">
        <v>0</v>
      </c>
      <c r="V554" t="n">
        <v>0</v>
      </c>
    </row>
    <row r="555">
      <c r="A555">
        <f>Skills!A27</f>
        <v/>
      </c>
      <c r="B555">
        <f>Skills!B27</f>
        <v/>
      </c>
      <c r="C555">
        <f>Inputs!$B$3&gt;=120</f>
        <v/>
      </c>
      <c r="D555">
        <f>IF(Skills!C27=1,60+Inputs!$B$25+Inputs!$B$29,IF(Skills!C27=2,90+Inputs!$B$26+Inputs!$B$29,IF(Skills!C27=3,120+Inputs!$B$27+Inputs!$B$29,MAX(0,(Inputs!$B$3-100)*3)+Inputs!$B$28+Inputs!$B$29)))</f>
        <v/>
      </c>
      <c r="E555">
        <f>INDEX(FactorTable!$B$2:$Y$301, MATCH(ROUND(MIN(300,MAX(1,D555)),0), FactorTable!$A$2:$A$301,0), Skills!M27+1)</f>
        <v/>
      </c>
      <c r="F555">
        <f>IF(Skills!N27=TRUE,(Skills!L27/10)*(E555/1000),Skills!L27/10)+Skills!O27</f>
        <v/>
      </c>
      <c r="G555">
        <f>Skills!G27*IF(Skills!H27&gt;0,Skills!I27/Skills!H27,1)</f>
        <v/>
      </c>
      <c r="H555">
        <f>1-(1-Skills!J27/100)^Skills!K27</f>
        <v/>
      </c>
      <c r="I555" t="inlineStr">
        <is>
          <t>1</t>
        </is>
      </c>
      <c r="J555" t="inlineStr"/>
      <c r="K555" t="inlineStr"/>
      <c r="L555" t="inlineStr"/>
      <c r="M555" t="inlineStr"/>
      <c r="N555" t="inlineStr"/>
      <c r="O555">
        <f>(1-Summary!$B$55)*T555+Summary!$B$55*V555</f>
        <v/>
      </c>
      <c r="P555">
        <f>IF(B570=0,0,O555/B570)</f>
        <v/>
      </c>
      <c r="Q555" t="n">
        <v>0</v>
      </c>
      <c r="R555" t="n">
        <v>0</v>
      </c>
      <c r="S555" t="n">
        <v>0</v>
      </c>
      <c r="T555" t="n">
        <v>0</v>
      </c>
      <c r="V555" t="n">
        <v>0</v>
      </c>
    </row>
    <row r="556">
      <c r="A556">
        <f>Skills!A28</f>
        <v/>
      </c>
      <c r="B556">
        <f>Skills!B28</f>
        <v/>
      </c>
      <c r="C556">
        <f>Inputs!$B$3&gt;=120</f>
        <v/>
      </c>
      <c r="D556">
        <f>IF(Skills!C28=1,60+Inputs!$B$25+Inputs!$B$29,IF(Skills!C28=2,90+Inputs!$B$26+Inputs!$B$29,IF(Skills!C28=3,120+Inputs!$B$27+Inputs!$B$29,MAX(0,(Inputs!$B$3-100)*3)+Inputs!$B$28+Inputs!$B$29)))</f>
        <v/>
      </c>
      <c r="E556">
        <f>INDEX(FactorTable!$B$2:$Y$301, MATCH(ROUND(MIN(300,MAX(1,D556)),0), FactorTable!$A$2:$A$301,0), Skills!M28+1)</f>
        <v/>
      </c>
      <c r="F556">
        <f>IF(Skills!N28=TRUE,(Skills!L28/10)*(E556/1000),Skills!L28/10)+Skills!O28</f>
        <v/>
      </c>
      <c r="G556">
        <f>Skills!G28*IF(Skills!H28&gt;0,Skills!I28/Skills!H28,1)</f>
        <v/>
      </c>
      <c r="H556">
        <f>1-(1-Skills!J28/100)^Skills!K28</f>
        <v/>
      </c>
      <c r="I556" t="inlineStr">
        <is>
          <t>1</t>
        </is>
      </c>
      <c r="J556" t="inlineStr"/>
      <c r="K556" t="inlineStr"/>
      <c r="L556" t="inlineStr"/>
      <c r="M556" t="inlineStr"/>
      <c r="N556" t="inlineStr"/>
      <c r="O556">
        <f>(1-Summary!$B$55)*T556+Summary!$B$55*V556</f>
        <v/>
      </c>
      <c r="P556">
        <f>IF(B570=0,0,O556/B570)</f>
        <v/>
      </c>
      <c r="Q556" t="n">
        <v>0</v>
      </c>
      <c r="R556" t="n">
        <v>0</v>
      </c>
      <c r="S556" t="n">
        <v>0</v>
      </c>
      <c r="T556" t="n">
        <v>0</v>
      </c>
      <c r="V556" t="n">
        <v>0</v>
      </c>
    </row>
    <row r="557">
      <c r="A557">
        <f>Skills!A29</f>
        <v/>
      </c>
      <c r="B557">
        <f>Skills!B29</f>
        <v/>
      </c>
      <c r="C557">
        <f>Inputs!$B$3&gt;=45</f>
        <v/>
      </c>
      <c r="D557">
        <f>IF(Skills!C29=1,60+Inputs!$B$25+Inputs!$B$29,IF(Skills!C29=2,90+Inputs!$B$26+Inputs!$B$29,IF(Skills!C29=3,120+Inputs!$B$27+Inputs!$B$29,MAX(0,(Inputs!$B$3-100)*3)+Inputs!$B$28+Inputs!$B$29)))</f>
        <v/>
      </c>
      <c r="E557">
        <f>INDEX(FactorTable!$B$2:$Y$301, MATCH(ROUND(MIN(300,MAX(1,D557)),0), FactorTable!$A$2:$A$301,0), Skills!M29+1)</f>
        <v/>
      </c>
      <c r="F557">
        <f>IF(Skills!N29=TRUE,(Skills!L29/10)*(E557/1000),Skills!L29/10)+Skills!O29</f>
        <v/>
      </c>
      <c r="G557">
        <f>Skills!G29*IF(Skills!H29&gt;0,Skills!I29/Skills!H29,1)</f>
        <v/>
      </c>
      <c r="H557">
        <f>1-(1-Skills!J29/100)^Skills!K29</f>
        <v/>
      </c>
      <c r="I557" t="inlineStr">
        <is>
          <t>1</t>
        </is>
      </c>
      <c r="J557" t="inlineStr"/>
      <c r="K557" t="inlineStr"/>
      <c r="L557" t="inlineStr"/>
      <c r="M557" t="inlineStr"/>
      <c r="N557" t="inlineStr"/>
      <c r="O557">
        <f>(1-Summary!$B$55)*T557+Summary!$B$55*V557</f>
        <v/>
      </c>
      <c r="P557">
        <f>IF(B570=0,0,O557/B570)</f>
        <v/>
      </c>
      <c r="Q557" t="n">
        <v>0</v>
      </c>
      <c r="R557" t="n">
        <v>0</v>
      </c>
      <c r="S557" t="n">
        <v>0</v>
      </c>
      <c r="T557" t="n">
        <v>0</v>
      </c>
      <c r="V557" t="n">
        <v>0</v>
      </c>
    </row>
    <row r="559">
      <c r="A559" t="inlineStr">
        <is>
          <t>Attack% Bucket Multiplier</t>
        </is>
      </c>
      <c r="B559">
        <f>(1+(((C541=TRUE)*F541)+((C542=TRUE)*IF(Inputs!$B$38="pvp",F542,(1-Summary!$B$55)*(F542)+Summary!$B$55*(0)))+((C543=TRUE)*F543*IF(AND(Inputs!$B$38&lt;&gt;"pvp",Inputs!$B$43&gt;0),(((R543-1)*(Skills!T15*(1+Inputs!$B$34/100))+MIN((Skills!T15*(1+Inputs!$B$34/100)),MAX(0,Inputs!$B$43-((R543-1)*Skills!D15))))/Inputs!$B$43),IF(Inputs!$B$38="pvp",MIN((Skills!T15*(1+Inputs!$B$34/100)),15)/15,(Skills!T15*(1+Inputs!$B$34/100))/Skills!D15)))+((C540=TRUE)*F540)+((C557=TRUE)*(F557-Calc!F29)))/100)</f>
        <v/>
      </c>
    </row>
    <row r="560">
      <c r="A560" t="inlineStr">
        <is>
          <t>Global Crit Rate Bonus %</t>
        </is>
      </c>
      <c r="B560">
        <f>(C544=TRUE)*20*IF(AND(Inputs!$B$38&lt;&gt;"pvp",Inputs!$B$43&gt;0),(((R544-1)*(Skills!T16*(1+Inputs!$B$34/100))+MIN((Skills!T16*(1+Inputs!$B$34/100)),MAX(0,Inputs!$B$43-((R544-1)*Skills!D16))))/Inputs!$B$43),IF(Inputs!$B$38="pvp",MIN((Skills!T16*(1+Inputs!$B$34/100)),15)/15,(Skills!T16*(1+Inputs!$B$34/100))/Skills!D16))</f>
        <v/>
      </c>
    </row>
    <row r="561">
      <c r="A561" t="inlineStr">
        <is>
          <t>Attack Speed Buff Bonus %</t>
        </is>
      </c>
      <c r="B561">
        <f>((C546=TRUE)*F546*IF(AND(Inputs!$B$38&lt;&gt;"pvp",Inputs!$B$43&gt;0),(((R546-1)*(Skills!T18*(1+Inputs!$B$34/100))+MIN((Skills!T18*(1+Inputs!$B$34/100)),MAX(0,Inputs!$B$43-((R546-1)*Skills!D18))))/Inputs!$B$43),IF(Inputs!$B$38="pvp",MIN((Skills!T18*(1+Inputs!$B$34/100)),15)/15,(Skills!T18*(1+Inputs!$B$34/100))/Skills!D18)))</f>
        <v/>
      </c>
    </row>
    <row r="562">
      <c r="A562" t="inlineStr">
        <is>
          <t>Actions Per Second</t>
        </is>
      </c>
      <c r="B562">
        <f>1+MIN(150,150*(1-(1-(Inputs!$B$11+((C548=TRUE)*(F548-Calc!F20))+((C549=TRUE)*(F549-Calc!F21)))/150)*(1-B561/150)))/100</f>
        <v/>
      </c>
    </row>
    <row r="563">
      <c r="A563" t="inlineStr">
        <is>
          <t>Skill + Buff Cast Rate</t>
        </is>
      </c>
      <c r="B563">
        <f>IF(AND(Inputs!$B$38&lt;&gt;"pvp",Inputs!$B$43&gt;0),SUMPRODUCT((Skills!E2:E29=TRUE)*(C530:C557=TRUE)*R530:R557*Skills!F2:F29)/Inputs!$B$43,SUMPRODUCT((Skills!E2:E29=TRUE)*(C530:C557=TRUE)*Q530:Q557*Skills!F2:F29))</f>
        <v/>
      </c>
    </row>
    <row r="564">
      <c r="A564" t="inlineStr">
        <is>
          <t>Empowered Piercing Arrow Casts Per Second</t>
        </is>
      </c>
      <c r="B564">
        <f>MAX(0,B562-B563)</f>
        <v/>
      </c>
    </row>
    <row r="565">
      <c r="A565" t="inlineStr">
        <is>
          <t>Global Critical Damage Bonus % (Sharp Eyes)</t>
        </is>
      </c>
      <c r="B565">
        <f>(C544=TRUE)*F544*IF(AND(Inputs!$B$38&lt;&gt;"pvp",Inputs!$B$43&gt;0),(((R544-1)*(Skills!T16*(1+Inputs!$B$34/100))+MIN((Skills!T16*(1+Inputs!$B$34/100)),MAX(0,Inputs!$B$43-((R544-1)*Skills!D16))))/Inputs!$B$43),IF(Inputs!$B$38="pvp",MIN((Skills!T16*(1+Inputs!$B$34/100)),15)/15,(Skills!T16*(1+Inputs!$B$34/100))/Skills!D16))</f>
        <v/>
      </c>
    </row>
    <row r="566">
      <c r="A566" t="inlineStr">
        <is>
          <t>Global Final Damage Bonus % (Mortal Blow + Last Man Standing conditional half)</t>
        </is>
      </c>
      <c r="B566">
        <f>(C545=TRUE)*F545+((C554=TRUE)*IF(Inputs!$B$38="pvp",F554,(1-Summary!$B$55)*(F554)+Summary!$B$55*(0)))</f>
        <v/>
      </c>
    </row>
    <row r="567">
      <c r="A567" t="inlineStr">
        <is>
          <t>Buff-Casting Startup Delay (s, fixed-duration only)</t>
        </is>
      </c>
      <c r="B567">
        <f>IF(AND(Inputs!$B$38&lt;&gt;"pvp",Inputs!$B$43&gt;0),SUMPRODUCT((Skills!T2:T29&gt;0)*(Skills!E2:E29=TRUE)*(C530:C557=TRUE))/B562,0)</f>
        <v/>
      </c>
    </row>
    <row r="568">
      <c r="A568" t="inlineStr">
        <is>
          <t>Boss-Only Total DPS (this block's swept value)</t>
        </is>
      </c>
      <c r="B568">
        <f>SUM(T530:T557)</f>
        <v/>
      </c>
    </row>
    <row r="569">
      <c r="A569" t="inlineStr">
        <is>
          <t>Normal-Only Total DPS (this block's swept value)</t>
        </is>
      </c>
      <c r="B569">
        <f>SUM(V530:V557)</f>
        <v/>
      </c>
    </row>
    <row r="570">
      <c r="A570" s="5" t="inlineStr">
        <is>
          <t>TOTAL DPS</t>
        </is>
      </c>
      <c r="B570" s="5">
        <f>SUM(O530:O557)</f>
        <v/>
      </c>
    </row>
    <row r="573">
      <c r="A573" s="5" t="inlineStr">
        <is>
          <t>Stat: ATTACK_SPEED % (diminishing returns, factor 150)</t>
        </is>
      </c>
    </row>
    <row r="574">
      <c r="A574" s="9" t="inlineStr">
        <is>
          <t>Key</t>
        </is>
      </c>
      <c r="B574" s="9" t="inlineStr">
        <is>
          <t>Name</t>
        </is>
      </c>
      <c r="C574" s="9" t="inlineStr">
        <is>
          <t>Unlocked</t>
        </is>
      </c>
      <c r="D574" s="9" t="inlineStr">
        <is>
          <t>InputLevel</t>
        </is>
      </c>
      <c r="E574" s="9" t="inlineStr">
        <is>
          <t>Factor</t>
        </is>
      </c>
      <c r="F574" s="9" t="inlineStr">
        <is>
          <t>CoefficientPercent</t>
        </is>
      </c>
      <c r="G574" s="9" t="inlineStr">
        <is>
          <t>EffectiveHits</t>
        </is>
      </c>
      <c r="H574" s="9" t="inlineStr">
        <is>
          <t>ProcProbability</t>
        </is>
      </c>
      <c r="I574" s="9" t="inlineStr">
        <is>
          <t>MapleHeroMultiplier</t>
        </is>
      </c>
      <c r="J574" s="9" t="inlineStr">
        <is>
          <t>BaseDamage</t>
        </is>
      </c>
      <c r="K574" s="9" t="inlineStr">
        <is>
          <t>BaseHitDamage</t>
        </is>
      </c>
      <c r="L574" s="9" t="inlineStr">
        <is>
          <t>NonCritAvg</t>
        </is>
      </c>
      <c r="M574" s="9" t="inlineStr">
        <is>
          <t>CritAvg</t>
        </is>
      </c>
      <c r="N574" s="9" t="inlineStr">
        <is>
          <t>ExpectedDamage(perHit)</t>
        </is>
      </c>
      <c r="O574" s="9" t="inlineStr">
        <is>
          <t>DPS</t>
        </is>
      </c>
      <c r="P574" s="9" t="inlineStr">
        <is>
          <t>% of Total</t>
        </is>
      </c>
      <c r="Q574" s="9" t="inlineStr">
        <is>
          <t>InvCooldown</t>
        </is>
      </c>
      <c r="R574" s="9" t="inlineStr">
        <is>
          <t>CastsInFight</t>
        </is>
      </c>
      <c r="S574" s="9" t="inlineStr">
        <is>
          <t>HitRate(perSec)</t>
        </is>
      </c>
      <c r="U574" t="inlineStr">
        <is>
          <t>helpers</t>
        </is>
      </c>
    </row>
    <row r="575">
      <c r="A575">
        <f>Skills!A2</f>
        <v/>
      </c>
      <c r="B575">
        <f>Skills!B2</f>
        <v/>
      </c>
      <c r="C575">
        <f>Inputs!$B$3&gt;=100</f>
        <v/>
      </c>
      <c r="D575" t="inlineStr"/>
      <c r="E575" t="inlineStr"/>
      <c r="F575">
        <f>U577+Skills!O2</f>
        <v/>
      </c>
      <c r="G575">
        <f>Skills!G2*IF(Skills!H2&gt;0,Skills!I2/Skills!H2,1)</f>
        <v/>
      </c>
      <c r="H575">
        <f>1-(1-Skills!J2/100)^Skills!K2</f>
        <v/>
      </c>
      <c r="I575" t="inlineStr">
        <is>
          <t>1</t>
        </is>
      </c>
      <c r="J575">
        <f>((Inputs!$B$6*(1+Inputs!$B$7/100))+(((Inputs!$B$12*(1+Inputs!$B$13/100))-(Inputs!$B$12*(1+Inputs!$B$13/100)))+0.25*(Inputs!$B$14-Inputs!$B$14))*(1+Inputs!$B$7/100))*(F575/100)</f>
        <v/>
      </c>
      <c r="K575">
        <f>J575*(1+((Inputs!$B$12*(1+Inputs!$B$13/100))*0.01+Inputs!$B$14*0.0025)/100)*(1+Inputs!$B$15/100)*(1+Inputs!$B$16/100)*(5000/(6000+Inputs!$B$42*(1-(Inputs!$B$19+0)/100)))*(1+(Inputs!$B$24+((C597=TRUE)*(F597-Calc!F24))+((C598=TRUE)*(F598-Calc!F25))+B611)/100)*(1+(IF(Skills!A2="EMPOWERED_PIERCING_ARROW",Inputs!$B$17+((C595=TRUE)*(F595-Calc!F22)),Inputs!$B$18+((C600=TRUE)*(F600-Calc!F27))))/100)*((1+(((C586=TRUE)*F586)+((C587=TRUE)*IF(Inputs!$B$38="pvp",F587,(1-Summary!$B$55)*(F587)+Summary!$B$55*(0)))+((C588=TRUE)*F588*IF(AND(Inputs!$B$38&lt;&gt;"pvp",Inputs!$B$43&gt;0),(((R588-1)*(Skills!T15*(1+Inputs!$B$34/100))+MIN((Skills!T15*(1+Inputs!$B$34/100)),MAX(0,Inputs!$B$43-((R588-1)*Skills!D15))))/Inputs!$B$43),IF(Inputs!$B$38="pvp",MIN((Skills!T15*(1+Inputs!$B$34/100)),15)/15,(Skills!T15*(1+Inputs!$B$34/100))/Skills!D15)))+((C585=TRUE)*F585)+((C602=TRUE)*(F602-Calc!F29)))/100)*I575)</f>
        <v/>
      </c>
      <c r="L575">
        <f>K575*(MIN(Inputs!$B$22+((C596=TRUE)*(F596-Calc!F23)),Inputs!$B$23+((C601=TRUE)*(F601-Calc!F28)))/100+(Inputs!$B$23+((C601=TRUE)*(F601-Calc!F28)))/100)/2</f>
        <v/>
      </c>
      <c r="M575">
        <f>L575*(1+(Inputs!$B$10+0+B610)/100)</f>
        <v/>
      </c>
      <c r="N575">
        <f>L575*(1-MIN((Inputs!$B$9+((C592=TRUE)*(F592-Calc!F19))+B605),100)/100)+M575*(MIN((Inputs!$B$9+((C592=TRUE)*(F592-Calc!F19))+B605),100)/100)</f>
        <v/>
      </c>
      <c r="O575">
        <f>(1-Summary!$B$55)*T575+Summary!$B$55*V575</f>
        <v/>
      </c>
      <c r="P575">
        <f>IF(B615=0,0,O575/B615)</f>
        <v/>
      </c>
      <c r="Q575" t="n">
        <v>0</v>
      </c>
      <c r="R575" t="n">
        <v>0</v>
      </c>
      <c r="S575">
        <f>IFERROR((Skills!G2*N575*B609)/N575*IF(Inputs!$B$38="pvp",1,(1-Summary!$B$55)*1+Summary!$B$55*(MIN((6+Inputs!$B$33),Inputs!$B$37))),0)</f>
        <v/>
      </c>
      <c r="T575">
        <f>IF(C575,(Skills!G2*N575*B609)*IF(Inputs!$B$38="pvp",1,1+(Inputs!$B$20+0+Skills!P2)/100),0)</f>
        <v/>
      </c>
      <c r="U575">
        <f>MAX(0,(Inputs!$B$3-100)*3)+Inputs!$B$28+Inputs!$B$29</f>
        <v/>
      </c>
      <c r="V575">
        <f>IF(C575,(Skills!G2*N575*B609)*IF(Inputs!$B$38="pvp",1,(1+(Inputs!$B$21+Skills!Q2)/100)*(MIN((6+Inputs!$B$33),Inputs!$B$37))),0)</f>
        <v/>
      </c>
    </row>
    <row r="576">
      <c r="A576">
        <f>Skills!A3</f>
        <v/>
      </c>
      <c r="B576">
        <f>Skills!B3</f>
        <v/>
      </c>
      <c r="C576">
        <f>Inputs!$B$3&gt;=50</f>
        <v/>
      </c>
      <c r="D576">
        <f>IF(Skills!C3=1,60+Inputs!$B$25+Inputs!$B$29,IF(Skills!C3=2,90+Inputs!$B$26+Inputs!$B$29,IF(Skills!C3=3,120+Inputs!$B$27+Inputs!$B$29,MAX(0,(Inputs!$B$3-100)*3)+Inputs!$B$28+Inputs!$B$29)))</f>
        <v/>
      </c>
      <c r="E576">
        <f>INDEX(FactorTable!$B$2:$Y$301, MATCH(ROUND(MIN(300,MAX(1,D576)),0), FactorTable!$A$2:$A$301,0), Skills!M3+1)</f>
        <v/>
      </c>
      <c r="F576">
        <f>IF(Skills!N3=TRUE,(Skills!L3/10)*(E576/1000),Skills!L3/10)+Skills!O3</f>
        <v/>
      </c>
      <c r="G576" t="inlineStr"/>
      <c r="H576" t="inlineStr"/>
      <c r="I576" t="inlineStr">
        <is>
          <t>1</t>
        </is>
      </c>
      <c r="J576" t="inlineStr"/>
      <c r="K576" t="inlineStr"/>
      <c r="L576" t="inlineStr"/>
      <c r="M576" t="inlineStr"/>
      <c r="N576" t="inlineStr"/>
      <c r="O576" t="inlineStr"/>
      <c r="P576" t="inlineStr"/>
      <c r="Q576" t="inlineStr"/>
      <c r="R576" t="inlineStr"/>
      <c r="S576" t="inlineStr"/>
      <c r="T576" t="inlineStr"/>
      <c r="U576">
        <f>INDEX(FactorTable!$B$2:$Y$301, MATCH(ROUND(MIN(300,MAX(1,U575)),0), FactorTable!$A$2:$A$301,0), 22)</f>
        <v/>
      </c>
      <c r="V576" t="inlineStr"/>
    </row>
    <row r="577">
      <c r="A577">
        <f>Skills!A4</f>
        <v/>
      </c>
      <c r="B577">
        <f>Skills!B4</f>
        <v/>
      </c>
      <c r="C577">
        <f>Inputs!$B$3&gt;=105</f>
        <v/>
      </c>
      <c r="D577">
        <f>IF(Skills!C4=1,60+Inputs!$B$25+Inputs!$B$29,IF(Skills!C4=2,90+Inputs!$B$26+Inputs!$B$29,IF(Skills!C4=3,120+Inputs!$B$27+Inputs!$B$29,MAX(0,(Inputs!$B$3-100)*3)+Inputs!$B$28+Inputs!$B$29)))</f>
        <v/>
      </c>
      <c r="E577">
        <f>INDEX(FactorTable!$B$2:$Y$301, MATCH(ROUND(MIN(300,MAX(1,D577)),0), FactorTable!$A$2:$A$301,0), Skills!M4+1)</f>
        <v/>
      </c>
      <c r="F577">
        <f>IF(Skills!N4=TRUE,(Skills!L4/10)*(E577/1000),Skills!L4/10)+Skills!O4</f>
        <v/>
      </c>
      <c r="G577" t="inlineStr"/>
      <c r="H577" t="inlineStr"/>
      <c r="I577" t="inlineStr">
        <is>
          <t>1</t>
        </is>
      </c>
      <c r="J577" t="inlineStr"/>
      <c r="K577" t="inlineStr"/>
      <c r="L577" t="inlineStr"/>
      <c r="M577" t="inlineStr"/>
      <c r="N577" t="inlineStr"/>
      <c r="O577" t="inlineStr"/>
      <c r="P577" t="inlineStr"/>
      <c r="Q577" t="inlineStr"/>
      <c r="R577" t="inlineStr"/>
      <c r="S577" t="inlineStr"/>
      <c r="T577" t="inlineStr"/>
      <c r="U577">
        <f>290*U576/1000</f>
        <v/>
      </c>
      <c r="V577" t="inlineStr"/>
    </row>
    <row r="578">
      <c r="A578">
        <f>Skills!A5</f>
        <v/>
      </c>
      <c r="B578">
        <f>Skills!B5</f>
        <v/>
      </c>
      <c r="C578">
        <f>Inputs!$B$3&gt;=35</f>
        <v/>
      </c>
      <c r="D578">
        <f>IF(Skills!C5=1,60+Inputs!$B$25+Inputs!$B$29,IF(Skills!C5=2,90+Inputs!$B$26+Inputs!$B$29,IF(Skills!C5=3,120+Inputs!$B$27+Inputs!$B$29,MAX(0,(Inputs!$B$3-100)*3)+Inputs!$B$28+Inputs!$B$29)))</f>
        <v/>
      </c>
      <c r="E578">
        <f>INDEX(FactorTable!$B$2:$Y$301, MATCH(ROUND(MIN(300,MAX(1,D578)),0), FactorTable!$A$2:$A$301,0), Skills!M5+1)</f>
        <v/>
      </c>
      <c r="F578">
        <f>IF(Skills!N5=TRUE,(Skills!L5/10)*(E578/1000),Skills!L5/10)+Skills!O5</f>
        <v/>
      </c>
      <c r="G578">
        <f>Skills!G5*IF(Skills!H5&gt;0,Skills!I5/Skills!H5,1)</f>
        <v/>
      </c>
      <c r="H578">
        <f>1-(1-Skills!J5/100)^Skills!K5</f>
        <v/>
      </c>
      <c r="I578" t="inlineStr">
        <is>
          <t>1</t>
        </is>
      </c>
      <c r="J578">
        <f>((Inputs!$B$6*(1+Inputs!$B$7/100))+(((Inputs!$B$12*(1+Inputs!$B$13/100))-(Inputs!$B$12*(1+Inputs!$B$13/100)))+0.25*(Inputs!$B$14-Inputs!$B$14))*(1+Inputs!$B$7/100))*(F578/100)</f>
        <v/>
      </c>
      <c r="K578">
        <f>J578*(1+((Inputs!$B$12*(1+Inputs!$B$13/100))*0.01+Inputs!$B$14*0.0025)/100)*(1+Inputs!$B$15/100)*(1+Inputs!$B$16/100)*(5000/(6000+Inputs!$B$42*(1-(Inputs!$B$19+0)/100)))*(1+(Inputs!$B$24+((C597=TRUE)*(F597-Calc!F24))+((C598=TRUE)*(F598-Calc!F25))+B611)/100)*(1+4.0*IF(C581=TRUE,F581,0)/100)*(1+(IF(Skills!A5="EMPOWERED_PIERCING_ARROW",Inputs!$B$17+((C595=TRUE)*(F595-Calc!F22)),Inputs!$B$18+((C600=TRUE)*(F600-Calc!F27))))/100)*((1+(((C586=TRUE)*F586)+((C587=TRUE)*IF(Inputs!$B$38="pvp",F587,(1-Summary!$B$55)*(F587)+Summary!$B$55*(0)))+((C588=TRUE)*F588*IF(AND(Inputs!$B$38&lt;&gt;"pvp",Inputs!$B$43&gt;0),(((R588-1)*(Skills!T15*(1+Inputs!$B$34/100))+MIN((Skills!T15*(1+Inputs!$B$34/100)),MAX(0,Inputs!$B$43-((R588-1)*Skills!D15))))/Inputs!$B$43),IF(Inputs!$B$38="pvp",MIN((Skills!T15*(1+Inputs!$B$34/100)),15)/15,(Skills!T15*(1+Inputs!$B$34/100))/Skills!D15)))+((C585=TRUE)*F585)+((C602=TRUE)*(F602-Calc!F29)))/100)*I578)</f>
        <v/>
      </c>
      <c r="L578">
        <f>K578*(MIN(Inputs!$B$22+((C596=TRUE)*(F596-Calc!F23)),Inputs!$B$23+((C601=TRUE)*(F601-Calc!F28)))/100+(Inputs!$B$23+((C601=TRUE)*(F601-Calc!F28)))/100)/2</f>
        <v/>
      </c>
      <c r="M578">
        <f>L578*(1+(Inputs!$B$10+0+B610)/100)</f>
        <v/>
      </c>
      <c r="N578">
        <f>L578*(1-MIN((Inputs!$B$9+((C592=TRUE)*(F592-Calc!F19))+B605),100)/100)+M578*(MIN((Inputs!$B$9+((C592=TRUE)*(F592-Calc!F19))+B605),100)/100)</f>
        <v/>
      </c>
      <c r="O578">
        <f>(1-Summary!$B$55)*T578+Summary!$B$55*V578</f>
        <v/>
      </c>
      <c r="P578">
        <f>IF(B615=0,0,O578/B615)</f>
        <v/>
      </c>
      <c r="Q578">
        <f>IFERROR(1/IF(Inputs!$B$38="pvp",15,MAX(0.1,Skills!D5-IF(Skills!E5=TRUE,Inputs!$B$32,0))),0)</f>
        <v/>
      </c>
      <c r="R578">
        <f>IF(AND(Inputs!$B$38&lt;&gt;"pvp",Inputs!$B$43&gt;0),IF(MAX(0,Inputs!$B$43-B612)&lt;=0,0,(INT(MAX(0,Inputs!$B$43-B612)/IF(Inputs!$B$38="pvp",15,MAX(0.1,Skills!D5-IF(Skills!E5=TRUE,Inputs!$B$32,0))))+1)),0)</f>
        <v/>
      </c>
      <c r="S578">
        <f>IFERROR((H578*N578*IF(AND(Inputs!$B$38&lt;&gt;"pvp",Inputs!$B$43&gt;0),((Skills!G5*((R578-1)*IF(Skills!H5&gt;0,Skills!I5/Skills!H5,1)+IF(Skills!H5&gt;0,MIN(Skills!I5,MAX(0,MAX(0,Inputs!$B$43-B612)-((R578-1)*IF(Inputs!$B$38="pvp",15,MAX(0.1,Skills!D5-IF(Skills!E5=TRUE,Inputs!$B$32,0))))))/Skills!H5,1)))/Inputs!$B$43),G578*Q578))/N578*IF(Inputs!$B$38="pvp",1,(1-Summary!$B$55)*1+Summary!$B$55*(MIN(Skills!R5,Inputs!$B$37))),0)</f>
        <v/>
      </c>
      <c r="T578">
        <f>IF(C578,(H578*N578*IF(AND(Inputs!$B$38&lt;&gt;"pvp",Inputs!$B$43&gt;0),((Skills!G5*((R578-1)*IF(Skills!H5&gt;0,Skills!I5/Skills!H5,1)+IF(Skills!H5&gt;0,MIN(Skills!I5,MAX(0,MAX(0,Inputs!$B$43-B612)-((R578-1)*IF(Inputs!$B$38="pvp",15,MAX(0.1,Skills!D5-IF(Skills!E5=TRUE,Inputs!$B$32,0))))))/Skills!H5,1)))/Inputs!$B$43),G578*Q578))*IF(Inputs!$B$38="pvp",1,1+(Inputs!$B$20+0+Skills!P5)/100),0)</f>
        <v/>
      </c>
      <c r="V578">
        <f>IF(C578,(H578*N578*IF(AND(Inputs!$B$38&lt;&gt;"pvp",Inputs!$B$43&gt;0),((Skills!G5*((R578-1)*IF(Skills!H5&gt;0,Skills!I5/Skills!H5,1)+IF(Skills!H5&gt;0,MIN(Skills!I5,MAX(0,MAX(0,Inputs!$B$43-B612)-((R578-1)*IF(Inputs!$B$38="pvp",15,MAX(0.1,Skills!D5-IF(Skills!E5=TRUE,Inputs!$B$32,0))))))/Skills!H5,1)))/Inputs!$B$43),G578*Q578))*IF(Inputs!$B$38="pvp",1,(1+(Inputs!$B$21+Skills!Q5)/100)*(MIN(Skills!R5,Inputs!$B$37))),0)</f>
        <v/>
      </c>
    </row>
    <row r="579">
      <c r="A579">
        <f>Skills!A6</f>
        <v/>
      </c>
      <c r="B579">
        <f>Skills!B6</f>
        <v/>
      </c>
      <c r="C579">
        <f>Inputs!$B$3&gt;=63</f>
        <v/>
      </c>
      <c r="D579">
        <f>IF(Skills!C6=1,60+Inputs!$B$25+Inputs!$B$29,IF(Skills!C6=2,90+Inputs!$B$26+Inputs!$B$29,IF(Skills!C6=3,120+Inputs!$B$27+Inputs!$B$29,MAX(0,(Inputs!$B$3-100)*3)+Inputs!$B$28+Inputs!$B$29)))</f>
        <v/>
      </c>
      <c r="E579">
        <f>INDEX(FactorTable!$B$2:$Y$301, MATCH(ROUND(MIN(300,MAX(1,D579)),0), FactorTable!$A$2:$A$301,0), Skills!M6+1)</f>
        <v/>
      </c>
      <c r="F579">
        <f>IF(Skills!N6=TRUE,(Skills!L6/10)*(E579/1000),Skills!L6/10)+Skills!O6</f>
        <v/>
      </c>
      <c r="G579">
        <f>Skills!G6*IF(Skills!H6&gt;0,Skills!I6/Skills!H6,1)</f>
        <v/>
      </c>
      <c r="H579">
        <f>1-(1-Skills!J6/100)^Skills!K6</f>
        <v/>
      </c>
      <c r="I579" t="inlineStr">
        <is>
          <t>1</t>
        </is>
      </c>
      <c r="J579">
        <f>((Inputs!$B$6*(1+Inputs!$B$7/100))+(((Inputs!$B$12*(1+Inputs!$B$13/100))-(Inputs!$B$12*(1+Inputs!$B$13/100)))+0.25*(Inputs!$B$14-Inputs!$B$14))*(1+Inputs!$B$7/100))*(F579/100)</f>
        <v/>
      </c>
      <c r="K579">
        <f>J579*(1+((Inputs!$B$12*(1+Inputs!$B$13/100))*0.01+Inputs!$B$14*0.0025)/100)*(1+Inputs!$B$15/100)*(1+Inputs!$B$16/100)*(5000/(6000+Inputs!$B$42*(1-(Inputs!$B$19+0)/100)))*(1+(Inputs!$B$24+((C597=TRUE)*(F597-Calc!F24))+((C598=TRUE)*(F598-Calc!F25))+B611)/100)*(1+1.0*IF(C581=TRUE,F581,0)/100)*(1+(IF(Skills!A6="EMPOWERED_PIERCING_ARROW",Inputs!$B$17+((C595=TRUE)*(F595-Calc!F22)),Inputs!$B$18+((C600=TRUE)*(F600-Calc!F27))))/100)*((1+(((C586=TRUE)*F586)+((C587=TRUE)*IF(Inputs!$B$38="pvp",F587,(1-Summary!$B$55)*(F587)+Summary!$B$55*(0)))+((C588=TRUE)*F588*IF(AND(Inputs!$B$38&lt;&gt;"pvp",Inputs!$B$43&gt;0),(((R588-1)*(Skills!T15*(1+Inputs!$B$34/100))+MIN((Skills!T15*(1+Inputs!$B$34/100)),MAX(0,Inputs!$B$43-((R588-1)*Skills!D15))))/Inputs!$B$43),IF(Inputs!$B$38="pvp",MIN((Skills!T15*(1+Inputs!$B$34/100)),15)/15,(Skills!T15*(1+Inputs!$B$34/100))/Skills!D15)))+((C585=TRUE)*F585)+((C602=TRUE)*(F602-Calc!F29)))/100)*I579)</f>
        <v/>
      </c>
      <c r="L579">
        <f>K579*(MIN(Inputs!$B$22+((C596=TRUE)*(F596-Calc!F23)),Inputs!$B$23+((C601=TRUE)*(F601-Calc!F28)))/100+(Inputs!$B$23+((C601=TRUE)*(F601-Calc!F28)))/100)/2</f>
        <v/>
      </c>
      <c r="M579">
        <f>L579*(1+(Inputs!$B$10+0+B610)/100)</f>
        <v/>
      </c>
      <c r="N579">
        <f>L579*(1-MIN((Inputs!$B$9+((C592=TRUE)*(F592-Calc!F19))+B605),100)/100)+M579*(MIN((Inputs!$B$9+((C592=TRUE)*(F592-Calc!F19))+B605),100)/100)</f>
        <v/>
      </c>
      <c r="O579">
        <f>(1-Summary!$B$55)*T579+Summary!$B$55*V579</f>
        <v/>
      </c>
      <c r="P579">
        <f>IF(B615=0,0,O579/B615)</f>
        <v/>
      </c>
      <c r="Q579">
        <f>IFERROR(1/IF(Inputs!$B$38="pvp",15,MAX(0.1,Skills!D6-IF(Skills!E6=TRUE,Inputs!$B$32,0))),0)</f>
        <v/>
      </c>
      <c r="R579">
        <f>IF(AND(Inputs!$B$38&lt;&gt;"pvp",Inputs!$B$43&gt;0),IF(MAX(0,Inputs!$B$43-B612)&lt;=0,0,(INT(MAX(0,Inputs!$B$43-B612)/IF(Inputs!$B$38="pvp",15,MAX(0.1,Skills!D6-IF(Skills!E6=TRUE,Inputs!$B$32,0))))+1)),0)</f>
        <v/>
      </c>
      <c r="S579">
        <f>IFERROR((H579*N579*IF(AND(Inputs!$B$38&lt;&gt;"pvp",Inputs!$B$43&gt;0),((Skills!G6*((R579-1)*IF(Skills!H6&gt;0,Skills!I6/Skills!H6,1)+IF(Skills!H6&gt;0,MIN(Skills!I6,MAX(0,MAX(0,Inputs!$B$43-B612)-((R579-1)*IF(Inputs!$B$38="pvp",15,MAX(0.1,Skills!D6-IF(Skills!E6=TRUE,Inputs!$B$32,0))))))/Skills!H6,1)))/Inputs!$B$43),G579*Q579))/N579*IF(Inputs!$B$38="pvp",1,(1-Summary!$B$55)*1+Summary!$B$55*(MIN(Skills!R6,Inputs!$B$37))),0)</f>
        <v/>
      </c>
      <c r="T579">
        <f>IF(C579,(H579*N579*IF(AND(Inputs!$B$38&lt;&gt;"pvp",Inputs!$B$43&gt;0),((Skills!G6*((R579-1)*IF(Skills!H6&gt;0,Skills!I6/Skills!H6,1)+IF(Skills!H6&gt;0,MIN(Skills!I6,MAX(0,MAX(0,Inputs!$B$43-B612)-((R579-1)*IF(Inputs!$B$38="pvp",15,MAX(0.1,Skills!D6-IF(Skills!E6=TRUE,Inputs!$B$32,0))))))/Skills!H6,1)))/Inputs!$B$43),G579*Q579))*IF(Inputs!$B$38="pvp",1,1+(Inputs!$B$20+0+Skills!P6)/100),0)</f>
        <v/>
      </c>
      <c r="V579">
        <f>IF(C579,(H579*N579*IF(AND(Inputs!$B$38&lt;&gt;"pvp",Inputs!$B$43&gt;0),((Skills!G6*((R579-1)*IF(Skills!H6&gt;0,Skills!I6/Skills!H6,1)+IF(Skills!H6&gt;0,MIN(Skills!I6,MAX(0,MAX(0,Inputs!$B$43-B612)-((R579-1)*IF(Inputs!$B$38="pvp",15,MAX(0.1,Skills!D6-IF(Skills!E6=TRUE,Inputs!$B$32,0))))))/Skills!H6,1)))/Inputs!$B$43),G579*Q579))*IF(Inputs!$B$38="pvp",1,(1+(Inputs!$B$21+Skills!Q6)/100)*(MIN(Skills!R6,Inputs!$B$37))),0)</f>
        <v/>
      </c>
    </row>
    <row r="580">
      <c r="A580">
        <f>Skills!A7</f>
        <v/>
      </c>
      <c r="B580">
        <f>Skills!B7</f>
        <v/>
      </c>
      <c r="C580">
        <f>Inputs!$B$3&gt;=69</f>
        <v/>
      </c>
      <c r="D580">
        <f>IF(Skills!C7=1,60+Inputs!$B$25+Inputs!$B$29,IF(Skills!C7=2,90+Inputs!$B$26+Inputs!$B$29,IF(Skills!C7=3,120+Inputs!$B$27+Inputs!$B$29,MAX(0,(Inputs!$B$3-100)*3)+Inputs!$B$28+Inputs!$B$29)))</f>
        <v/>
      </c>
      <c r="E580">
        <f>INDEX(FactorTable!$B$2:$Y$301, MATCH(ROUND(MIN(300,MAX(1,D580)),0), FactorTable!$A$2:$A$301,0), Skills!M7+1)</f>
        <v/>
      </c>
      <c r="F580">
        <f>IF(Skills!N7=TRUE,(Skills!L7/10)*(E580/1000),Skills!L7/10)+Skills!O7</f>
        <v/>
      </c>
      <c r="G580">
        <f>Skills!G7*IF(Skills!H7&gt;0,Skills!I7/Skills!H7,1)</f>
        <v/>
      </c>
      <c r="H580">
        <f>1-(1-Skills!J7/100)^Skills!K7</f>
        <v/>
      </c>
      <c r="I580" t="inlineStr">
        <is>
          <t>1</t>
        </is>
      </c>
      <c r="J580">
        <f>((Inputs!$B$6*(1+Inputs!$B$7/100))+(((Inputs!$B$12*(1+Inputs!$B$13/100))-(Inputs!$B$12*(1+Inputs!$B$13/100)))+0.25*(Inputs!$B$14-Inputs!$B$14))*(1+Inputs!$B$7/100))*(F580/100)</f>
        <v/>
      </c>
      <c r="K580">
        <f>J580*(1+((Inputs!$B$12*(1+Inputs!$B$13/100))*0.01+Inputs!$B$14*0.0025)/100)*(1+Inputs!$B$15/100)*(1+Inputs!$B$16/100)*(5000/(6000+Inputs!$B$42*(1-(Inputs!$B$19+0)/100)))*(1+(Inputs!$B$24+((C597=TRUE)*(F597-Calc!F24))+((C598=TRUE)*(F598-Calc!F25))+B611)/100)*(1+1.2*IF(C581=TRUE,F581,0)/100)*(1+(IF(Skills!A7="EMPOWERED_PIERCING_ARROW",Inputs!$B$17+((C595=TRUE)*(F595-Calc!F22)),Inputs!$B$18+((C600=TRUE)*(F600-Calc!F27))))/100)*((1+(((C586=TRUE)*F586)+((C587=TRUE)*IF(Inputs!$B$38="pvp",F587,(1-Summary!$B$55)*(F587)+Summary!$B$55*(0)))+((C588=TRUE)*F588*IF(AND(Inputs!$B$38&lt;&gt;"pvp",Inputs!$B$43&gt;0),(((R588-1)*(Skills!T15*(1+Inputs!$B$34/100))+MIN((Skills!T15*(1+Inputs!$B$34/100)),MAX(0,Inputs!$B$43-((R588-1)*Skills!D15))))/Inputs!$B$43),IF(Inputs!$B$38="pvp",MIN((Skills!T15*(1+Inputs!$B$34/100)),15)/15,(Skills!T15*(1+Inputs!$B$34/100))/Skills!D15)))+((C585=TRUE)*F585)+((C602=TRUE)*(F602-Calc!F29)))/100)*I580)</f>
        <v/>
      </c>
      <c r="L580">
        <f>K580*(MIN(Inputs!$B$22+((C596=TRUE)*(F596-Calc!F23)),Inputs!$B$23+((C601=TRUE)*(F601-Calc!F28)))/100+(Inputs!$B$23+((C601=TRUE)*(F601-Calc!F28)))/100)/2</f>
        <v/>
      </c>
      <c r="M580">
        <f>L580*(1+(Inputs!$B$10+0+B610)/100)</f>
        <v/>
      </c>
      <c r="N580">
        <f>L580*(1-MIN((Inputs!$B$9+((C592=TRUE)*(F592-Calc!F19))+B605),100)/100)+M580*(MIN((Inputs!$B$9+((C592=TRUE)*(F592-Calc!F19))+B605),100)/100)</f>
        <v/>
      </c>
      <c r="O580">
        <f>(1-Summary!$B$55)*T580+Summary!$B$55*V580</f>
        <v/>
      </c>
      <c r="P580">
        <f>IF(B615=0,0,O580/B615)</f>
        <v/>
      </c>
      <c r="Q580">
        <f>IFERROR(1/IF(Inputs!$B$38="pvp",15,MAX(0.1,Skills!D7-IF(Skills!E7=TRUE,Inputs!$B$32,0))),0)</f>
        <v/>
      </c>
      <c r="R580">
        <f>IF(AND(Inputs!$B$38&lt;&gt;"pvp",Inputs!$B$43&gt;0),IF(MAX(0,Inputs!$B$43-B612)&lt;=0,0,(INT(MAX(0,Inputs!$B$43-B612)/IF(Inputs!$B$38="pvp",15,MAX(0.1,Skills!D7-IF(Skills!E7=TRUE,Inputs!$B$32,0))))+1)),0)</f>
        <v/>
      </c>
      <c r="S580">
        <f>IFERROR((H580*N580*IF(AND(Inputs!$B$38&lt;&gt;"pvp",Inputs!$B$43&gt;0),((Skills!G7*((R580-1)*IF(Skills!H7&gt;0,Skills!I7/Skills!H7,1)+IF(Skills!H7&gt;0,MIN(Skills!I7,MAX(0,MAX(0,Inputs!$B$43-B612)-((R580-1)*IF(Inputs!$B$38="pvp",15,MAX(0.1,Skills!D7-IF(Skills!E7=TRUE,Inputs!$B$32,0))))))/Skills!H7,1)))/Inputs!$B$43),G580*Q580))/N580*IF(Inputs!$B$38="pvp",1,(1-Summary!$B$55)*1+Summary!$B$55*(MIN(Skills!R7,Inputs!$B$37))),0)</f>
        <v/>
      </c>
      <c r="T580">
        <f>IF(C580,(H580*N580*IF(AND(Inputs!$B$38&lt;&gt;"pvp",Inputs!$B$43&gt;0),((Skills!G7*((R580-1)*IF(Skills!H7&gt;0,Skills!I7/Skills!H7,1)+IF(Skills!H7&gt;0,MIN(Skills!I7,MAX(0,MAX(0,Inputs!$B$43-B612)-((R580-1)*IF(Inputs!$B$38="pvp",15,MAX(0.1,Skills!D7-IF(Skills!E7=TRUE,Inputs!$B$32,0))))))/Skills!H7,1)))/Inputs!$B$43),G580*Q580))*IF(Inputs!$B$38="pvp",1,1+(Inputs!$B$20+0+Skills!P7)/100),0)</f>
        <v/>
      </c>
      <c r="V580">
        <f>IF(C580,(H580*N580*IF(AND(Inputs!$B$38&lt;&gt;"pvp",Inputs!$B$43&gt;0),((Skills!G7*((R580-1)*IF(Skills!H7&gt;0,Skills!I7/Skills!H7,1)+IF(Skills!H7&gt;0,MIN(Skills!I7,MAX(0,MAX(0,Inputs!$B$43-B612)-((R580-1)*IF(Inputs!$B$38="pvp",15,MAX(0.1,Skills!D7-IF(Skills!E7=TRUE,Inputs!$B$32,0))))))/Skills!H7,1)))/Inputs!$B$43),G580*Q580))*IF(Inputs!$B$38="pvp",1,(1+(Inputs!$B$21+Skills!Q7)/100)*(MIN(Skills!R7,Inputs!$B$37))),0)</f>
        <v/>
      </c>
    </row>
    <row r="581">
      <c r="A581">
        <f>Skills!A8</f>
        <v/>
      </c>
      <c r="B581">
        <f>Skills!B8</f>
        <v/>
      </c>
      <c r="C581">
        <f>Inputs!$B$3&gt;=100</f>
        <v/>
      </c>
      <c r="D581">
        <f>IF(Skills!C8=1,60+Inputs!$B$25+Inputs!$B$29,IF(Skills!C8=2,90+Inputs!$B$26+Inputs!$B$29,IF(Skills!C8=3,120+Inputs!$B$27+Inputs!$B$29,MAX(0,(Inputs!$B$3-100)*3)+Inputs!$B$28+Inputs!$B$29)))</f>
        <v/>
      </c>
      <c r="E581">
        <f>INDEX(FactorTable!$B$2:$Y$301, MATCH(ROUND(MIN(300,MAX(1,D581)),0), FactorTable!$A$2:$A$301,0), Skills!M8+1)</f>
        <v/>
      </c>
      <c r="F581">
        <f>IF(Skills!N8=TRUE,(Skills!L8/10)*(E581/1000),Skills!L8/10)+Skills!O8</f>
        <v/>
      </c>
      <c r="G581" t="inlineStr"/>
      <c r="H581" t="inlineStr"/>
      <c r="I581" t="inlineStr">
        <is>
          <t>1</t>
        </is>
      </c>
      <c r="J581" t="inlineStr"/>
      <c r="K581" t="inlineStr"/>
      <c r="L581" t="inlineStr"/>
      <c r="M581" t="inlineStr"/>
      <c r="N581" t="inlineStr"/>
      <c r="O581" t="inlineStr"/>
      <c r="P581" t="inlineStr"/>
      <c r="Q581" t="inlineStr"/>
      <c r="R581" t="inlineStr"/>
      <c r="S581" t="inlineStr"/>
      <c r="T581" t="inlineStr"/>
      <c r="V581" t="inlineStr"/>
    </row>
    <row r="582">
      <c r="A582">
        <f>Skills!A9</f>
        <v/>
      </c>
      <c r="B582">
        <f>Skills!B9</f>
        <v/>
      </c>
      <c r="C582">
        <f>Inputs!$B$3&gt;=103</f>
        <v/>
      </c>
      <c r="D582">
        <f>IF(Skills!C9=1,60+Inputs!$B$25+Inputs!$B$29,IF(Skills!C9=2,90+Inputs!$B$26+Inputs!$B$29,IF(Skills!C9=3,120+Inputs!$B$27+Inputs!$B$29,MAX(0,(Inputs!$B$3-100)*3)+Inputs!$B$28+Inputs!$B$29)))</f>
        <v/>
      </c>
      <c r="E582">
        <f>INDEX(FactorTable!$B$2:$Y$301, MATCH(ROUND(MIN(300,MAX(1,D582)),0), FactorTable!$A$2:$A$301,0), Skills!M9+1)</f>
        <v/>
      </c>
      <c r="F582">
        <f>IF(Skills!N9=TRUE,(Skills!L9/10)*(E582/1000),Skills!L9/10)+Skills!O9</f>
        <v/>
      </c>
      <c r="G582">
        <f>Skills!G9*IF(Skills!H9&gt;0,Skills!I9/Skills!H9,1)</f>
        <v/>
      </c>
      <c r="H582">
        <f>1-(1-Skills!J9/100)^Skills!K9</f>
        <v/>
      </c>
      <c r="I582" t="inlineStr">
        <is>
          <t>1</t>
        </is>
      </c>
      <c r="J582">
        <f>((Inputs!$B$6*(1+Inputs!$B$7/100))+(((Inputs!$B$12*(1+Inputs!$B$13/100))-(Inputs!$B$12*(1+Inputs!$B$13/100)))+0.25*(Inputs!$B$14-Inputs!$B$14))*(1+Inputs!$B$7/100))*(F582/100)</f>
        <v/>
      </c>
      <c r="K582">
        <f>J582*(1+((Inputs!$B$12*(1+Inputs!$B$13/100))*0.01+Inputs!$B$14*0.0025)/100)*(1+Inputs!$B$15/100)*(1+Inputs!$B$16/100)*(5000/(6000+Inputs!$B$42*(1-(Inputs!$B$19+0)/100)))*(1+(Inputs!$B$24+((C597=TRUE)*(F597-Calc!F24))+((C598=TRUE)*(F598-Calc!F25))+B611)/100)*(1+(IF(Skills!A9="EMPOWERED_PIERCING_ARROW",Inputs!$B$17+((C595=TRUE)*(F595-Calc!F22)),Inputs!$B$18+((C600=TRUE)*(F600-Calc!F27))))/100)*((1+(((C586=TRUE)*F586)+((C587=TRUE)*IF(Inputs!$B$38="pvp",F587,(1-Summary!$B$55)*(F587)+Summary!$B$55*(0)))+((C588=TRUE)*F588*IF(AND(Inputs!$B$38&lt;&gt;"pvp",Inputs!$B$43&gt;0),(((R588-1)*(Skills!T15*(1+Inputs!$B$34/100))+MIN((Skills!T15*(1+Inputs!$B$34/100)),MAX(0,Inputs!$B$43-((R588-1)*Skills!D15))))/Inputs!$B$43),IF(Inputs!$B$38="pvp",MIN((Skills!T15*(1+Inputs!$B$34/100)),15)/15,(Skills!T15*(1+Inputs!$B$34/100))/Skills!D15)))+((C585=TRUE)*F585)+((C602=TRUE)*(F602-Calc!F29)))/100)*I582)</f>
        <v/>
      </c>
      <c r="L582">
        <f>K582*(MIN(Inputs!$B$22+((C596=TRUE)*(F596-Calc!F23)),Inputs!$B$23+((C601=TRUE)*(F601-Calc!F28)))/100+(Inputs!$B$23+((C601=TRUE)*(F601-Calc!F28)))/100)/2</f>
        <v/>
      </c>
      <c r="M582">
        <f>L582*(1+(Inputs!$B$10+0+B610)/100)</f>
        <v/>
      </c>
      <c r="N582">
        <f>L582*(1-MIN((Inputs!$B$9+((C592=TRUE)*(F592-Calc!F19))+B605),100)/100)+M582*(MIN((Inputs!$B$9+((C592=TRUE)*(F592-Calc!F19))+B605),100)/100)</f>
        <v/>
      </c>
      <c r="O582">
        <f>(1-Summary!$B$55)*T582+Summary!$B$55*V582</f>
        <v/>
      </c>
      <c r="P582">
        <f>IF(B615=0,0,O582/B615)</f>
        <v/>
      </c>
      <c r="Q582">
        <f>IFERROR(1/IF(Inputs!$B$38="pvp",15,MAX(0.1,Skills!D9-IF(Skills!E9=TRUE,Inputs!$B$32,0))),0)</f>
        <v/>
      </c>
      <c r="R582">
        <f>IF(AND(Inputs!$B$38&lt;&gt;"pvp",Inputs!$B$43&gt;0),IF(MAX(0,Inputs!$B$43-B612)&lt;=0,0,(INT(MAX(0,Inputs!$B$43-B612)/IF(Inputs!$B$38="pvp",15,MAX(0.1,Skills!D9-IF(Skills!E9=TRUE,Inputs!$B$32,0))))+1)),0)</f>
        <v/>
      </c>
      <c r="S582">
        <f>IFERROR((H582*N582*IF(AND(Inputs!$B$38&lt;&gt;"pvp",Inputs!$B$43&gt;0),((Skills!G9*((R582-1)*IF(Skills!H9&gt;0,Skills!I9/Skills!H9,1)+IF(Skills!H9&gt;0,MIN(Skills!I9,MAX(0,MAX(0,Inputs!$B$43-B612)-((R582-1)*IF(Inputs!$B$38="pvp",15,MAX(0.1,Skills!D9-IF(Skills!E9=TRUE,Inputs!$B$32,0))))))/Skills!H9,1)))/Inputs!$B$43),G582*Q582))/N582*IF(Inputs!$B$38="pvp",1,(1-Summary!$B$55)*1+Summary!$B$55*(MIN(Skills!R9,Inputs!$B$37))),0)</f>
        <v/>
      </c>
      <c r="T582">
        <f>IF(C582,(H582*N582*IF(AND(Inputs!$B$38&lt;&gt;"pvp",Inputs!$B$43&gt;0),((Skills!G9*((R582-1)*IF(Skills!H9&gt;0,Skills!I9/Skills!H9,1)+IF(Skills!H9&gt;0,MIN(Skills!I9,MAX(0,MAX(0,Inputs!$B$43-B612)-((R582-1)*IF(Inputs!$B$38="pvp",15,MAX(0.1,Skills!D9-IF(Skills!E9=TRUE,Inputs!$B$32,0))))))/Skills!H9,1)))/Inputs!$B$43),G582*Q582))*IF(Inputs!$B$38="pvp",1,1+(Inputs!$B$20+0+Skills!P9)/100),0)</f>
        <v/>
      </c>
      <c r="V582">
        <f>IF(C582,(H582*N582*IF(AND(Inputs!$B$38&lt;&gt;"pvp",Inputs!$B$43&gt;0),((Skills!G9*((R582-1)*IF(Skills!H9&gt;0,Skills!I9/Skills!H9,1)+IF(Skills!H9&gt;0,MIN(Skills!I9,MAX(0,MAX(0,Inputs!$B$43-B612)-((R582-1)*IF(Inputs!$B$38="pvp",15,MAX(0.1,Skills!D9-IF(Skills!E9=TRUE,Inputs!$B$32,0))))))/Skills!H9,1)))/Inputs!$B$43),G582*Q582))*IF(Inputs!$B$38="pvp",1,(1+(Inputs!$B$21+Skills!Q9)/100)*(MIN(Skills!R9,Inputs!$B$37))),0)</f>
        <v/>
      </c>
    </row>
    <row r="583">
      <c r="A583">
        <f>Skills!A10</f>
        <v/>
      </c>
      <c r="B583">
        <f>Skills!B10</f>
        <v/>
      </c>
      <c r="C583">
        <f>Inputs!$B$3&gt;=107</f>
        <v/>
      </c>
      <c r="D583">
        <f>IF(Skills!C10=1,60+Inputs!$B$25+Inputs!$B$29,IF(Skills!C10=2,90+Inputs!$B$26+Inputs!$B$29,IF(Skills!C10=3,120+Inputs!$B$27+Inputs!$B$29,MAX(0,(Inputs!$B$3-100)*3)+Inputs!$B$28+Inputs!$B$29)))</f>
        <v/>
      </c>
      <c r="E583">
        <f>INDEX(FactorTable!$B$2:$Y$301, MATCH(ROUND(MIN(300,MAX(1,D583)),0), FactorTable!$A$2:$A$301,0), Skills!M10+1)</f>
        <v/>
      </c>
      <c r="F583">
        <f>IF(Skills!N10=TRUE,(Skills!L10/10)*(E583/1000),Skills!L10/10)+Skills!O10</f>
        <v/>
      </c>
      <c r="G583">
        <f>Skills!G10*IF(Skills!H10&gt;0,Skills!I10/Skills!H10,1)</f>
        <v/>
      </c>
      <c r="H583">
        <f>1-(1-Skills!J10/100)^Skills!K10</f>
        <v/>
      </c>
      <c r="I583" t="inlineStr">
        <is>
          <t>1</t>
        </is>
      </c>
      <c r="J583">
        <f>((Inputs!$B$6*(1+Inputs!$B$7/100))+(((Inputs!$B$12*(1+Inputs!$B$13/100))-(Inputs!$B$12*(1+Inputs!$B$13/100)))+0.25*(Inputs!$B$14-Inputs!$B$14))*(1+Inputs!$B$7/100))*(F583/100)</f>
        <v/>
      </c>
      <c r="K583">
        <f>J583*(1+((Inputs!$B$12*(1+Inputs!$B$13/100))*0.01+Inputs!$B$14*0.0025)/100)*(1+Inputs!$B$15/100)*(1+Inputs!$B$16/100)*(5000/(6000+Inputs!$B$42*(1-(Inputs!$B$19+0)/100)))*(1+(Inputs!$B$24+((C597=TRUE)*(F597-Calc!F24))+((C598=TRUE)*(F598-Calc!F25))+B611)/100)*(1+(IF(Skills!A10="EMPOWERED_PIERCING_ARROW",Inputs!$B$17+((C595=TRUE)*(F595-Calc!F22)),Inputs!$B$18+((C600=TRUE)*(F600-Calc!F27))))/100)*((1+(((C586=TRUE)*F586)+((C587=TRUE)*IF(Inputs!$B$38="pvp",F587,(1-Summary!$B$55)*(F587)+Summary!$B$55*(0)))+((C588=TRUE)*F588*IF(AND(Inputs!$B$38&lt;&gt;"pvp",Inputs!$B$43&gt;0),(((R588-1)*(Skills!T15*(1+Inputs!$B$34/100))+MIN((Skills!T15*(1+Inputs!$B$34/100)),MAX(0,Inputs!$B$43-((R588-1)*Skills!D15))))/Inputs!$B$43),IF(Inputs!$B$38="pvp",MIN((Skills!T15*(1+Inputs!$B$34/100)),15)/15,(Skills!T15*(1+Inputs!$B$34/100))/Skills!D15)))+((C585=TRUE)*F585)+((C602=TRUE)*(F602-Calc!F29)))/100)*I583)</f>
        <v/>
      </c>
      <c r="L583">
        <f>K583*(MIN(Inputs!$B$22+((C596=TRUE)*(F596-Calc!F23)),Inputs!$B$23+((C601=TRUE)*(F601-Calc!F28)))/100+(Inputs!$B$23+((C601=TRUE)*(F601-Calc!F28)))/100)/2</f>
        <v/>
      </c>
      <c r="M583">
        <f>L583*(1+(Inputs!$B$10+0+B610)/100)</f>
        <v/>
      </c>
      <c r="N583">
        <f>L583*(1-MIN((Inputs!$B$9+((C592=TRUE)*(F592-Calc!F19))+B605),100)/100)+M583*(MIN((Inputs!$B$9+((C592=TRUE)*(F592-Calc!F19))+B605),100)/100)</f>
        <v/>
      </c>
      <c r="O583">
        <f>(1-Summary!$B$55)*T583+Summary!$B$55*V583</f>
        <v/>
      </c>
      <c r="P583">
        <f>IF(B615=0,0,O583/B615)</f>
        <v/>
      </c>
      <c r="Q583" t="n">
        <v>0</v>
      </c>
      <c r="R583" t="n">
        <v>0</v>
      </c>
      <c r="S583" t="n">
        <v>0</v>
      </c>
      <c r="T583">
        <f>IF(C583,(0.15*SUMPRODUCT((Skills!U2:U29=TRUE)*(C575:C602=TRUE)*S575:S602)*Skills!G10*N583)*IF(Inputs!$B$38="pvp",1,1+(Inputs!$B$20+0+Skills!P10)/100),0)</f>
        <v/>
      </c>
      <c r="V583">
        <f>IF(C583,(0.15*SUMPRODUCT((Skills!U2:U29=TRUE)*(C575:C602=TRUE)*S575:S602)*Skills!G10*N583)*IF(Inputs!$B$38="pvp",1,(1+(Inputs!$B$21+Skills!Q10)/100)*(MIN(Skills!R10,Inputs!$B$37))),0)</f>
        <v/>
      </c>
    </row>
    <row r="584">
      <c r="A584">
        <f>Skills!A11</f>
        <v/>
      </c>
      <c r="B584">
        <f>Skills!B11</f>
        <v/>
      </c>
      <c r="C584">
        <f>Inputs!$B$3&gt;=110</f>
        <v/>
      </c>
      <c r="D584">
        <f>IF(Skills!C11=1,60+Inputs!$B$25+Inputs!$B$29,IF(Skills!C11=2,90+Inputs!$B$26+Inputs!$B$29,IF(Skills!C11=3,120+Inputs!$B$27+Inputs!$B$29,MAX(0,(Inputs!$B$3-100)*3)+Inputs!$B$28+Inputs!$B$29)))</f>
        <v/>
      </c>
      <c r="E584">
        <f>INDEX(FactorTable!$B$2:$Y$301, MATCH(ROUND(MIN(300,MAX(1,D584)),0), FactorTable!$A$2:$A$301,0), Skills!M11+1)</f>
        <v/>
      </c>
      <c r="F584">
        <f>IF(Skills!N11=TRUE,(Skills!L11/10)*(E584/1000),Skills!L11/10)+Skills!O11</f>
        <v/>
      </c>
      <c r="G584">
        <f>Skills!G11*IF(Skills!H11&gt;0,Skills!I11/Skills!H11,1)</f>
        <v/>
      </c>
      <c r="H584">
        <f>1-(1-Skills!J11/100)^Skills!K11</f>
        <v/>
      </c>
      <c r="I584" t="inlineStr">
        <is>
          <t>1</t>
        </is>
      </c>
      <c r="J584">
        <f>((Inputs!$B$6*(1+Inputs!$B$7/100))+(((Inputs!$B$12*(1+Inputs!$B$13/100))-(Inputs!$B$12*(1+Inputs!$B$13/100)))+0.25*(Inputs!$B$14-Inputs!$B$14))*(1+Inputs!$B$7/100))*(F584/100)</f>
        <v/>
      </c>
      <c r="K584">
        <f>J584*(1+((Inputs!$B$12*(1+Inputs!$B$13/100))*0.01+Inputs!$B$14*0.0025)/100)*(1+Inputs!$B$15/100)*(1+Inputs!$B$16/100)*(5000/(6000+Inputs!$B$42*(1-(Inputs!$B$19+0)/100)))*(1+(Inputs!$B$24+((C597=TRUE)*(F597-Calc!F24))+((C598=TRUE)*(F598-Calc!F25))+B611)/100)*(1+(IF(Skills!A11="EMPOWERED_PIERCING_ARROW",Inputs!$B$17+((C595=TRUE)*(F595-Calc!F22)),Inputs!$B$18+((C600=TRUE)*(F600-Calc!F27))))/100)*((1+(((C586=TRUE)*F586)+((C587=TRUE)*IF(Inputs!$B$38="pvp",F587,(1-Summary!$B$55)*(F587)+Summary!$B$55*(0)))+((C588=TRUE)*F588*IF(AND(Inputs!$B$38&lt;&gt;"pvp",Inputs!$B$43&gt;0),(((R588-1)*(Skills!T15*(1+Inputs!$B$34/100))+MIN((Skills!T15*(1+Inputs!$B$34/100)),MAX(0,Inputs!$B$43-((R588-1)*Skills!D15))))/Inputs!$B$43),IF(Inputs!$B$38="pvp",MIN((Skills!T15*(1+Inputs!$B$34/100)),15)/15,(Skills!T15*(1+Inputs!$B$34/100))/Skills!D15)))+((C585=TRUE)*F585)+((C602=TRUE)*(F602-Calc!F29)))/100)*I584)</f>
        <v/>
      </c>
      <c r="L584">
        <f>K584*(MIN(Inputs!$B$22+((C596=TRUE)*(F596-Calc!F23)),Inputs!$B$23+((C601=TRUE)*(F601-Calc!F28)))/100+(Inputs!$B$23+((C601=TRUE)*(F601-Calc!F28)))/100)/2</f>
        <v/>
      </c>
      <c r="M584">
        <f>L584*(1+(Inputs!$B$10+0+B610)/100)</f>
        <v/>
      </c>
      <c r="N584">
        <f>L584*(1-MIN((Inputs!$B$9+((C592=TRUE)*(F592-Calc!F19))+B605),100)/100)+M584*(MIN((Inputs!$B$9+((C592=TRUE)*(F592-Calc!F19))+B605),100)/100)</f>
        <v/>
      </c>
      <c r="O584">
        <f>(1-Summary!$B$55)*T584+Summary!$B$55*V584</f>
        <v/>
      </c>
      <c r="P584">
        <f>IF(B615=0,0,O584/B615)</f>
        <v/>
      </c>
      <c r="Q584">
        <f>IFERROR(1/IF(Inputs!$B$38="pvp",15,MAX(0.1,Skills!D11-IF(Skills!E11=TRUE,Inputs!$B$32,0))),0)</f>
        <v/>
      </c>
      <c r="R584">
        <f>IF(AND(Inputs!$B$38&lt;&gt;"pvp",Inputs!$B$43&gt;0),IF(MAX(0,Inputs!$B$43-B612)&lt;=0,0,(INT(MAX(0,Inputs!$B$43-B612)/IF(Inputs!$B$38="pvp",15,MAX(0.1,Skills!D11-IF(Skills!E11=TRUE,Inputs!$B$32,0))))+1)),0)</f>
        <v/>
      </c>
      <c r="S584">
        <f>IFERROR((H584*N584*IF(AND(Inputs!$B$38&lt;&gt;"pvp",Inputs!$B$43&gt;0),((Skills!G11*((R584-1)*IF(Skills!H11&gt;0,Skills!I11/Skills!H11,1)+IF(Skills!H11&gt;0,MIN(Skills!I11,MAX(0,MAX(0,Inputs!$B$43-B612)-((R584-1)*IF(Inputs!$B$38="pvp",15,MAX(0.1,Skills!D11-IF(Skills!E11=TRUE,Inputs!$B$32,0))))))/Skills!H11,1)))/Inputs!$B$43),G584*Q584))/N584*IF(Inputs!$B$38="pvp",1,(1-Summary!$B$55)*1+Summary!$B$55*(MIN(Skills!R11,Inputs!$B$37))),0)</f>
        <v/>
      </c>
      <c r="T584">
        <f>IF(C584,(H584*N584*IF(AND(Inputs!$B$38&lt;&gt;"pvp",Inputs!$B$43&gt;0),((Skills!G11*((R584-1)*IF(Skills!H11&gt;0,Skills!I11/Skills!H11,1)+IF(Skills!H11&gt;0,MIN(Skills!I11,MAX(0,MAX(0,Inputs!$B$43-B612)-((R584-1)*IF(Inputs!$B$38="pvp",15,MAX(0.1,Skills!D11-IF(Skills!E11=TRUE,Inputs!$B$32,0))))))/Skills!H11,1)))/Inputs!$B$43),G584*Q584))*IF(Inputs!$B$38="pvp",1,1+(Inputs!$B$20+0+Skills!P11)/100),0)</f>
        <v/>
      </c>
      <c r="V584">
        <f>IF(C584,(H584*N584*IF(AND(Inputs!$B$38&lt;&gt;"pvp",Inputs!$B$43&gt;0),((Skills!G11*((R584-1)*IF(Skills!H11&gt;0,Skills!I11/Skills!H11,1)+IF(Skills!H11&gt;0,MIN(Skills!I11,MAX(0,MAX(0,Inputs!$B$43-B612)-((R584-1)*IF(Inputs!$B$38="pvp",15,MAX(0.1,Skills!D11-IF(Skills!E11=TRUE,Inputs!$B$32,0))))))/Skills!H11,1)))/Inputs!$B$43),G584*Q584))*IF(Inputs!$B$38="pvp",1,(1+(Inputs!$B$21+Skills!Q11)/100)*(MIN(Skills!R11,Inputs!$B$37))),0)</f>
        <v/>
      </c>
    </row>
    <row r="585">
      <c r="A585">
        <f>Skills!A12</f>
        <v/>
      </c>
      <c r="B585">
        <f>Skills!B12</f>
        <v/>
      </c>
      <c r="C585">
        <f>Inputs!$B$3&gt;=60</f>
        <v/>
      </c>
      <c r="D585">
        <f>IF(Skills!C12=1,60+Inputs!$B$25+Inputs!$B$29,IF(Skills!C12=2,90+Inputs!$B$26+Inputs!$B$29,IF(Skills!C12=3,120+Inputs!$B$27+Inputs!$B$29,MAX(0,(Inputs!$B$3-100)*3)+Inputs!$B$28+Inputs!$B$29)))</f>
        <v/>
      </c>
      <c r="E585">
        <f>INDEX(FactorTable!$B$2:$Y$301, MATCH(ROUND(MIN(300,MAX(1,D585)),0), FactorTable!$A$2:$A$301,0), Skills!M12+1)</f>
        <v/>
      </c>
      <c r="F585">
        <f>IF(Skills!N12=TRUE,(Skills!L12/10)*(E585/1000),Skills!L12/10)+Skills!O12</f>
        <v/>
      </c>
      <c r="G585">
        <f>Skills!G12*IF(Skills!H12&gt;0,Skills!I12/Skills!H12,1)</f>
        <v/>
      </c>
      <c r="H585">
        <f>1-(1-Skills!J12/100)^Skills!K12</f>
        <v/>
      </c>
      <c r="I585" t="inlineStr">
        <is>
          <t>1</t>
        </is>
      </c>
      <c r="J585" t="inlineStr"/>
      <c r="K585" t="inlineStr"/>
      <c r="L585" t="inlineStr"/>
      <c r="M585" t="inlineStr"/>
      <c r="N585" t="inlineStr"/>
      <c r="O585">
        <f>(1-Summary!$B$55)*T585+Summary!$B$55*V585</f>
        <v/>
      </c>
      <c r="P585">
        <f>IF(B615=0,0,O585/B615)</f>
        <v/>
      </c>
      <c r="Q585" t="n">
        <v>0</v>
      </c>
      <c r="R585" t="n">
        <v>0</v>
      </c>
      <c r="S585" t="n">
        <v>0</v>
      </c>
      <c r="T585" t="n">
        <v>0</v>
      </c>
      <c r="V585" t="n">
        <v>0</v>
      </c>
    </row>
    <row r="586">
      <c r="A586">
        <f>Skills!A13</f>
        <v/>
      </c>
      <c r="B586">
        <f>Skills!B13</f>
        <v/>
      </c>
      <c r="C586">
        <f>Inputs!$B$3&gt;=74</f>
        <v/>
      </c>
      <c r="D586">
        <f>IF(Skills!C13=1,60+Inputs!$B$25+Inputs!$B$29,IF(Skills!C13=2,90+Inputs!$B$26+Inputs!$B$29,IF(Skills!C13=3,120+Inputs!$B$27+Inputs!$B$29,MAX(0,(Inputs!$B$3-100)*3)+Inputs!$B$28+Inputs!$B$29)))</f>
        <v/>
      </c>
      <c r="E586">
        <f>INDEX(FactorTable!$B$2:$Y$301, MATCH(ROUND(MIN(300,MAX(1,D586)),0), FactorTable!$A$2:$A$301,0), Skills!M13+1)</f>
        <v/>
      </c>
      <c r="F586">
        <f>IF(Skills!N13=TRUE,(Skills!L13/10)*(E586/1000),Skills!L13/10)+Skills!O13</f>
        <v/>
      </c>
      <c r="G586">
        <f>Skills!G13*IF(Skills!H13&gt;0,Skills!I13/Skills!H13,1)</f>
        <v/>
      </c>
      <c r="H586">
        <f>1-(1-Skills!J13/100)^Skills!K13</f>
        <v/>
      </c>
      <c r="I586" t="inlineStr">
        <is>
          <t>1</t>
        </is>
      </c>
      <c r="J586" t="inlineStr"/>
      <c r="K586" t="inlineStr"/>
      <c r="L586" t="inlineStr"/>
      <c r="M586" t="inlineStr"/>
      <c r="N586" t="inlineStr"/>
      <c r="O586">
        <f>(1-Summary!$B$55)*T586+Summary!$B$55*V586</f>
        <v/>
      </c>
      <c r="P586">
        <f>IF(B615=0,0,O586/B615)</f>
        <v/>
      </c>
      <c r="Q586" t="n">
        <v>0</v>
      </c>
      <c r="R586" t="n">
        <v>0</v>
      </c>
      <c r="S586" t="n">
        <v>0</v>
      </c>
      <c r="T586" t="n">
        <v>0</v>
      </c>
      <c r="V586" t="n">
        <v>0</v>
      </c>
    </row>
    <row r="587">
      <c r="A587">
        <f>Skills!A14</f>
        <v/>
      </c>
      <c r="B587">
        <f>Skills!B14</f>
        <v/>
      </c>
      <c r="C587">
        <f>Inputs!$B$3&gt;=74</f>
        <v/>
      </c>
      <c r="D587">
        <f>IF(Skills!C14=1,60+Inputs!$B$25+Inputs!$B$29,IF(Skills!C14=2,90+Inputs!$B$26+Inputs!$B$29,IF(Skills!C14=3,120+Inputs!$B$27+Inputs!$B$29,MAX(0,(Inputs!$B$3-100)*3)+Inputs!$B$28+Inputs!$B$29)))</f>
        <v/>
      </c>
      <c r="E587">
        <f>INDEX(FactorTable!$B$2:$Y$301, MATCH(ROUND(MIN(300,MAX(1,D587)),0), FactorTable!$A$2:$A$301,0), Skills!M14+1)</f>
        <v/>
      </c>
      <c r="F587">
        <f>IF(Skills!N14=TRUE,(Skills!L14/10)*(E587/1000),Skills!L14/10)+Skills!O14</f>
        <v/>
      </c>
      <c r="G587">
        <f>Skills!G14*IF(Skills!H14&gt;0,Skills!I14/Skills!H14,1)</f>
        <v/>
      </c>
      <c r="H587">
        <f>1-(1-Skills!J14/100)^Skills!K14</f>
        <v/>
      </c>
      <c r="I587" t="inlineStr">
        <is>
          <t>1</t>
        </is>
      </c>
      <c r="J587" t="inlineStr"/>
      <c r="K587" t="inlineStr"/>
      <c r="L587" t="inlineStr"/>
      <c r="M587" t="inlineStr"/>
      <c r="N587" t="inlineStr"/>
      <c r="O587">
        <f>(1-Summary!$B$55)*T587+Summary!$B$55*V587</f>
        <v/>
      </c>
      <c r="P587">
        <f>IF(B615=0,0,O587/B615)</f>
        <v/>
      </c>
      <c r="Q587" t="n">
        <v>0</v>
      </c>
      <c r="R587" t="n">
        <v>0</v>
      </c>
      <c r="S587" t="n">
        <v>0</v>
      </c>
      <c r="T587" t="n">
        <v>0</v>
      </c>
      <c r="V587" t="n">
        <v>0</v>
      </c>
    </row>
    <row r="588">
      <c r="A588">
        <f>Skills!A15</f>
        <v/>
      </c>
      <c r="B588">
        <f>Skills!B15</f>
        <v/>
      </c>
      <c r="C588">
        <f>Inputs!$B$3&gt;=117</f>
        <v/>
      </c>
      <c r="D588">
        <f>IF(Skills!C15=1,60+Inputs!$B$25+Inputs!$B$29,IF(Skills!C15=2,90+Inputs!$B$26+Inputs!$B$29,IF(Skills!C15=3,120+Inputs!$B$27+Inputs!$B$29,MAX(0,(Inputs!$B$3-100)*3)+Inputs!$B$28+Inputs!$B$29)))</f>
        <v/>
      </c>
      <c r="E588">
        <f>INDEX(FactorTable!$B$2:$Y$301, MATCH(ROUND(MIN(300,MAX(1,D588)),0), FactorTable!$A$2:$A$301,0), Skills!M15+1)</f>
        <v/>
      </c>
      <c r="F588">
        <f>IF(Skills!N15=TRUE,(Skills!L15/10)*(E588/1000),Skills!L15/10)+Skills!O15</f>
        <v/>
      </c>
      <c r="G588">
        <f>Skills!G15*IF(Skills!H15&gt;0,Skills!I15/Skills!H15,1)</f>
        <v/>
      </c>
      <c r="H588">
        <f>1-(1-Skills!J15/100)^Skills!K15</f>
        <v/>
      </c>
      <c r="I588" t="inlineStr">
        <is>
          <t>1</t>
        </is>
      </c>
      <c r="J588" t="inlineStr"/>
      <c r="K588" t="inlineStr"/>
      <c r="L588" t="inlineStr"/>
      <c r="M588" t="inlineStr"/>
      <c r="N588" t="inlineStr"/>
      <c r="O588">
        <f>(1-Summary!$B$55)*T588+Summary!$B$55*V588</f>
        <v/>
      </c>
      <c r="P588">
        <f>IF(B615=0,0,O588/B615)</f>
        <v/>
      </c>
      <c r="Q588">
        <f>IFERROR(1/IF(Inputs!$B$38="pvp",15,MAX(0.1,Skills!D15-IF(Skills!E15=TRUE,Inputs!$B$32,0))),0)</f>
        <v/>
      </c>
      <c r="R588">
        <f>IF(AND(Inputs!$B$38&lt;&gt;"pvp",Inputs!$B$43&gt;0),IF(Inputs!$B$43&lt;=0,0,(INT(Inputs!$B$43/IF(Inputs!$B$38="pvp",15,MAX(0.1,Skills!D15-IF(Skills!E15=TRUE,Inputs!$B$32,0))))+1)),0)</f>
        <v/>
      </c>
      <c r="S588" t="n">
        <v>0</v>
      </c>
      <c r="T588" t="n">
        <v>0</v>
      </c>
      <c r="V588" t="n">
        <v>0</v>
      </c>
    </row>
    <row r="589">
      <c r="A589">
        <f>Skills!A16</f>
        <v/>
      </c>
      <c r="B589">
        <f>Skills!B16</f>
        <v/>
      </c>
      <c r="C589">
        <f>Inputs!$B$3&gt;=115</f>
        <v/>
      </c>
      <c r="D589">
        <f>IF(Skills!C16=1,60+Inputs!$B$25+Inputs!$B$29,IF(Skills!C16=2,90+Inputs!$B$26+Inputs!$B$29,IF(Skills!C16=3,120+Inputs!$B$27+Inputs!$B$29,MAX(0,(Inputs!$B$3-100)*3)+Inputs!$B$28+Inputs!$B$29)))</f>
        <v/>
      </c>
      <c r="E589">
        <f>INDEX(FactorTable!$B$2:$Y$301, MATCH(ROUND(MIN(300,MAX(1,D589)),0), FactorTable!$A$2:$A$301,0), Skills!M16+1)</f>
        <v/>
      </c>
      <c r="F589">
        <f>IF(Skills!N16=TRUE,(Skills!L16/10)*(E589/1000),Skills!L16/10)+Skills!O16</f>
        <v/>
      </c>
      <c r="G589">
        <f>Skills!G16*IF(Skills!H16&gt;0,Skills!I16/Skills!H16,1)</f>
        <v/>
      </c>
      <c r="H589">
        <f>1-(1-Skills!J16/100)^Skills!K16</f>
        <v/>
      </c>
      <c r="I589" t="inlineStr">
        <is>
          <t>1</t>
        </is>
      </c>
      <c r="J589" t="inlineStr"/>
      <c r="K589" t="inlineStr"/>
      <c r="L589" t="inlineStr"/>
      <c r="M589" t="inlineStr"/>
      <c r="N589" t="inlineStr"/>
      <c r="O589">
        <f>(1-Summary!$B$55)*T589+Summary!$B$55*V589</f>
        <v/>
      </c>
      <c r="P589">
        <f>IF(B615=0,0,O589/B615)</f>
        <v/>
      </c>
      <c r="Q589">
        <f>IFERROR(1/IF(Inputs!$B$38="pvp",15,MAX(0.1,Skills!D16-IF(Skills!E16=TRUE,Inputs!$B$32,0))),0)</f>
        <v/>
      </c>
      <c r="R589">
        <f>IF(AND(Inputs!$B$38&lt;&gt;"pvp",Inputs!$B$43&gt;0),IF(Inputs!$B$43&lt;=0,0,(INT(Inputs!$B$43/IF(Inputs!$B$38="pvp",15,MAX(0.1,Skills!D16-IF(Skills!E16=TRUE,Inputs!$B$32,0))))+1)),0)</f>
        <v/>
      </c>
      <c r="S589" t="n">
        <v>0</v>
      </c>
      <c r="T589" t="n">
        <v>0</v>
      </c>
      <c r="V589" t="n">
        <v>0</v>
      </c>
    </row>
    <row r="590">
      <c r="A590">
        <f>Skills!A17</f>
        <v/>
      </c>
      <c r="B590">
        <f>Skills!B17</f>
        <v/>
      </c>
      <c r="C590">
        <f>Inputs!$B$3&gt;=72</f>
        <v/>
      </c>
      <c r="D590">
        <f>IF(Skills!C17=1,60+Inputs!$B$25+Inputs!$B$29,IF(Skills!C17=2,90+Inputs!$B$26+Inputs!$B$29,IF(Skills!C17=3,120+Inputs!$B$27+Inputs!$B$29,MAX(0,(Inputs!$B$3-100)*3)+Inputs!$B$28+Inputs!$B$29)))</f>
        <v/>
      </c>
      <c r="E590">
        <f>INDEX(FactorTable!$B$2:$Y$301, MATCH(ROUND(MIN(300,MAX(1,D590)),0), FactorTable!$A$2:$A$301,0), Skills!M17+1)</f>
        <v/>
      </c>
      <c r="F590">
        <f>IF(Skills!N17=TRUE,(Skills!L17/10)*(E590/1000),Skills!L17/10)+Skills!O17</f>
        <v/>
      </c>
      <c r="G590">
        <f>Skills!G17*IF(Skills!H17&gt;0,Skills!I17/Skills!H17,1)</f>
        <v/>
      </c>
      <c r="H590">
        <f>1-(1-Skills!J17/100)^Skills!K17</f>
        <v/>
      </c>
      <c r="I590" t="inlineStr">
        <is>
          <t>1</t>
        </is>
      </c>
      <c r="J590" t="inlineStr"/>
      <c r="K590" t="inlineStr"/>
      <c r="L590" t="inlineStr"/>
      <c r="M590" t="inlineStr"/>
      <c r="N590" t="inlineStr"/>
      <c r="O590">
        <f>(1-Summary!$B$55)*T590+Summary!$B$55*V590</f>
        <v/>
      </c>
      <c r="P590">
        <f>IF(B615=0,0,O590/B615)</f>
        <v/>
      </c>
      <c r="Q590" t="n">
        <v>0</v>
      </c>
      <c r="R590" t="n">
        <v>0</v>
      </c>
      <c r="S590" t="n">
        <v>0</v>
      </c>
      <c r="T590" t="n">
        <v>0</v>
      </c>
      <c r="V590" t="n">
        <v>0</v>
      </c>
    </row>
    <row r="591">
      <c r="A591">
        <f>Skills!A18</f>
        <v/>
      </c>
      <c r="B591">
        <f>Skills!B18</f>
        <v/>
      </c>
      <c r="C591">
        <f>TRUE</f>
        <v/>
      </c>
      <c r="D591">
        <f>IF(Skills!C18=1,60+Inputs!$B$25+Inputs!$B$29,IF(Skills!C18=2,90+Inputs!$B$26+Inputs!$B$29,IF(Skills!C18=3,120+Inputs!$B$27+Inputs!$B$29,MAX(0,(Inputs!$B$3-100)*3)+Inputs!$B$28+Inputs!$B$29)))</f>
        <v/>
      </c>
      <c r="E591">
        <f>INDEX(FactorTable!$B$2:$Y$301, MATCH(ROUND(MIN(300,MAX(1,D591)),0), FactorTable!$A$2:$A$301,0), Skills!M18+1)</f>
        <v/>
      </c>
      <c r="F591">
        <f>IF(Skills!N18=TRUE,(Skills!L18/10)*(E591/1000),Skills!L18/10)+Skills!O18</f>
        <v/>
      </c>
      <c r="G591">
        <f>Skills!G18*IF(Skills!H18&gt;0,Skills!I18/Skills!H18,1)</f>
        <v/>
      </c>
      <c r="H591">
        <f>1-(1-Skills!J18/100)^Skills!K18</f>
        <v/>
      </c>
      <c r="I591" t="inlineStr">
        <is>
          <t>1</t>
        </is>
      </c>
      <c r="J591" t="inlineStr"/>
      <c r="K591" t="inlineStr"/>
      <c r="L591" t="inlineStr"/>
      <c r="M591" t="inlineStr"/>
      <c r="N591" t="inlineStr"/>
      <c r="O591">
        <f>(1-Summary!$B$55)*T591+Summary!$B$55*V591</f>
        <v/>
      </c>
      <c r="P591">
        <f>IF(B615=0,0,O591/B615)</f>
        <v/>
      </c>
      <c r="Q591">
        <f>IFERROR(1/IF(Inputs!$B$38="pvp",15,MAX(0.1,Skills!D18-IF(Skills!E18=TRUE,Inputs!$B$32,0))),0)</f>
        <v/>
      </c>
      <c r="R591">
        <f>IF(AND(Inputs!$B$38&lt;&gt;"pvp",Inputs!$B$43&gt;0),IF(Inputs!$B$43&lt;=0,0,(INT(Inputs!$B$43/IF(Inputs!$B$38="pvp",15,MAX(0.1,Skills!D18-IF(Skills!E18=TRUE,Inputs!$B$32,0))))+1)),0)</f>
        <v/>
      </c>
      <c r="S591" t="n">
        <v>0</v>
      </c>
      <c r="T591" t="n">
        <v>0</v>
      </c>
      <c r="V591" t="n">
        <v>0</v>
      </c>
    </row>
    <row r="592">
      <c r="A592">
        <f>Skills!A19</f>
        <v/>
      </c>
      <c r="B592">
        <f>Skills!B19</f>
        <v/>
      </c>
      <c r="C592">
        <f>Inputs!$B$3&gt;=15</f>
        <v/>
      </c>
      <c r="D592">
        <f>IF(Skills!C19=1,60+Inputs!$B$25+Inputs!$B$29,IF(Skills!C19=2,90+Inputs!$B$26+Inputs!$B$29,IF(Skills!C19=3,120+Inputs!$B$27+Inputs!$B$29,MAX(0,(Inputs!$B$3-100)*3)+Inputs!$B$28+Inputs!$B$29)))</f>
        <v/>
      </c>
      <c r="E592">
        <f>INDEX(FactorTable!$B$2:$Y$301, MATCH(ROUND(MIN(300,MAX(1,D592)),0), FactorTable!$A$2:$A$301,0), Skills!M19+1)</f>
        <v/>
      </c>
      <c r="F592">
        <f>IF(Skills!N19=TRUE,(Skills!L19/10)*(E592/1000),Skills!L19/10)+Skills!O19</f>
        <v/>
      </c>
      <c r="G592">
        <f>Skills!G19*IF(Skills!H19&gt;0,Skills!I19/Skills!H19,1)</f>
        <v/>
      </c>
      <c r="H592">
        <f>1-(1-Skills!J19/100)^Skills!K19</f>
        <v/>
      </c>
      <c r="I592" t="inlineStr">
        <is>
          <t>1</t>
        </is>
      </c>
      <c r="J592" t="inlineStr"/>
      <c r="K592" t="inlineStr"/>
      <c r="L592" t="inlineStr"/>
      <c r="M592" t="inlineStr"/>
      <c r="N592" t="inlineStr"/>
      <c r="O592">
        <f>(1-Summary!$B$55)*T592+Summary!$B$55*V592</f>
        <v/>
      </c>
      <c r="P592">
        <f>IF(B615=0,0,O592/B615)</f>
        <v/>
      </c>
      <c r="Q592" t="n">
        <v>0</v>
      </c>
      <c r="R592" t="n">
        <v>0</v>
      </c>
      <c r="S592" t="n">
        <v>0</v>
      </c>
      <c r="T592" t="n">
        <v>0</v>
      </c>
      <c r="V592" t="n">
        <v>0</v>
      </c>
    </row>
    <row r="593">
      <c r="A593">
        <f>Skills!A20</f>
        <v/>
      </c>
      <c r="B593">
        <f>Skills!B20</f>
        <v/>
      </c>
      <c r="C593">
        <f>Inputs!$B$3&gt;=10</f>
        <v/>
      </c>
      <c r="D593">
        <f>IF(Skills!C20=1,60+Inputs!$B$25+Inputs!$B$29,IF(Skills!C20=2,90+Inputs!$B$26+Inputs!$B$29,IF(Skills!C20=3,120+Inputs!$B$27+Inputs!$B$29,MAX(0,(Inputs!$B$3-100)*3)+Inputs!$B$28+Inputs!$B$29)))</f>
        <v/>
      </c>
      <c r="E593">
        <f>INDEX(FactorTable!$B$2:$Y$301, MATCH(ROUND(MIN(300,MAX(1,D593)),0), FactorTable!$A$2:$A$301,0), Skills!M20+1)</f>
        <v/>
      </c>
      <c r="F593">
        <f>IF(Skills!N20=TRUE,(Skills!L20/10)*(E593/1000),Skills!L20/10)+Skills!O20</f>
        <v/>
      </c>
      <c r="G593">
        <f>Skills!G20*IF(Skills!H20&gt;0,Skills!I20/Skills!H20,1)</f>
        <v/>
      </c>
      <c r="H593">
        <f>1-(1-Skills!J20/100)^Skills!K20</f>
        <v/>
      </c>
      <c r="I593" t="inlineStr">
        <is>
          <t>1</t>
        </is>
      </c>
      <c r="J593" t="inlineStr"/>
      <c r="K593" t="inlineStr"/>
      <c r="L593" t="inlineStr"/>
      <c r="M593" t="inlineStr"/>
      <c r="N593" t="inlineStr"/>
      <c r="O593">
        <f>(1-Summary!$B$55)*T593+Summary!$B$55*V593</f>
        <v/>
      </c>
      <c r="P593">
        <f>IF(B615=0,0,O593/B615)</f>
        <v/>
      </c>
      <c r="Q593" t="n">
        <v>0</v>
      </c>
      <c r="R593" t="n">
        <v>0</v>
      </c>
      <c r="S593" t="n">
        <v>0</v>
      </c>
      <c r="T593" t="n">
        <v>0</v>
      </c>
      <c r="V593" t="n">
        <v>0</v>
      </c>
    </row>
    <row r="594">
      <c r="A594">
        <f>Skills!A21</f>
        <v/>
      </c>
      <c r="B594">
        <f>Skills!B21</f>
        <v/>
      </c>
      <c r="C594">
        <f>Inputs!$B$3&gt;=33</f>
        <v/>
      </c>
      <c r="D594">
        <f>IF(Skills!C21=1,60+Inputs!$B$25+Inputs!$B$29,IF(Skills!C21=2,90+Inputs!$B$26+Inputs!$B$29,IF(Skills!C21=3,120+Inputs!$B$27+Inputs!$B$29,MAX(0,(Inputs!$B$3-100)*3)+Inputs!$B$28+Inputs!$B$29)))</f>
        <v/>
      </c>
      <c r="E594">
        <f>INDEX(FactorTable!$B$2:$Y$301, MATCH(ROUND(MIN(300,MAX(1,D594)),0), FactorTable!$A$2:$A$301,0), Skills!M21+1)</f>
        <v/>
      </c>
      <c r="F594">
        <f>IF(Skills!N21=TRUE,(Skills!L21/10)*(E594/1000),Skills!L21/10)+Skills!O21</f>
        <v/>
      </c>
      <c r="G594">
        <f>Skills!G21*IF(Skills!H21&gt;0,Skills!I21/Skills!H21,1)</f>
        <v/>
      </c>
      <c r="H594">
        <f>1-(1-Skills!J21/100)^Skills!K21</f>
        <v/>
      </c>
      <c r="I594" t="inlineStr">
        <is>
          <t>1</t>
        </is>
      </c>
      <c r="J594" t="inlineStr"/>
      <c r="K594" t="inlineStr"/>
      <c r="L594" t="inlineStr"/>
      <c r="M594" t="inlineStr"/>
      <c r="N594" t="inlineStr"/>
      <c r="O594">
        <f>(1-Summary!$B$55)*T594+Summary!$B$55*V594</f>
        <v/>
      </c>
      <c r="P594">
        <f>IF(B615=0,0,O594/B615)</f>
        <v/>
      </c>
      <c r="Q594" t="n">
        <v>0</v>
      </c>
      <c r="R594" t="n">
        <v>0</v>
      </c>
      <c r="S594" t="n">
        <v>0</v>
      </c>
      <c r="T594" t="n">
        <v>0</v>
      </c>
      <c r="V594" t="n">
        <v>0</v>
      </c>
    </row>
    <row r="595">
      <c r="A595">
        <f>Skills!A22</f>
        <v/>
      </c>
      <c r="B595">
        <f>Skills!B22</f>
        <v/>
      </c>
      <c r="C595">
        <f>Inputs!$B$3&gt;=38</f>
        <v/>
      </c>
      <c r="D595">
        <f>IF(Skills!C22=1,60+Inputs!$B$25+Inputs!$B$29,IF(Skills!C22=2,90+Inputs!$B$26+Inputs!$B$29,IF(Skills!C22=3,120+Inputs!$B$27+Inputs!$B$29,MAX(0,(Inputs!$B$3-100)*3)+Inputs!$B$28+Inputs!$B$29)))</f>
        <v/>
      </c>
      <c r="E595">
        <f>INDEX(FactorTable!$B$2:$Y$301, MATCH(ROUND(MIN(300,MAX(1,D595)),0), FactorTable!$A$2:$A$301,0), Skills!M22+1)</f>
        <v/>
      </c>
      <c r="F595">
        <f>IF(Skills!N22=TRUE,(Skills!L22/10)*(E595/1000),Skills!L22/10)+Skills!O22</f>
        <v/>
      </c>
      <c r="G595">
        <f>Skills!G22*IF(Skills!H22&gt;0,Skills!I22/Skills!H22,1)</f>
        <v/>
      </c>
      <c r="H595">
        <f>1-(1-Skills!J22/100)^Skills!K22</f>
        <v/>
      </c>
      <c r="I595" t="inlineStr">
        <is>
          <t>1</t>
        </is>
      </c>
      <c r="J595" t="inlineStr"/>
      <c r="K595" t="inlineStr"/>
      <c r="L595" t="inlineStr"/>
      <c r="M595" t="inlineStr"/>
      <c r="N595" t="inlineStr"/>
      <c r="O595">
        <f>(1-Summary!$B$55)*T595+Summary!$B$55*V595</f>
        <v/>
      </c>
      <c r="P595">
        <f>IF(B615=0,0,O595/B615)</f>
        <v/>
      </c>
      <c r="Q595" t="n">
        <v>0</v>
      </c>
      <c r="R595" t="n">
        <v>0</v>
      </c>
      <c r="S595" t="n">
        <v>0</v>
      </c>
      <c r="T595" t="n">
        <v>0</v>
      </c>
      <c r="V595" t="n">
        <v>0</v>
      </c>
    </row>
    <row r="596">
      <c r="A596">
        <f>Skills!A23</f>
        <v/>
      </c>
      <c r="B596">
        <f>Skills!B23</f>
        <v/>
      </c>
      <c r="C596">
        <f>Inputs!$B$3&gt;=43</f>
        <v/>
      </c>
      <c r="D596">
        <f>IF(Skills!C23=1,60+Inputs!$B$25+Inputs!$B$29,IF(Skills!C23=2,90+Inputs!$B$26+Inputs!$B$29,IF(Skills!C23=3,120+Inputs!$B$27+Inputs!$B$29,MAX(0,(Inputs!$B$3-100)*3)+Inputs!$B$28+Inputs!$B$29)))</f>
        <v/>
      </c>
      <c r="E596">
        <f>INDEX(FactorTable!$B$2:$Y$301, MATCH(ROUND(MIN(300,MAX(1,D596)),0), FactorTable!$A$2:$A$301,0), Skills!M23+1)</f>
        <v/>
      </c>
      <c r="F596">
        <f>IF(Skills!N23=TRUE,(Skills!L23/10)*(E596/1000),Skills!L23/10)+Skills!O23</f>
        <v/>
      </c>
      <c r="G596">
        <f>Skills!G23*IF(Skills!H23&gt;0,Skills!I23/Skills!H23,1)</f>
        <v/>
      </c>
      <c r="H596">
        <f>1-(1-Skills!J23/100)^Skills!K23</f>
        <v/>
      </c>
      <c r="I596" t="inlineStr">
        <is>
          <t>1</t>
        </is>
      </c>
      <c r="J596" t="inlineStr"/>
      <c r="K596" t="inlineStr"/>
      <c r="L596" t="inlineStr"/>
      <c r="M596" t="inlineStr"/>
      <c r="N596" t="inlineStr"/>
      <c r="O596">
        <f>(1-Summary!$B$55)*T596+Summary!$B$55*V596</f>
        <v/>
      </c>
      <c r="P596">
        <f>IF(B615=0,0,O596/B615)</f>
        <v/>
      </c>
      <c r="Q596" t="n">
        <v>0</v>
      </c>
      <c r="R596" t="n">
        <v>0</v>
      </c>
      <c r="S596" t="n">
        <v>0</v>
      </c>
      <c r="T596" t="n">
        <v>0</v>
      </c>
      <c r="V596" t="n">
        <v>0</v>
      </c>
    </row>
    <row r="597">
      <c r="A597">
        <f>Skills!A24</f>
        <v/>
      </c>
      <c r="B597">
        <f>Skills!B24</f>
        <v/>
      </c>
      <c r="C597">
        <f>Inputs!$B$3&gt;=75</f>
        <v/>
      </c>
      <c r="D597">
        <f>IF(Skills!C24=1,60+Inputs!$B$25+Inputs!$B$29,IF(Skills!C24=2,90+Inputs!$B$26+Inputs!$B$29,IF(Skills!C24=3,120+Inputs!$B$27+Inputs!$B$29,MAX(0,(Inputs!$B$3-100)*3)+Inputs!$B$28+Inputs!$B$29)))</f>
        <v/>
      </c>
      <c r="E597">
        <f>INDEX(FactorTable!$B$2:$Y$301, MATCH(ROUND(MIN(300,MAX(1,D597)),0), FactorTable!$A$2:$A$301,0), Skills!M24+1)</f>
        <v/>
      </c>
      <c r="F597">
        <f>IF(Skills!N24=TRUE,(Skills!L24/10)*(E597/1000),Skills!L24/10)+Skills!O24</f>
        <v/>
      </c>
      <c r="G597">
        <f>Skills!G24*IF(Skills!H24&gt;0,Skills!I24/Skills!H24,1)</f>
        <v/>
      </c>
      <c r="H597">
        <f>1-(1-Skills!J24/100)^Skills!K24</f>
        <v/>
      </c>
      <c r="I597" t="inlineStr">
        <is>
          <t>1</t>
        </is>
      </c>
      <c r="J597" t="inlineStr"/>
      <c r="K597" t="inlineStr"/>
      <c r="L597" t="inlineStr"/>
      <c r="M597" t="inlineStr"/>
      <c r="N597" t="inlineStr"/>
      <c r="O597">
        <f>(1-Summary!$B$55)*T597+Summary!$B$55*V597</f>
        <v/>
      </c>
      <c r="P597">
        <f>IF(B615=0,0,O597/B615)</f>
        <v/>
      </c>
      <c r="Q597" t="n">
        <v>0</v>
      </c>
      <c r="R597" t="n">
        <v>0</v>
      </c>
      <c r="S597" t="n">
        <v>0</v>
      </c>
      <c r="T597" t="n">
        <v>0</v>
      </c>
      <c r="V597" t="n">
        <v>0</v>
      </c>
    </row>
    <row r="598">
      <c r="A598">
        <f>Skills!A25</f>
        <v/>
      </c>
      <c r="B598">
        <f>Skills!B25</f>
        <v/>
      </c>
      <c r="C598">
        <f>Inputs!$B$3&gt;=125</f>
        <v/>
      </c>
      <c r="D598">
        <f>IF(Skills!C25=1,60+Inputs!$B$25+Inputs!$B$29,IF(Skills!C25=2,90+Inputs!$B$26+Inputs!$B$29,IF(Skills!C25=3,120+Inputs!$B$27+Inputs!$B$29,MAX(0,(Inputs!$B$3-100)*3)+Inputs!$B$28+Inputs!$B$29)))</f>
        <v/>
      </c>
      <c r="E598">
        <f>INDEX(FactorTable!$B$2:$Y$301, MATCH(ROUND(MIN(300,MAX(1,D598)),0), FactorTable!$A$2:$A$301,0), Skills!M25+1)</f>
        <v/>
      </c>
      <c r="F598">
        <f>IF(Skills!N25=TRUE,(Skills!L25/10)*(E598/1000),Skills!L25/10)+Skills!O25</f>
        <v/>
      </c>
      <c r="G598">
        <f>Skills!G25*IF(Skills!H25&gt;0,Skills!I25/Skills!H25,1)</f>
        <v/>
      </c>
      <c r="H598">
        <f>1-(1-Skills!J25/100)^Skills!K25</f>
        <v/>
      </c>
      <c r="I598" t="inlineStr">
        <is>
          <t>1</t>
        </is>
      </c>
      <c r="J598" t="inlineStr"/>
      <c r="K598" t="inlineStr"/>
      <c r="L598" t="inlineStr"/>
      <c r="M598" t="inlineStr"/>
      <c r="N598" t="inlineStr"/>
      <c r="O598">
        <f>(1-Summary!$B$55)*T598+Summary!$B$55*V598</f>
        <v/>
      </c>
      <c r="P598">
        <f>IF(B615=0,0,O598/B615)</f>
        <v/>
      </c>
      <c r="Q598" t="n">
        <v>0</v>
      </c>
      <c r="R598" t="n">
        <v>0</v>
      </c>
      <c r="S598" t="n">
        <v>0</v>
      </c>
      <c r="T598" t="n">
        <v>0</v>
      </c>
      <c r="V598" t="n">
        <v>0</v>
      </c>
    </row>
    <row r="599">
      <c r="A599">
        <f>Skills!A26</f>
        <v/>
      </c>
      <c r="B599">
        <f>Skills!B26</f>
        <v/>
      </c>
      <c r="C599">
        <f>Inputs!$B$3&gt;=125</f>
        <v/>
      </c>
      <c r="D599">
        <f>IF(Skills!C26=1,60+Inputs!$B$25+Inputs!$B$29,IF(Skills!C26=2,90+Inputs!$B$26+Inputs!$B$29,IF(Skills!C26=3,120+Inputs!$B$27+Inputs!$B$29,MAX(0,(Inputs!$B$3-100)*3)+Inputs!$B$28+Inputs!$B$29)))</f>
        <v/>
      </c>
      <c r="E599">
        <f>INDEX(FactorTable!$B$2:$Y$301, MATCH(ROUND(MIN(300,MAX(1,D599)),0), FactorTable!$A$2:$A$301,0), Skills!M26+1)</f>
        <v/>
      </c>
      <c r="F599">
        <f>IF(Skills!N26=TRUE,(Skills!L26/10)*(E599/1000),Skills!L26/10)+Skills!O26</f>
        <v/>
      </c>
      <c r="G599">
        <f>Skills!G26*IF(Skills!H26&gt;0,Skills!I26/Skills!H26,1)</f>
        <v/>
      </c>
      <c r="H599">
        <f>1-(1-Skills!J26/100)^Skills!K26</f>
        <v/>
      </c>
      <c r="I599" t="inlineStr">
        <is>
          <t>1</t>
        </is>
      </c>
      <c r="J599" t="inlineStr"/>
      <c r="K599" t="inlineStr"/>
      <c r="L599" t="inlineStr"/>
      <c r="M599" t="inlineStr"/>
      <c r="N599" t="inlineStr"/>
      <c r="O599">
        <f>(1-Summary!$B$55)*T599+Summary!$B$55*V599</f>
        <v/>
      </c>
      <c r="P599">
        <f>IF(B615=0,0,O599/B615)</f>
        <v/>
      </c>
      <c r="Q599" t="n">
        <v>0</v>
      </c>
      <c r="R599" t="n">
        <v>0</v>
      </c>
      <c r="S599" t="n">
        <v>0</v>
      </c>
      <c r="T599" t="n">
        <v>0</v>
      </c>
      <c r="V599" t="n">
        <v>0</v>
      </c>
    </row>
    <row r="600">
      <c r="A600">
        <f>Skills!A27</f>
        <v/>
      </c>
      <c r="B600">
        <f>Skills!B27</f>
        <v/>
      </c>
      <c r="C600">
        <f>Inputs!$B$3&gt;=120</f>
        <v/>
      </c>
      <c r="D600">
        <f>IF(Skills!C27=1,60+Inputs!$B$25+Inputs!$B$29,IF(Skills!C27=2,90+Inputs!$B$26+Inputs!$B$29,IF(Skills!C27=3,120+Inputs!$B$27+Inputs!$B$29,MAX(0,(Inputs!$B$3-100)*3)+Inputs!$B$28+Inputs!$B$29)))</f>
        <v/>
      </c>
      <c r="E600">
        <f>INDEX(FactorTable!$B$2:$Y$301, MATCH(ROUND(MIN(300,MAX(1,D600)),0), FactorTable!$A$2:$A$301,0), Skills!M27+1)</f>
        <v/>
      </c>
      <c r="F600">
        <f>IF(Skills!N27=TRUE,(Skills!L27/10)*(E600/1000),Skills!L27/10)+Skills!O27</f>
        <v/>
      </c>
      <c r="G600">
        <f>Skills!G27*IF(Skills!H27&gt;0,Skills!I27/Skills!H27,1)</f>
        <v/>
      </c>
      <c r="H600">
        <f>1-(1-Skills!J27/100)^Skills!K27</f>
        <v/>
      </c>
      <c r="I600" t="inlineStr">
        <is>
          <t>1</t>
        </is>
      </c>
      <c r="J600" t="inlineStr"/>
      <c r="K600" t="inlineStr"/>
      <c r="L600" t="inlineStr"/>
      <c r="M600" t="inlineStr"/>
      <c r="N600" t="inlineStr"/>
      <c r="O600">
        <f>(1-Summary!$B$55)*T600+Summary!$B$55*V600</f>
        <v/>
      </c>
      <c r="P600">
        <f>IF(B615=0,0,O600/B615)</f>
        <v/>
      </c>
      <c r="Q600" t="n">
        <v>0</v>
      </c>
      <c r="R600" t="n">
        <v>0</v>
      </c>
      <c r="S600" t="n">
        <v>0</v>
      </c>
      <c r="T600" t="n">
        <v>0</v>
      </c>
      <c r="V600" t="n">
        <v>0</v>
      </c>
    </row>
    <row r="601">
      <c r="A601">
        <f>Skills!A28</f>
        <v/>
      </c>
      <c r="B601">
        <f>Skills!B28</f>
        <v/>
      </c>
      <c r="C601">
        <f>Inputs!$B$3&gt;=120</f>
        <v/>
      </c>
      <c r="D601">
        <f>IF(Skills!C28=1,60+Inputs!$B$25+Inputs!$B$29,IF(Skills!C28=2,90+Inputs!$B$26+Inputs!$B$29,IF(Skills!C28=3,120+Inputs!$B$27+Inputs!$B$29,MAX(0,(Inputs!$B$3-100)*3)+Inputs!$B$28+Inputs!$B$29)))</f>
        <v/>
      </c>
      <c r="E601">
        <f>INDEX(FactorTable!$B$2:$Y$301, MATCH(ROUND(MIN(300,MAX(1,D601)),0), FactorTable!$A$2:$A$301,0), Skills!M28+1)</f>
        <v/>
      </c>
      <c r="F601">
        <f>IF(Skills!N28=TRUE,(Skills!L28/10)*(E601/1000),Skills!L28/10)+Skills!O28</f>
        <v/>
      </c>
      <c r="G601">
        <f>Skills!G28*IF(Skills!H28&gt;0,Skills!I28/Skills!H28,1)</f>
        <v/>
      </c>
      <c r="H601">
        <f>1-(1-Skills!J28/100)^Skills!K28</f>
        <v/>
      </c>
      <c r="I601" t="inlineStr">
        <is>
          <t>1</t>
        </is>
      </c>
      <c r="J601" t="inlineStr"/>
      <c r="K601" t="inlineStr"/>
      <c r="L601" t="inlineStr"/>
      <c r="M601" t="inlineStr"/>
      <c r="N601" t="inlineStr"/>
      <c r="O601">
        <f>(1-Summary!$B$55)*T601+Summary!$B$55*V601</f>
        <v/>
      </c>
      <c r="P601">
        <f>IF(B615=0,0,O601/B615)</f>
        <v/>
      </c>
      <c r="Q601" t="n">
        <v>0</v>
      </c>
      <c r="R601" t="n">
        <v>0</v>
      </c>
      <c r="S601" t="n">
        <v>0</v>
      </c>
      <c r="T601" t="n">
        <v>0</v>
      </c>
      <c r="V601" t="n">
        <v>0</v>
      </c>
    </row>
    <row r="602">
      <c r="A602">
        <f>Skills!A29</f>
        <v/>
      </c>
      <c r="B602">
        <f>Skills!B29</f>
        <v/>
      </c>
      <c r="C602">
        <f>Inputs!$B$3&gt;=45</f>
        <v/>
      </c>
      <c r="D602">
        <f>IF(Skills!C29=1,60+Inputs!$B$25+Inputs!$B$29,IF(Skills!C29=2,90+Inputs!$B$26+Inputs!$B$29,IF(Skills!C29=3,120+Inputs!$B$27+Inputs!$B$29,MAX(0,(Inputs!$B$3-100)*3)+Inputs!$B$28+Inputs!$B$29)))</f>
        <v/>
      </c>
      <c r="E602">
        <f>INDEX(FactorTable!$B$2:$Y$301, MATCH(ROUND(MIN(300,MAX(1,D602)),0), FactorTable!$A$2:$A$301,0), Skills!M29+1)</f>
        <v/>
      </c>
      <c r="F602">
        <f>IF(Skills!N29=TRUE,(Skills!L29/10)*(E602/1000),Skills!L29/10)+Skills!O29</f>
        <v/>
      </c>
      <c r="G602">
        <f>Skills!G29*IF(Skills!H29&gt;0,Skills!I29/Skills!H29,1)</f>
        <v/>
      </c>
      <c r="H602">
        <f>1-(1-Skills!J29/100)^Skills!K29</f>
        <v/>
      </c>
      <c r="I602" t="inlineStr">
        <is>
          <t>1</t>
        </is>
      </c>
      <c r="J602" t="inlineStr"/>
      <c r="K602" t="inlineStr"/>
      <c r="L602" t="inlineStr"/>
      <c r="M602" t="inlineStr"/>
      <c r="N602" t="inlineStr"/>
      <c r="O602">
        <f>(1-Summary!$B$55)*T602+Summary!$B$55*V602</f>
        <v/>
      </c>
      <c r="P602">
        <f>IF(B615=0,0,O602/B615)</f>
        <v/>
      </c>
      <c r="Q602" t="n">
        <v>0</v>
      </c>
      <c r="R602" t="n">
        <v>0</v>
      </c>
      <c r="S602" t="n">
        <v>0</v>
      </c>
      <c r="T602" t="n">
        <v>0</v>
      </c>
      <c r="V602" t="n">
        <v>0</v>
      </c>
    </row>
    <row r="604">
      <c r="A604" t="inlineStr">
        <is>
          <t>Attack% Bucket Multiplier</t>
        </is>
      </c>
      <c r="B604">
        <f>(1+(((C586=TRUE)*F586)+((C587=TRUE)*IF(Inputs!$B$38="pvp",F587,(1-Summary!$B$55)*(F587)+Summary!$B$55*(0)))+((C588=TRUE)*F588*IF(AND(Inputs!$B$38&lt;&gt;"pvp",Inputs!$B$43&gt;0),(((R588-1)*(Skills!T15*(1+Inputs!$B$34/100))+MIN((Skills!T15*(1+Inputs!$B$34/100)),MAX(0,Inputs!$B$43-((R588-1)*Skills!D15))))/Inputs!$B$43),IF(Inputs!$B$38="pvp",MIN((Skills!T15*(1+Inputs!$B$34/100)),15)/15,(Skills!T15*(1+Inputs!$B$34/100))/Skills!D15)))+((C585=TRUE)*F585)+((C602=TRUE)*(F602-Calc!F29)))/100)</f>
        <v/>
      </c>
    </row>
    <row r="605">
      <c r="A605" t="inlineStr">
        <is>
          <t>Global Crit Rate Bonus %</t>
        </is>
      </c>
      <c r="B605">
        <f>(C589=TRUE)*20*IF(AND(Inputs!$B$38&lt;&gt;"pvp",Inputs!$B$43&gt;0),(((R589-1)*(Skills!T16*(1+Inputs!$B$34/100))+MIN((Skills!T16*(1+Inputs!$B$34/100)),MAX(0,Inputs!$B$43-((R589-1)*Skills!D16))))/Inputs!$B$43),IF(Inputs!$B$38="pvp",MIN((Skills!T16*(1+Inputs!$B$34/100)),15)/15,(Skills!T16*(1+Inputs!$B$34/100))/Skills!D16))</f>
        <v/>
      </c>
    </row>
    <row r="606">
      <c r="A606" t="inlineStr">
        <is>
          <t>Attack Speed Buff Bonus %</t>
        </is>
      </c>
      <c r="B606">
        <f>((C591=TRUE)*F591*IF(AND(Inputs!$B$38&lt;&gt;"pvp",Inputs!$B$43&gt;0),(((R591-1)*(Skills!T18*(1+Inputs!$B$34/100))+MIN((Skills!T18*(1+Inputs!$B$34/100)),MAX(0,Inputs!$B$43-((R591-1)*Skills!D18))))/Inputs!$B$43),IF(Inputs!$B$38="pvp",MIN((Skills!T18*(1+Inputs!$B$34/100)),15)/15,(Skills!T18*(1+Inputs!$B$34/100))/Skills!D18)))</f>
        <v/>
      </c>
    </row>
    <row r="607">
      <c r="A607" t="inlineStr">
        <is>
          <t>Actions Per Second</t>
        </is>
      </c>
      <c r="B607">
        <f>1+MIN(150,150*(1-(1-(((1-(1-Inputs!$B$11/150)*(1-1/150))*150)+((C593=TRUE)*(F593-Calc!F20))+((C594=TRUE)*(F594-Calc!F21)))/150)*(1-B606/150)))/100</f>
        <v/>
      </c>
    </row>
    <row r="608">
      <c r="A608" t="inlineStr">
        <is>
          <t>Skill + Buff Cast Rate</t>
        </is>
      </c>
      <c r="B608">
        <f>IF(AND(Inputs!$B$38&lt;&gt;"pvp",Inputs!$B$43&gt;0),SUMPRODUCT((Skills!E2:E29=TRUE)*(C575:C602=TRUE)*R575:R602*Skills!F2:F29)/Inputs!$B$43,SUMPRODUCT((Skills!E2:E29=TRUE)*(C575:C602=TRUE)*Q575:Q602*Skills!F2:F29))</f>
        <v/>
      </c>
    </row>
    <row r="609">
      <c r="A609" t="inlineStr">
        <is>
          <t>Empowered Piercing Arrow Casts Per Second</t>
        </is>
      </c>
      <c r="B609">
        <f>MAX(0,B607-B608)</f>
        <v/>
      </c>
    </row>
    <row r="610">
      <c r="A610" t="inlineStr">
        <is>
          <t>Global Critical Damage Bonus % (Sharp Eyes)</t>
        </is>
      </c>
      <c r="B610">
        <f>(C589=TRUE)*F589*IF(AND(Inputs!$B$38&lt;&gt;"pvp",Inputs!$B$43&gt;0),(((R589-1)*(Skills!T16*(1+Inputs!$B$34/100))+MIN((Skills!T16*(1+Inputs!$B$34/100)),MAX(0,Inputs!$B$43-((R589-1)*Skills!D16))))/Inputs!$B$43),IF(Inputs!$B$38="pvp",MIN((Skills!T16*(1+Inputs!$B$34/100)),15)/15,(Skills!T16*(1+Inputs!$B$34/100))/Skills!D16))</f>
        <v/>
      </c>
    </row>
    <row r="611">
      <c r="A611" t="inlineStr">
        <is>
          <t>Global Final Damage Bonus % (Mortal Blow + Last Man Standing conditional half)</t>
        </is>
      </c>
      <c r="B611">
        <f>(C590=TRUE)*F590+((C599=TRUE)*IF(Inputs!$B$38="pvp",F599,(1-Summary!$B$55)*(F599)+Summary!$B$55*(0)))</f>
        <v/>
      </c>
    </row>
    <row r="612">
      <c r="A612" t="inlineStr">
        <is>
          <t>Buff-Casting Startup Delay (s, fixed-duration only)</t>
        </is>
      </c>
      <c r="B612">
        <f>IF(AND(Inputs!$B$38&lt;&gt;"pvp",Inputs!$B$43&gt;0),SUMPRODUCT((Skills!T2:T29&gt;0)*(Skills!E2:E29=TRUE)*(C575:C602=TRUE))/B607,0)</f>
        <v/>
      </c>
    </row>
    <row r="613">
      <c r="A613" t="inlineStr">
        <is>
          <t>Boss-Only Total DPS (this block's swept value)</t>
        </is>
      </c>
      <c r="B613">
        <f>SUM(T575:T602)</f>
        <v/>
      </c>
    </row>
    <row r="614">
      <c r="A614" t="inlineStr">
        <is>
          <t>Normal-Only Total DPS (this block's swept value)</t>
        </is>
      </c>
      <c r="B614">
        <f>SUM(V575:V602)</f>
        <v/>
      </c>
    </row>
    <row r="615">
      <c r="A615" s="5" t="inlineStr">
        <is>
          <t>TOTAL DPS</t>
        </is>
      </c>
      <c r="B615" s="5">
        <f>SUM(O575:O602)</f>
        <v/>
      </c>
    </row>
    <row r="618">
      <c r="A618" s="5" t="inlineStr">
        <is>
          <t>Stat: DEF_PEN % (diminishing returns, factor 100)</t>
        </is>
      </c>
    </row>
    <row r="619">
      <c r="A619" s="9" t="inlineStr">
        <is>
          <t>Key</t>
        </is>
      </c>
      <c r="B619" s="9" t="inlineStr">
        <is>
          <t>Name</t>
        </is>
      </c>
      <c r="C619" s="9" t="inlineStr">
        <is>
          <t>Unlocked</t>
        </is>
      </c>
      <c r="D619" s="9" t="inlineStr">
        <is>
          <t>InputLevel</t>
        </is>
      </c>
      <c r="E619" s="9" t="inlineStr">
        <is>
          <t>Factor</t>
        </is>
      </c>
      <c r="F619" s="9" t="inlineStr">
        <is>
          <t>CoefficientPercent</t>
        </is>
      </c>
      <c r="G619" s="9" t="inlineStr">
        <is>
          <t>EffectiveHits</t>
        </is>
      </c>
      <c r="H619" s="9" t="inlineStr">
        <is>
          <t>ProcProbability</t>
        </is>
      </c>
      <c r="I619" s="9" t="inlineStr">
        <is>
          <t>MapleHeroMultiplier</t>
        </is>
      </c>
      <c r="J619" s="9" t="inlineStr">
        <is>
          <t>BaseDamage</t>
        </is>
      </c>
      <c r="K619" s="9" t="inlineStr">
        <is>
          <t>BaseHitDamage</t>
        </is>
      </c>
      <c r="L619" s="9" t="inlineStr">
        <is>
          <t>NonCritAvg</t>
        </is>
      </c>
      <c r="M619" s="9" t="inlineStr">
        <is>
          <t>CritAvg</t>
        </is>
      </c>
      <c r="N619" s="9" t="inlineStr">
        <is>
          <t>ExpectedDamage(perHit)</t>
        </is>
      </c>
      <c r="O619" s="9" t="inlineStr">
        <is>
          <t>DPS</t>
        </is>
      </c>
      <c r="P619" s="9" t="inlineStr">
        <is>
          <t>% of Total</t>
        </is>
      </c>
      <c r="Q619" s="9" t="inlineStr">
        <is>
          <t>InvCooldown</t>
        </is>
      </c>
      <c r="R619" s="9" t="inlineStr">
        <is>
          <t>CastsInFight</t>
        </is>
      </c>
      <c r="S619" s="9" t="inlineStr">
        <is>
          <t>HitRate(perSec)</t>
        </is>
      </c>
      <c r="U619" t="inlineStr">
        <is>
          <t>helpers</t>
        </is>
      </c>
    </row>
    <row r="620">
      <c r="A620">
        <f>Skills!A2</f>
        <v/>
      </c>
      <c r="B620">
        <f>Skills!B2</f>
        <v/>
      </c>
      <c r="C620">
        <f>Inputs!$B$3&gt;=100</f>
        <v/>
      </c>
      <c r="D620" t="inlineStr"/>
      <c r="E620" t="inlineStr"/>
      <c r="F620">
        <f>U622+Skills!O2</f>
        <v/>
      </c>
      <c r="G620">
        <f>Skills!G2*IF(Skills!H2&gt;0,Skills!I2/Skills!H2,1)</f>
        <v/>
      </c>
      <c r="H620">
        <f>1-(1-Skills!J2/100)^Skills!K2</f>
        <v/>
      </c>
      <c r="I620" t="inlineStr">
        <is>
          <t>1</t>
        </is>
      </c>
      <c r="J620">
        <f>((Inputs!$B$6*(1+Inputs!$B$7/100))+(((Inputs!$B$12*(1+Inputs!$B$13/100))-(Inputs!$B$12*(1+Inputs!$B$13/100)))+0.25*(Inputs!$B$14-Inputs!$B$14))*(1+Inputs!$B$7/100))*(F620/100)</f>
        <v/>
      </c>
      <c r="K620">
        <f>J620*(1+((Inputs!$B$12*(1+Inputs!$B$13/100))*0.01+Inputs!$B$14*0.0025)/100)*(1+Inputs!$B$15/100)*(1+Inputs!$B$16/100)*(5000/(6000+Inputs!$B$42*(1-(((1-(1-Inputs!$B$19/100)*(1-1/100))*100)+0)/100)))*(1+(Inputs!$B$24+((C642=TRUE)*(F642-Calc!F24))+((C643=TRUE)*(F643-Calc!F25))+B656)/100)*(1+(IF(Skills!A2="EMPOWERED_PIERCING_ARROW",Inputs!$B$17+((C640=TRUE)*(F640-Calc!F22)),Inputs!$B$18+((C645=TRUE)*(F645-Calc!F27))))/100)*((1+(((C631=TRUE)*F631)+((C632=TRUE)*IF(Inputs!$B$38="pvp",F632,(1-Summary!$B$55)*(F632)+Summary!$B$55*(0)))+((C633=TRUE)*F633*IF(AND(Inputs!$B$38&lt;&gt;"pvp",Inputs!$B$43&gt;0),(((R633-1)*(Skills!T15*(1+Inputs!$B$34/100))+MIN((Skills!T15*(1+Inputs!$B$34/100)),MAX(0,Inputs!$B$43-((R633-1)*Skills!D15))))/Inputs!$B$43),IF(Inputs!$B$38="pvp",MIN((Skills!T15*(1+Inputs!$B$34/100)),15)/15,(Skills!T15*(1+Inputs!$B$34/100))/Skills!D15)))+((C630=TRUE)*F630)+((C647=TRUE)*(F647-Calc!F29)))/100)*I620)</f>
        <v/>
      </c>
      <c r="L620">
        <f>K620*(MIN(Inputs!$B$22+((C641=TRUE)*(F641-Calc!F23)),Inputs!$B$23+((C646=TRUE)*(F646-Calc!F28)))/100+(Inputs!$B$23+((C646=TRUE)*(F646-Calc!F28)))/100)/2</f>
        <v/>
      </c>
      <c r="M620">
        <f>L620*(1+(Inputs!$B$10+0+B655)/100)</f>
        <v/>
      </c>
      <c r="N620">
        <f>L620*(1-MIN((Inputs!$B$9+((C637=TRUE)*(F637-Calc!F19))+B650),100)/100)+M620*(MIN((Inputs!$B$9+((C637=TRUE)*(F637-Calc!F19))+B650),100)/100)</f>
        <v/>
      </c>
      <c r="O620">
        <f>(1-Summary!$B$55)*T620+Summary!$B$55*V620</f>
        <v/>
      </c>
      <c r="P620">
        <f>IF(B660=0,0,O620/B660)</f>
        <v/>
      </c>
      <c r="Q620" t="n">
        <v>0</v>
      </c>
      <c r="R620" t="n">
        <v>0</v>
      </c>
      <c r="S620">
        <f>IFERROR((Skills!G2*N620*B654)/N620*IF(Inputs!$B$38="pvp",1,(1-Summary!$B$55)*1+Summary!$B$55*(MIN((6+Inputs!$B$33),Inputs!$B$37))),0)</f>
        <v/>
      </c>
      <c r="T620">
        <f>IF(C620,(Skills!G2*N620*B654)*IF(Inputs!$B$38="pvp",1,1+(Inputs!$B$20+0+Skills!P2)/100),0)</f>
        <v/>
      </c>
      <c r="U620">
        <f>MAX(0,(Inputs!$B$3-100)*3)+Inputs!$B$28+Inputs!$B$29</f>
        <v/>
      </c>
      <c r="V620">
        <f>IF(C620,(Skills!G2*N620*B654)*IF(Inputs!$B$38="pvp",1,(1+(Inputs!$B$21+Skills!Q2)/100)*(MIN((6+Inputs!$B$33),Inputs!$B$37))),0)</f>
        <v/>
      </c>
    </row>
    <row r="621">
      <c r="A621">
        <f>Skills!A3</f>
        <v/>
      </c>
      <c r="B621">
        <f>Skills!B3</f>
        <v/>
      </c>
      <c r="C621">
        <f>Inputs!$B$3&gt;=50</f>
        <v/>
      </c>
      <c r="D621">
        <f>IF(Skills!C3=1,60+Inputs!$B$25+Inputs!$B$29,IF(Skills!C3=2,90+Inputs!$B$26+Inputs!$B$29,IF(Skills!C3=3,120+Inputs!$B$27+Inputs!$B$29,MAX(0,(Inputs!$B$3-100)*3)+Inputs!$B$28+Inputs!$B$29)))</f>
        <v/>
      </c>
      <c r="E621">
        <f>INDEX(FactorTable!$B$2:$Y$301, MATCH(ROUND(MIN(300,MAX(1,D621)),0), FactorTable!$A$2:$A$301,0), Skills!M3+1)</f>
        <v/>
      </c>
      <c r="F621">
        <f>IF(Skills!N3=TRUE,(Skills!L3/10)*(E621/1000),Skills!L3/10)+Skills!O3</f>
        <v/>
      </c>
      <c r="G621" t="inlineStr"/>
      <c r="H621" t="inlineStr"/>
      <c r="I621" t="inlineStr">
        <is>
          <t>1</t>
        </is>
      </c>
      <c r="J621" t="inlineStr"/>
      <c r="K621" t="inlineStr"/>
      <c r="L621" t="inlineStr"/>
      <c r="M621" t="inlineStr"/>
      <c r="N621" t="inlineStr"/>
      <c r="O621" t="inlineStr"/>
      <c r="P621" t="inlineStr"/>
      <c r="Q621" t="inlineStr"/>
      <c r="R621" t="inlineStr"/>
      <c r="S621" t="inlineStr"/>
      <c r="T621" t="inlineStr"/>
      <c r="U621">
        <f>INDEX(FactorTable!$B$2:$Y$301, MATCH(ROUND(MIN(300,MAX(1,U620)),0), FactorTable!$A$2:$A$301,0), 22)</f>
        <v/>
      </c>
      <c r="V621" t="inlineStr"/>
    </row>
    <row r="622">
      <c r="A622">
        <f>Skills!A4</f>
        <v/>
      </c>
      <c r="B622">
        <f>Skills!B4</f>
        <v/>
      </c>
      <c r="C622">
        <f>Inputs!$B$3&gt;=105</f>
        <v/>
      </c>
      <c r="D622">
        <f>IF(Skills!C4=1,60+Inputs!$B$25+Inputs!$B$29,IF(Skills!C4=2,90+Inputs!$B$26+Inputs!$B$29,IF(Skills!C4=3,120+Inputs!$B$27+Inputs!$B$29,MAX(0,(Inputs!$B$3-100)*3)+Inputs!$B$28+Inputs!$B$29)))</f>
        <v/>
      </c>
      <c r="E622">
        <f>INDEX(FactorTable!$B$2:$Y$301, MATCH(ROUND(MIN(300,MAX(1,D622)),0), FactorTable!$A$2:$A$301,0), Skills!M4+1)</f>
        <v/>
      </c>
      <c r="F622">
        <f>IF(Skills!N4=TRUE,(Skills!L4/10)*(E622/1000),Skills!L4/10)+Skills!O4</f>
        <v/>
      </c>
      <c r="G622" t="inlineStr"/>
      <c r="H622" t="inlineStr"/>
      <c r="I622" t="inlineStr">
        <is>
          <t>1</t>
        </is>
      </c>
      <c r="J622" t="inlineStr"/>
      <c r="K622" t="inlineStr"/>
      <c r="L622" t="inlineStr"/>
      <c r="M622" t="inlineStr"/>
      <c r="N622" t="inlineStr"/>
      <c r="O622" t="inlineStr"/>
      <c r="P622" t="inlineStr"/>
      <c r="Q622" t="inlineStr"/>
      <c r="R622" t="inlineStr"/>
      <c r="S622" t="inlineStr"/>
      <c r="T622" t="inlineStr"/>
      <c r="U622">
        <f>290*U621/1000</f>
        <v/>
      </c>
      <c r="V622" t="inlineStr"/>
    </row>
    <row r="623">
      <c r="A623">
        <f>Skills!A5</f>
        <v/>
      </c>
      <c r="B623">
        <f>Skills!B5</f>
        <v/>
      </c>
      <c r="C623">
        <f>Inputs!$B$3&gt;=35</f>
        <v/>
      </c>
      <c r="D623">
        <f>IF(Skills!C5=1,60+Inputs!$B$25+Inputs!$B$29,IF(Skills!C5=2,90+Inputs!$B$26+Inputs!$B$29,IF(Skills!C5=3,120+Inputs!$B$27+Inputs!$B$29,MAX(0,(Inputs!$B$3-100)*3)+Inputs!$B$28+Inputs!$B$29)))</f>
        <v/>
      </c>
      <c r="E623">
        <f>INDEX(FactorTable!$B$2:$Y$301, MATCH(ROUND(MIN(300,MAX(1,D623)),0), FactorTable!$A$2:$A$301,0), Skills!M5+1)</f>
        <v/>
      </c>
      <c r="F623">
        <f>IF(Skills!N5=TRUE,(Skills!L5/10)*(E623/1000),Skills!L5/10)+Skills!O5</f>
        <v/>
      </c>
      <c r="G623">
        <f>Skills!G5*IF(Skills!H5&gt;0,Skills!I5/Skills!H5,1)</f>
        <v/>
      </c>
      <c r="H623">
        <f>1-(1-Skills!J5/100)^Skills!K5</f>
        <v/>
      </c>
      <c r="I623" t="inlineStr">
        <is>
          <t>1</t>
        </is>
      </c>
      <c r="J623">
        <f>((Inputs!$B$6*(1+Inputs!$B$7/100))+(((Inputs!$B$12*(1+Inputs!$B$13/100))-(Inputs!$B$12*(1+Inputs!$B$13/100)))+0.25*(Inputs!$B$14-Inputs!$B$14))*(1+Inputs!$B$7/100))*(F623/100)</f>
        <v/>
      </c>
      <c r="K623">
        <f>J623*(1+((Inputs!$B$12*(1+Inputs!$B$13/100))*0.01+Inputs!$B$14*0.0025)/100)*(1+Inputs!$B$15/100)*(1+Inputs!$B$16/100)*(5000/(6000+Inputs!$B$42*(1-(((1-(1-Inputs!$B$19/100)*(1-1/100))*100)+0)/100)))*(1+(Inputs!$B$24+((C642=TRUE)*(F642-Calc!F24))+((C643=TRUE)*(F643-Calc!F25))+B656)/100)*(1+4.0*IF(C626=TRUE,F626,0)/100)*(1+(IF(Skills!A5="EMPOWERED_PIERCING_ARROW",Inputs!$B$17+((C640=TRUE)*(F640-Calc!F22)),Inputs!$B$18+((C645=TRUE)*(F645-Calc!F27))))/100)*((1+(((C631=TRUE)*F631)+((C632=TRUE)*IF(Inputs!$B$38="pvp",F632,(1-Summary!$B$55)*(F632)+Summary!$B$55*(0)))+((C633=TRUE)*F633*IF(AND(Inputs!$B$38&lt;&gt;"pvp",Inputs!$B$43&gt;0),(((R633-1)*(Skills!T15*(1+Inputs!$B$34/100))+MIN((Skills!T15*(1+Inputs!$B$34/100)),MAX(0,Inputs!$B$43-((R633-1)*Skills!D15))))/Inputs!$B$43),IF(Inputs!$B$38="pvp",MIN((Skills!T15*(1+Inputs!$B$34/100)),15)/15,(Skills!T15*(1+Inputs!$B$34/100))/Skills!D15)))+((C630=TRUE)*F630)+((C647=TRUE)*(F647-Calc!F29)))/100)*I623)</f>
        <v/>
      </c>
      <c r="L623">
        <f>K623*(MIN(Inputs!$B$22+((C641=TRUE)*(F641-Calc!F23)),Inputs!$B$23+((C646=TRUE)*(F646-Calc!F28)))/100+(Inputs!$B$23+((C646=TRUE)*(F646-Calc!F28)))/100)/2</f>
        <v/>
      </c>
      <c r="M623">
        <f>L623*(1+(Inputs!$B$10+0+B655)/100)</f>
        <v/>
      </c>
      <c r="N623">
        <f>L623*(1-MIN((Inputs!$B$9+((C637=TRUE)*(F637-Calc!F19))+B650),100)/100)+M623*(MIN((Inputs!$B$9+((C637=TRUE)*(F637-Calc!F19))+B650),100)/100)</f>
        <v/>
      </c>
      <c r="O623">
        <f>(1-Summary!$B$55)*T623+Summary!$B$55*V623</f>
        <v/>
      </c>
      <c r="P623">
        <f>IF(B660=0,0,O623/B660)</f>
        <v/>
      </c>
      <c r="Q623">
        <f>IFERROR(1/IF(Inputs!$B$38="pvp",15,MAX(0.1,Skills!D5-IF(Skills!E5=TRUE,Inputs!$B$32,0))),0)</f>
        <v/>
      </c>
      <c r="R623">
        <f>IF(AND(Inputs!$B$38&lt;&gt;"pvp",Inputs!$B$43&gt;0),IF(MAX(0,Inputs!$B$43-B657)&lt;=0,0,(INT(MAX(0,Inputs!$B$43-B657)/IF(Inputs!$B$38="pvp",15,MAX(0.1,Skills!D5-IF(Skills!E5=TRUE,Inputs!$B$32,0))))+1)),0)</f>
        <v/>
      </c>
      <c r="S623">
        <f>IFERROR((H623*N623*IF(AND(Inputs!$B$38&lt;&gt;"pvp",Inputs!$B$43&gt;0),((Skills!G5*((R623-1)*IF(Skills!H5&gt;0,Skills!I5/Skills!H5,1)+IF(Skills!H5&gt;0,MIN(Skills!I5,MAX(0,MAX(0,Inputs!$B$43-B657)-((R623-1)*IF(Inputs!$B$38="pvp",15,MAX(0.1,Skills!D5-IF(Skills!E5=TRUE,Inputs!$B$32,0))))))/Skills!H5,1)))/Inputs!$B$43),G623*Q623))/N623*IF(Inputs!$B$38="pvp",1,(1-Summary!$B$55)*1+Summary!$B$55*(MIN(Skills!R5,Inputs!$B$37))),0)</f>
        <v/>
      </c>
      <c r="T623">
        <f>IF(C623,(H623*N623*IF(AND(Inputs!$B$38&lt;&gt;"pvp",Inputs!$B$43&gt;0),((Skills!G5*((R623-1)*IF(Skills!H5&gt;0,Skills!I5/Skills!H5,1)+IF(Skills!H5&gt;0,MIN(Skills!I5,MAX(0,MAX(0,Inputs!$B$43-B657)-((R623-1)*IF(Inputs!$B$38="pvp",15,MAX(0.1,Skills!D5-IF(Skills!E5=TRUE,Inputs!$B$32,0))))))/Skills!H5,1)))/Inputs!$B$43),G623*Q623))*IF(Inputs!$B$38="pvp",1,1+(Inputs!$B$20+0+Skills!P5)/100),0)</f>
        <v/>
      </c>
      <c r="V623">
        <f>IF(C623,(H623*N623*IF(AND(Inputs!$B$38&lt;&gt;"pvp",Inputs!$B$43&gt;0),((Skills!G5*((R623-1)*IF(Skills!H5&gt;0,Skills!I5/Skills!H5,1)+IF(Skills!H5&gt;0,MIN(Skills!I5,MAX(0,MAX(0,Inputs!$B$43-B657)-((R623-1)*IF(Inputs!$B$38="pvp",15,MAX(0.1,Skills!D5-IF(Skills!E5=TRUE,Inputs!$B$32,0))))))/Skills!H5,1)))/Inputs!$B$43),G623*Q623))*IF(Inputs!$B$38="pvp",1,(1+(Inputs!$B$21+Skills!Q5)/100)*(MIN(Skills!R5,Inputs!$B$37))),0)</f>
        <v/>
      </c>
    </row>
    <row r="624">
      <c r="A624">
        <f>Skills!A6</f>
        <v/>
      </c>
      <c r="B624">
        <f>Skills!B6</f>
        <v/>
      </c>
      <c r="C624">
        <f>Inputs!$B$3&gt;=63</f>
        <v/>
      </c>
      <c r="D624">
        <f>IF(Skills!C6=1,60+Inputs!$B$25+Inputs!$B$29,IF(Skills!C6=2,90+Inputs!$B$26+Inputs!$B$29,IF(Skills!C6=3,120+Inputs!$B$27+Inputs!$B$29,MAX(0,(Inputs!$B$3-100)*3)+Inputs!$B$28+Inputs!$B$29)))</f>
        <v/>
      </c>
      <c r="E624">
        <f>INDEX(FactorTable!$B$2:$Y$301, MATCH(ROUND(MIN(300,MAX(1,D624)),0), FactorTable!$A$2:$A$301,0), Skills!M6+1)</f>
        <v/>
      </c>
      <c r="F624">
        <f>IF(Skills!N6=TRUE,(Skills!L6/10)*(E624/1000),Skills!L6/10)+Skills!O6</f>
        <v/>
      </c>
      <c r="G624">
        <f>Skills!G6*IF(Skills!H6&gt;0,Skills!I6/Skills!H6,1)</f>
        <v/>
      </c>
      <c r="H624">
        <f>1-(1-Skills!J6/100)^Skills!K6</f>
        <v/>
      </c>
      <c r="I624" t="inlineStr">
        <is>
          <t>1</t>
        </is>
      </c>
      <c r="J624">
        <f>((Inputs!$B$6*(1+Inputs!$B$7/100))+(((Inputs!$B$12*(1+Inputs!$B$13/100))-(Inputs!$B$12*(1+Inputs!$B$13/100)))+0.25*(Inputs!$B$14-Inputs!$B$14))*(1+Inputs!$B$7/100))*(F624/100)</f>
        <v/>
      </c>
      <c r="K624">
        <f>J624*(1+((Inputs!$B$12*(1+Inputs!$B$13/100))*0.01+Inputs!$B$14*0.0025)/100)*(1+Inputs!$B$15/100)*(1+Inputs!$B$16/100)*(5000/(6000+Inputs!$B$42*(1-(((1-(1-Inputs!$B$19/100)*(1-1/100))*100)+0)/100)))*(1+(Inputs!$B$24+((C642=TRUE)*(F642-Calc!F24))+((C643=TRUE)*(F643-Calc!F25))+B656)/100)*(1+1.0*IF(C626=TRUE,F626,0)/100)*(1+(IF(Skills!A6="EMPOWERED_PIERCING_ARROW",Inputs!$B$17+((C640=TRUE)*(F640-Calc!F22)),Inputs!$B$18+((C645=TRUE)*(F645-Calc!F27))))/100)*((1+(((C631=TRUE)*F631)+((C632=TRUE)*IF(Inputs!$B$38="pvp",F632,(1-Summary!$B$55)*(F632)+Summary!$B$55*(0)))+((C633=TRUE)*F633*IF(AND(Inputs!$B$38&lt;&gt;"pvp",Inputs!$B$43&gt;0),(((R633-1)*(Skills!T15*(1+Inputs!$B$34/100))+MIN((Skills!T15*(1+Inputs!$B$34/100)),MAX(0,Inputs!$B$43-((R633-1)*Skills!D15))))/Inputs!$B$43),IF(Inputs!$B$38="pvp",MIN((Skills!T15*(1+Inputs!$B$34/100)),15)/15,(Skills!T15*(1+Inputs!$B$34/100))/Skills!D15)))+((C630=TRUE)*F630)+((C647=TRUE)*(F647-Calc!F29)))/100)*I624)</f>
        <v/>
      </c>
      <c r="L624">
        <f>K624*(MIN(Inputs!$B$22+((C641=TRUE)*(F641-Calc!F23)),Inputs!$B$23+((C646=TRUE)*(F646-Calc!F28)))/100+(Inputs!$B$23+((C646=TRUE)*(F646-Calc!F28)))/100)/2</f>
        <v/>
      </c>
      <c r="M624">
        <f>L624*(1+(Inputs!$B$10+0+B655)/100)</f>
        <v/>
      </c>
      <c r="N624">
        <f>L624*(1-MIN((Inputs!$B$9+((C637=TRUE)*(F637-Calc!F19))+B650),100)/100)+M624*(MIN((Inputs!$B$9+((C637=TRUE)*(F637-Calc!F19))+B650),100)/100)</f>
        <v/>
      </c>
      <c r="O624">
        <f>(1-Summary!$B$55)*T624+Summary!$B$55*V624</f>
        <v/>
      </c>
      <c r="P624">
        <f>IF(B660=0,0,O624/B660)</f>
        <v/>
      </c>
      <c r="Q624">
        <f>IFERROR(1/IF(Inputs!$B$38="pvp",15,MAX(0.1,Skills!D6-IF(Skills!E6=TRUE,Inputs!$B$32,0))),0)</f>
        <v/>
      </c>
      <c r="R624">
        <f>IF(AND(Inputs!$B$38&lt;&gt;"pvp",Inputs!$B$43&gt;0),IF(MAX(0,Inputs!$B$43-B657)&lt;=0,0,(INT(MAX(0,Inputs!$B$43-B657)/IF(Inputs!$B$38="pvp",15,MAX(0.1,Skills!D6-IF(Skills!E6=TRUE,Inputs!$B$32,0))))+1)),0)</f>
        <v/>
      </c>
      <c r="S624">
        <f>IFERROR((H624*N624*IF(AND(Inputs!$B$38&lt;&gt;"pvp",Inputs!$B$43&gt;0),((Skills!G6*((R624-1)*IF(Skills!H6&gt;0,Skills!I6/Skills!H6,1)+IF(Skills!H6&gt;0,MIN(Skills!I6,MAX(0,MAX(0,Inputs!$B$43-B657)-((R624-1)*IF(Inputs!$B$38="pvp",15,MAX(0.1,Skills!D6-IF(Skills!E6=TRUE,Inputs!$B$32,0))))))/Skills!H6,1)))/Inputs!$B$43),G624*Q624))/N624*IF(Inputs!$B$38="pvp",1,(1-Summary!$B$55)*1+Summary!$B$55*(MIN(Skills!R6,Inputs!$B$37))),0)</f>
        <v/>
      </c>
      <c r="T624">
        <f>IF(C624,(H624*N624*IF(AND(Inputs!$B$38&lt;&gt;"pvp",Inputs!$B$43&gt;0),((Skills!G6*((R624-1)*IF(Skills!H6&gt;0,Skills!I6/Skills!H6,1)+IF(Skills!H6&gt;0,MIN(Skills!I6,MAX(0,MAX(0,Inputs!$B$43-B657)-((R624-1)*IF(Inputs!$B$38="pvp",15,MAX(0.1,Skills!D6-IF(Skills!E6=TRUE,Inputs!$B$32,0))))))/Skills!H6,1)))/Inputs!$B$43),G624*Q624))*IF(Inputs!$B$38="pvp",1,1+(Inputs!$B$20+0+Skills!P6)/100),0)</f>
        <v/>
      </c>
      <c r="V624">
        <f>IF(C624,(H624*N624*IF(AND(Inputs!$B$38&lt;&gt;"pvp",Inputs!$B$43&gt;0),((Skills!G6*((R624-1)*IF(Skills!H6&gt;0,Skills!I6/Skills!H6,1)+IF(Skills!H6&gt;0,MIN(Skills!I6,MAX(0,MAX(0,Inputs!$B$43-B657)-((R624-1)*IF(Inputs!$B$38="pvp",15,MAX(0.1,Skills!D6-IF(Skills!E6=TRUE,Inputs!$B$32,0))))))/Skills!H6,1)))/Inputs!$B$43),G624*Q624))*IF(Inputs!$B$38="pvp",1,(1+(Inputs!$B$21+Skills!Q6)/100)*(MIN(Skills!R6,Inputs!$B$37))),0)</f>
        <v/>
      </c>
    </row>
    <row r="625">
      <c r="A625">
        <f>Skills!A7</f>
        <v/>
      </c>
      <c r="B625">
        <f>Skills!B7</f>
        <v/>
      </c>
      <c r="C625">
        <f>Inputs!$B$3&gt;=69</f>
        <v/>
      </c>
      <c r="D625">
        <f>IF(Skills!C7=1,60+Inputs!$B$25+Inputs!$B$29,IF(Skills!C7=2,90+Inputs!$B$26+Inputs!$B$29,IF(Skills!C7=3,120+Inputs!$B$27+Inputs!$B$29,MAX(0,(Inputs!$B$3-100)*3)+Inputs!$B$28+Inputs!$B$29)))</f>
        <v/>
      </c>
      <c r="E625">
        <f>INDEX(FactorTable!$B$2:$Y$301, MATCH(ROUND(MIN(300,MAX(1,D625)),0), FactorTable!$A$2:$A$301,0), Skills!M7+1)</f>
        <v/>
      </c>
      <c r="F625">
        <f>IF(Skills!N7=TRUE,(Skills!L7/10)*(E625/1000),Skills!L7/10)+Skills!O7</f>
        <v/>
      </c>
      <c r="G625">
        <f>Skills!G7*IF(Skills!H7&gt;0,Skills!I7/Skills!H7,1)</f>
        <v/>
      </c>
      <c r="H625">
        <f>1-(1-Skills!J7/100)^Skills!K7</f>
        <v/>
      </c>
      <c r="I625" t="inlineStr">
        <is>
          <t>1</t>
        </is>
      </c>
      <c r="J625">
        <f>((Inputs!$B$6*(1+Inputs!$B$7/100))+(((Inputs!$B$12*(1+Inputs!$B$13/100))-(Inputs!$B$12*(1+Inputs!$B$13/100)))+0.25*(Inputs!$B$14-Inputs!$B$14))*(1+Inputs!$B$7/100))*(F625/100)</f>
        <v/>
      </c>
      <c r="K625">
        <f>J625*(1+((Inputs!$B$12*(1+Inputs!$B$13/100))*0.01+Inputs!$B$14*0.0025)/100)*(1+Inputs!$B$15/100)*(1+Inputs!$B$16/100)*(5000/(6000+Inputs!$B$42*(1-(((1-(1-Inputs!$B$19/100)*(1-1/100))*100)+0)/100)))*(1+(Inputs!$B$24+((C642=TRUE)*(F642-Calc!F24))+((C643=TRUE)*(F643-Calc!F25))+B656)/100)*(1+1.2*IF(C626=TRUE,F626,0)/100)*(1+(IF(Skills!A7="EMPOWERED_PIERCING_ARROW",Inputs!$B$17+((C640=TRUE)*(F640-Calc!F22)),Inputs!$B$18+((C645=TRUE)*(F645-Calc!F27))))/100)*((1+(((C631=TRUE)*F631)+((C632=TRUE)*IF(Inputs!$B$38="pvp",F632,(1-Summary!$B$55)*(F632)+Summary!$B$55*(0)))+((C633=TRUE)*F633*IF(AND(Inputs!$B$38&lt;&gt;"pvp",Inputs!$B$43&gt;0),(((R633-1)*(Skills!T15*(1+Inputs!$B$34/100))+MIN((Skills!T15*(1+Inputs!$B$34/100)),MAX(0,Inputs!$B$43-((R633-1)*Skills!D15))))/Inputs!$B$43),IF(Inputs!$B$38="pvp",MIN((Skills!T15*(1+Inputs!$B$34/100)),15)/15,(Skills!T15*(1+Inputs!$B$34/100))/Skills!D15)))+((C630=TRUE)*F630)+((C647=TRUE)*(F647-Calc!F29)))/100)*I625)</f>
        <v/>
      </c>
      <c r="L625">
        <f>K625*(MIN(Inputs!$B$22+((C641=TRUE)*(F641-Calc!F23)),Inputs!$B$23+((C646=TRUE)*(F646-Calc!F28)))/100+(Inputs!$B$23+((C646=TRUE)*(F646-Calc!F28)))/100)/2</f>
        <v/>
      </c>
      <c r="M625">
        <f>L625*(1+(Inputs!$B$10+0+B655)/100)</f>
        <v/>
      </c>
      <c r="N625">
        <f>L625*(1-MIN((Inputs!$B$9+((C637=TRUE)*(F637-Calc!F19))+B650),100)/100)+M625*(MIN((Inputs!$B$9+((C637=TRUE)*(F637-Calc!F19))+B650),100)/100)</f>
        <v/>
      </c>
      <c r="O625">
        <f>(1-Summary!$B$55)*T625+Summary!$B$55*V625</f>
        <v/>
      </c>
      <c r="P625">
        <f>IF(B660=0,0,O625/B660)</f>
        <v/>
      </c>
      <c r="Q625">
        <f>IFERROR(1/IF(Inputs!$B$38="pvp",15,MAX(0.1,Skills!D7-IF(Skills!E7=TRUE,Inputs!$B$32,0))),0)</f>
        <v/>
      </c>
      <c r="R625">
        <f>IF(AND(Inputs!$B$38&lt;&gt;"pvp",Inputs!$B$43&gt;0),IF(MAX(0,Inputs!$B$43-B657)&lt;=0,0,(INT(MAX(0,Inputs!$B$43-B657)/IF(Inputs!$B$38="pvp",15,MAX(0.1,Skills!D7-IF(Skills!E7=TRUE,Inputs!$B$32,0))))+1)),0)</f>
        <v/>
      </c>
      <c r="S625">
        <f>IFERROR((H625*N625*IF(AND(Inputs!$B$38&lt;&gt;"pvp",Inputs!$B$43&gt;0),((Skills!G7*((R625-1)*IF(Skills!H7&gt;0,Skills!I7/Skills!H7,1)+IF(Skills!H7&gt;0,MIN(Skills!I7,MAX(0,MAX(0,Inputs!$B$43-B657)-((R625-1)*IF(Inputs!$B$38="pvp",15,MAX(0.1,Skills!D7-IF(Skills!E7=TRUE,Inputs!$B$32,0))))))/Skills!H7,1)))/Inputs!$B$43),G625*Q625))/N625*IF(Inputs!$B$38="pvp",1,(1-Summary!$B$55)*1+Summary!$B$55*(MIN(Skills!R7,Inputs!$B$37))),0)</f>
        <v/>
      </c>
      <c r="T625">
        <f>IF(C625,(H625*N625*IF(AND(Inputs!$B$38&lt;&gt;"pvp",Inputs!$B$43&gt;0),((Skills!G7*((R625-1)*IF(Skills!H7&gt;0,Skills!I7/Skills!H7,1)+IF(Skills!H7&gt;0,MIN(Skills!I7,MAX(0,MAX(0,Inputs!$B$43-B657)-((R625-1)*IF(Inputs!$B$38="pvp",15,MAX(0.1,Skills!D7-IF(Skills!E7=TRUE,Inputs!$B$32,0))))))/Skills!H7,1)))/Inputs!$B$43),G625*Q625))*IF(Inputs!$B$38="pvp",1,1+(Inputs!$B$20+0+Skills!P7)/100),0)</f>
        <v/>
      </c>
      <c r="V625">
        <f>IF(C625,(H625*N625*IF(AND(Inputs!$B$38&lt;&gt;"pvp",Inputs!$B$43&gt;0),((Skills!G7*((R625-1)*IF(Skills!H7&gt;0,Skills!I7/Skills!H7,1)+IF(Skills!H7&gt;0,MIN(Skills!I7,MAX(0,MAX(0,Inputs!$B$43-B657)-((R625-1)*IF(Inputs!$B$38="pvp",15,MAX(0.1,Skills!D7-IF(Skills!E7=TRUE,Inputs!$B$32,0))))))/Skills!H7,1)))/Inputs!$B$43),G625*Q625))*IF(Inputs!$B$38="pvp",1,(1+(Inputs!$B$21+Skills!Q7)/100)*(MIN(Skills!R7,Inputs!$B$37))),0)</f>
        <v/>
      </c>
    </row>
    <row r="626">
      <c r="A626">
        <f>Skills!A8</f>
        <v/>
      </c>
      <c r="B626">
        <f>Skills!B8</f>
        <v/>
      </c>
      <c r="C626">
        <f>Inputs!$B$3&gt;=100</f>
        <v/>
      </c>
      <c r="D626">
        <f>IF(Skills!C8=1,60+Inputs!$B$25+Inputs!$B$29,IF(Skills!C8=2,90+Inputs!$B$26+Inputs!$B$29,IF(Skills!C8=3,120+Inputs!$B$27+Inputs!$B$29,MAX(0,(Inputs!$B$3-100)*3)+Inputs!$B$28+Inputs!$B$29)))</f>
        <v/>
      </c>
      <c r="E626">
        <f>INDEX(FactorTable!$B$2:$Y$301, MATCH(ROUND(MIN(300,MAX(1,D626)),0), FactorTable!$A$2:$A$301,0), Skills!M8+1)</f>
        <v/>
      </c>
      <c r="F626">
        <f>IF(Skills!N8=TRUE,(Skills!L8/10)*(E626/1000),Skills!L8/10)+Skills!O8</f>
        <v/>
      </c>
      <c r="G626" t="inlineStr"/>
      <c r="H626" t="inlineStr"/>
      <c r="I626" t="inlineStr">
        <is>
          <t>1</t>
        </is>
      </c>
      <c r="J626" t="inlineStr"/>
      <c r="K626" t="inlineStr"/>
      <c r="L626" t="inlineStr"/>
      <c r="M626" t="inlineStr"/>
      <c r="N626" t="inlineStr"/>
      <c r="O626" t="inlineStr"/>
      <c r="P626" t="inlineStr"/>
      <c r="Q626" t="inlineStr"/>
      <c r="R626" t="inlineStr"/>
      <c r="S626" t="inlineStr"/>
      <c r="T626" t="inlineStr"/>
      <c r="V626" t="inlineStr"/>
    </row>
    <row r="627">
      <c r="A627">
        <f>Skills!A9</f>
        <v/>
      </c>
      <c r="B627">
        <f>Skills!B9</f>
        <v/>
      </c>
      <c r="C627">
        <f>Inputs!$B$3&gt;=103</f>
        <v/>
      </c>
      <c r="D627">
        <f>IF(Skills!C9=1,60+Inputs!$B$25+Inputs!$B$29,IF(Skills!C9=2,90+Inputs!$B$26+Inputs!$B$29,IF(Skills!C9=3,120+Inputs!$B$27+Inputs!$B$29,MAX(0,(Inputs!$B$3-100)*3)+Inputs!$B$28+Inputs!$B$29)))</f>
        <v/>
      </c>
      <c r="E627">
        <f>INDEX(FactorTable!$B$2:$Y$301, MATCH(ROUND(MIN(300,MAX(1,D627)),0), FactorTable!$A$2:$A$301,0), Skills!M9+1)</f>
        <v/>
      </c>
      <c r="F627">
        <f>IF(Skills!N9=TRUE,(Skills!L9/10)*(E627/1000),Skills!L9/10)+Skills!O9</f>
        <v/>
      </c>
      <c r="G627">
        <f>Skills!G9*IF(Skills!H9&gt;0,Skills!I9/Skills!H9,1)</f>
        <v/>
      </c>
      <c r="H627">
        <f>1-(1-Skills!J9/100)^Skills!K9</f>
        <v/>
      </c>
      <c r="I627" t="inlineStr">
        <is>
          <t>1</t>
        </is>
      </c>
      <c r="J627">
        <f>((Inputs!$B$6*(1+Inputs!$B$7/100))+(((Inputs!$B$12*(1+Inputs!$B$13/100))-(Inputs!$B$12*(1+Inputs!$B$13/100)))+0.25*(Inputs!$B$14-Inputs!$B$14))*(1+Inputs!$B$7/100))*(F627/100)</f>
        <v/>
      </c>
      <c r="K627">
        <f>J627*(1+((Inputs!$B$12*(1+Inputs!$B$13/100))*0.01+Inputs!$B$14*0.0025)/100)*(1+Inputs!$B$15/100)*(1+Inputs!$B$16/100)*(5000/(6000+Inputs!$B$42*(1-(((1-(1-Inputs!$B$19/100)*(1-1/100))*100)+0)/100)))*(1+(Inputs!$B$24+((C642=TRUE)*(F642-Calc!F24))+((C643=TRUE)*(F643-Calc!F25))+B656)/100)*(1+(IF(Skills!A9="EMPOWERED_PIERCING_ARROW",Inputs!$B$17+((C640=TRUE)*(F640-Calc!F22)),Inputs!$B$18+((C645=TRUE)*(F645-Calc!F27))))/100)*((1+(((C631=TRUE)*F631)+((C632=TRUE)*IF(Inputs!$B$38="pvp",F632,(1-Summary!$B$55)*(F632)+Summary!$B$55*(0)))+((C633=TRUE)*F633*IF(AND(Inputs!$B$38&lt;&gt;"pvp",Inputs!$B$43&gt;0),(((R633-1)*(Skills!T15*(1+Inputs!$B$34/100))+MIN((Skills!T15*(1+Inputs!$B$34/100)),MAX(0,Inputs!$B$43-((R633-1)*Skills!D15))))/Inputs!$B$43),IF(Inputs!$B$38="pvp",MIN((Skills!T15*(1+Inputs!$B$34/100)),15)/15,(Skills!T15*(1+Inputs!$B$34/100))/Skills!D15)))+((C630=TRUE)*F630)+((C647=TRUE)*(F647-Calc!F29)))/100)*I627)</f>
        <v/>
      </c>
      <c r="L627">
        <f>K627*(MIN(Inputs!$B$22+((C641=TRUE)*(F641-Calc!F23)),Inputs!$B$23+((C646=TRUE)*(F646-Calc!F28)))/100+(Inputs!$B$23+((C646=TRUE)*(F646-Calc!F28)))/100)/2</f>
        <v/>
      </c>
      <c r="M627">
        <f>L627*(1+(Inputs!$B$10+0+B655)/100)</f>
        <v/>
      </c>
      <c r="N627">
        <f>L627*(1-MIN((Inputs!$B$9+((C637=TRUE)*(F637-Calc!F19))+B650),100)/100)+M627*(MIN((Inputs!$B$9+((C637=TRUE)*(F637-Calc!F19))+B650),100)/100)</f>
        <v/>
      </c>
      <c r="O627">
        <f>(1-Summary!$B$55)*T627+Summary!$B$55*V627</f>
        <v/>
      </c>
      <c r="P627">
        <f>IF(B660=0,0,O627/B660)</f>
        <v/>
      </c>
      <c r="Q627">
        <f>IFERROR(1/IF(Inputs!$B$38="pvp",15,MAX(0.1,Skills!D9-IF(Skills!E9=TRUE,Inputs!$B$32,0))),0)</f>
        <v/>
      </c>
      <c r="R627">
        <f>IF(AND(Inputs!$B$38&lt;&gt;"pvp",Inputs!$B$43&gt;0),IF(MAX(0,Inputs!$B$43-B657)&lt;=0,0,(INT(MAX(0,Inputs!$B$43-B657)/IF(Inputs!$B$38="pvp",15,MAX(0.1,Skills!D9-IF(Skills!E9=TRUE,Inputs!$B$32,0))))+1)),0)</f>
        <v/>
      </c>
      <c r="S627">
        <f>IFERROR((H627*N627*IF(AND(Inputs!$B$38&lt;&gt;"pvp",Inputs!$B$43&gt;0),((Skills!G9*((R627-1)*IF(Skills!H9&gt;0,Skills!I9/Skills!H9,1)+IF(Skills!H9&gt;0,MIN(Skills!I9,MAX(0,MAX(0,Inputs!$B$43-B657)-((R627-1)*IF(Inputs!$B$38="pvp",15,MAX(0.1,Skills!D9-IF(Skills!E9=TRUE,Inputs!$B$32,0))))))/Skills!H9,1)))/Inputs!$B$43),G627*Q627))/N627*IF(Inputs!$B$38="pvp",1,(1-Summary!$B$55)*1+Summary!$B$55*(MIN(Skills!R9,Inputs!$B$37))),0)</f>
        <v/>
      </c>
      <c r="T627">
        <f>IF(C627,(H627*N627*IF(AND(Inputs!$B$38&lt;&gt;"pvp",Inputs!$B$43&gt;0),((Skills!G9*((R627-1)*IF(Skills!H9&gt;0,Skills!I9/Skills!H9,1)+IF(Skills!H9&gt;0,MIN(Skills!I9,MAX(0,MAX(0,Inputs!$B$43-B657)-((R627-1)*IF(Inputs!$B$38="pvp",15,MAX(0.1,Skills!D9-IF(Skills!E9=TRUE,Inputs!$B$32,0))))))/Skills!H9,1)))/Inputs!$B$43),G627*Q627))*IF(Inputs!$B$38="pvp",1,1+(Inputs!$B$20+0+Skills!P9)/100),0)</f>
        <v/>
      </c>
      <c r="V627">
        <f>IF(C627,(H627*N627*IF(AND(Inputs!$B$38&lt;&gt;"pvp",Inputs!$B$43&gt;0),((Skills!G9*((R627-1)*IF(Skills!H9&gt;0,Skills!I9/Skills!H9,1)+IF(Skills!H9&gt;0,MIN(Skills!I9,MAX(0,MAX(0,Inputs!$B$43-B657)-((R627-1)*IF(Inputs!$B$38="pvp",15,MAX(0.1,Skills!D9-IF(Skills!E9=TRUE,Inputs!$B$32,0))))))/Skills!H9,1)))/Inputs!$B$43),G627*Q627))*IF(Inputs!$B$38="pvp",1,(1+(Inputs!$B$21+Skills!Q9)/100)*(MIN(Skills!R9,Inputs!$B$37))),0)</f>
        <v/>
      </c>
    </row>
    <row r="628">
      <c r="A628">
        <f>Skills!A10</f>
        <v/>
      </c>
      <c r="B628">
        <f>Skills!B10</f>
        <v/>
      </c>
      <c r="C628">
        <f>Inputs!$B$3&gt;=107</f>
        <v/>
      </c>
      <c r="D628">
        <f>IF(Skills!C10=1,60+Inputs!$B$25+Inputs!$B$29,IF(Skills!C10=2,90+Inputs!$B$26+Inputs!$B$29,IF(Skills!C10=3,120+Inputs!$B$27+Inputs!$B$29,MAX(0,(Inputs!$B$3-100)*3)+Inputs!$B$28+Inputs!$B$29)))</f>
        <v/>
      </c>
      <c r="E628">
        <f>INDEX(FactorTable!$B$2:$Y$301, MATCH(ROUND(MIN(300,MAX(1,D628)),0), FactorTable!$A$2:$A$301,0), Skills!M10+1)</f>
        <v/>
      </c>
      <c r="F628">
        <f>IF(Skills!N10=TRUE,(Skills!L10/10)*(E628/1000),Skills!L10/10)+Skills!O10</f>
        <v/>
      </c>
      <c r="G628">
        <f>Skills!G10*IF(Skills!H10&gt;0,Skills!I10/Skills!H10,1)</f>
        <v/>
      </c>
      <c r="H628">
        <f>1-(1-Skills!J10/100)^Skills!K10</f>
        <v/>
      </c>
      <c r="I628" t="inlineStr">
        <is>
          <t>1</t>
        </is>
      </c>
      <c r="J628">
        <f>((Inputs!$B$6*(1+Inputs!$B$7/100))+(((Inputs!$B$12*(1+Inputs!$B$13/100))-(Inputs!$B$12*(1+Inputs!$B$13/100)))+0.25*(Inputs!$B$14-Inputs!$B$14))*(1+Inputs!$B$7/100))*(F628/100)</f>
        <v/>
      </c>
      <c r="K628">
        <f>J628*(1+((Inputs!$B$12*(1+Inputs!$B$13/100))*0.01+Inputs!$B$14*0.0025)/100)*(1+Inputs!$B$15/100)*(1+Inputs!$B$16/100)*(5000/(6000+Inputs!$B$42*(1-(((1-(1-Inputs!$B$19/100)*(1-1/100))*100)+0)/100)))*(1+(Inputs!$B$24+((C642=TRUE)*(F642-Calc!F24))+((C643=TRUE)*(F643-Calc!F25))+B656)/100)*(1+(IF(Skills!A10="EMPOWERED_PIERCING_ARROW",Inputs!$B$17+((C640=TRUE)*(F640-Calc!F22)),Inputs!$B$18+((C645=TRUE)*(F645-Calc!F27))))/100)*((1+(((C631=TRUE)*F631)+((C632=TRUE)*IF(Inputs!$B$38="pvp",F632,(1-Summary!$B$55)*(F632)+Summary!$B$55*(0)))+((C633=TRUE)*F633*IF(AND(Inputs!$B$38&lt;&gt;"pvp",Inputs!$B$43&gt;0),(((R633-1)*(Skills!T15*(1+Inputs!$B$34/100))+MIN((Skills!T15*(1+Inputs!$B$34/100)),MAX(0,Inputs!$B$43-((R633-1)*Skills!D15))))/Inputs!$B$43),IF(Inputs!$B$38="pvp",MIN((Skills!T15*(1+Inputs!$B$34/100)),15)/15,(Skills!T15*(1+Inputs!$B$34/100))/Skills!D15)))+((C630=TRUE)*F630)+((C647=TRUE)*(F647-Calc!F29)))/100)*I628)</f>
        <v/>
      </c>
      <c r="L628">
        <f>K628*(MIN(Inputs!$B$22+((C641=TRUE)*(F641-Calc!F23)),Inputs!$B$23+((C646=TRUE)*(F646-Calc!F28)))/100+(Inputs!$B$23+((C646=TRUE)*(F646-Calc!F28)))/100)/2</f>
        <v/>
      </c>
      <c r="M628">
        <f>L628*(1+(Inputs!$B$10+0+B655)/100)</f>
        <v/>
      </c>
      <c r="N628">
        <f>L628*(1-MIN((Inputs!$B$9+((C637=TRUE)*(F637-Calc!F19))+B650),100)/100)+M628*(MIN((Inputs!$B$9+((C637=TRUE)*(F637-Calc!F19))+B650),100)/100)</f>
        <v/>
      </c>
      <c r="O628">
        <f>(1-Summary!$B$55)*T628+Summary!$B$55*V628</f>
        <v/>
      </c>
      <c r="P628">
        <f>IF(B660=0,0,O628/B660)</f>
        <v/>
      </c>
      <c r="Q628" t="n">
        <v>0</v>
      </c>
      <c r="R628" t="n">
        <v>0</v>
      </c>
      <c r="S628" t="n">
        <v>0</v>
      </c>
      <c r="T628">
        <f>IF(C628,(0.15*SUMPRODUCT((Skills!U2:U29=TRUE)*(C620:C647=TRUE)*S620:S647)*Skills!G10*N628)*IF(Inputs!$B$38="pvp",1,1+(Inputs!$B$20+0+Skills!P10)/100),0)</f>
        <v/>
      </c>
      <c r="V628">
        <f>IF(C628,(0.15*SUMPRODUCT((Skills!U2:U29=TRUE)*(C620:C647=TRUE)*S620:S647)*Skills!G10*N628)*IF(Inputs!$B$38="pvp",1,(1+(Inputs!$B$21+Skills!Q10)/100)*(MIN(Skills!R10,Inputs!$B$37))),0)</f>
        <v/>
      </c>
    </row>
    <row r="629">
      <c r="A629">
        <f>Skills!A11</f>
        <v/>
      </c>
      <c r="B629">
        <f>Skills!B11</f>
        <v/>
      </c>
      <c r="C629">
        <f>Inputs!$B$3&gt;=110</f>
        <v/>
      </c>
      <c r="D629">
        <f>IF(Skills!C11=1,60+Inputs!$B$25+Inputs!$B$29,IF(Skills!C11=2,90+Inputs!$B$26+Inputs!$B$29,IF(Skills!C11=3,120+Inputs!$B$27+Inputs!$B$29,MAX(0,(Inputs!$B$3-100)*3)+Inputs!$B$28+Inputs!$B$29)))</f>
        <v/>
      </c>
      <c r="E629">
        <f>INDEX(FactorTable!$B$2:$Y$301, MATCH(ROUND(MIN(300,MAX(1,D629)),0), FactorTable!$A$2:$A$301,0), Skills!M11+1)</f>
        <v/>
      </c>
      <c r="F629">
        <f>IF(Skills!N11=TRUE,(Skills!L11/10)*(E629/1000),Skills!L11/10)+Skills!O11</f>
        <v/>
      </c>
      <c r="G629">
        <f>Skills!G11*IF(Skills!H11&gt;0,Skills!I11/Skills!H11,1)</f>
        <v/>
      </c>
      <c r="H629">
        <f>1-(1-Skills!J11/100)^Skills!K11</f>
        <v/>
      </c>
      <c r="I629" t="inlineStr">
        <is>
          <t>1</t>
        </is>
      </c>
      <c r="J629">
        <f>((Inputs!$B$6*(1+Inputs!$B$7/100))+(((Inputs!$B$12*(1+Inputs!$B$13/100))-(Inputs!$B$12*(1+Inputs!$B$13/100)))+0.25*(Inputs!$B$14-Inputs!$B$14))*(1+Inputs!$B$7/100))*(F629/100)</f>
        <v/>
      </c>
      <c r="K629">
        <f>J629*(1+((Inputs!$B$12*(1+Inputs!$B$13/100))*0.01+Inputs!$B$14*0.0025)/100)*(1+Inputs!$B$15/100)*(1+Inputs!$B$16/100)*(5000/(6000+Inputs!$B$42*(1-(((1-(1-Inputs!$B$19/100)*(1-1/100))*100)+0)/100)))*(1+(Inputs!$B$24+((C642=TRUE)*(F642-Calc!F24))+((C643=TRUE)*(F643-Calc!F25))+B656)/100)*(1+(IF(Skills!A11="EMPOWERED_PIERCING_ARROW",Inputs!$B$17+((C640=TRUE)*(F640-Calc!F22)),Inputs!$B$18+((C645=TRUE)*(F645-Calc!F27))))/100)*((1+(((C631=TRUE)*F631)+((C632=TRUE)*IF(Inputs!$B$38="pvp",F632,(1-Summary!$B$55)*(F632)+Summary!$B$55*(0)))+((C633=TRUE)*F633*IF(AND(Inputs!$B$38&lt;&gt;"pvp",Inputs!$B$43&gt;0),(((R633-1)*(Skills!T15*(1+Inputs!$B$34/100))+MIN((Skills!T15*(1+Inputs!$B$34/100)),MAX(0,Inputs!$B$43-((R633-1)*Skills!D15))))/Inputs!$B$43),IF(Inputs!$B$38="pvp",MIN((Skills!T15*(1+Inputs!$B$34/100)),15)/15,(Skills!T15*(1+Inputs!$B$34/100))/Skills!D15)))+((C630=TRUE)*F630)+((C647=TRUE)*(F647-Calc!F29)))/100)*I629)</f>
        <v/>
      </c>
      <c r="L629">
        <f>K629*(MIN(Inputs!$B$22+((C641=TRUE)*(F641-Calc!F23)),Inputs!$B$23+((C646=TRUE)*(F646-Calc!F28)))/100+(Inputs!$B$23+((C646=TRUE)*(F646-Calc!F28)))/100)/2</f>
        <v/>
      </c>
      <c r="M629">
        <f>L629*(1+(Inputs!$B$10+0+B655)/100)</f>
        <v/>
      </c>
      <c r="N629">
        <f>L629*(1-MIN((Inputs!$B$9+((C637=TRUE)*(F637-Calc!F19))+B650),100)/100)+M629*(MIN((Inputs!$B$9+((C637=TRUE)*(F637-Calc!F19))+B650),100)/100)</f>
        <v/>
      </c>
      <c r="O629">
        <f>(1-Summary!$B$55)*T629+Summary!$B$55*V629</f>
        <v/>
      </c>
      <c r="P629">
        <f>IF(B660=0,0,O629/B660)</f>
        <v/>
      </c>
      <c r="Q629">
        <f>IFERROR(1/IF(Inputs!$B$38="pvp",15,MAX(0.1,Skills!D11-IF(Skills!E11=TRUE,Inputs!$B$32,0))),0)</f>
        <v/>
      </c>
      <c r="R629">
        <f>IF(AND(Inputs!$B$38&lt;&gt;"pvp",Inputs!$B$43&gt;0),IF(MAX(0,Inputs!$B$43-B657)&lt;=0,0,(INT(MAX(0,Inputs!$B$43-B657)/IF(Inputs!$B$38="pvp",15,MAX(0.1,Skills!D11-IF(Skills!E11=TRUE,Inputs!$B$32,0))))+1)),0)</f>
        <v/>
      </c>
      <c r="S629">
        <f>IFERROR((H629*N629*IF(AND(Inputs!$B$38&lt;&gt;"pvp",Inputs!$B$43&gt;0),((Skills!G11*((R629-1)*IF(Skills!H11&gt;0,Skills!I11/Skills!H11,1)+IF(Skills!H11&gt;0,MIN(Skills!I11,MAX(0,MAX(0,Inputs!$B$43-B657)-((R629-1)*IF(Inputs!$B$38="pvp",15,MAX(0.1,Skills!D11-IF(Skills!E11=TRUE,Inputs!$B$32,0))))))/Skills!H11,1)))/Inputs!$B$43),G629*Q629))/N629*IF(Inputs!$B$38="pvp",1,(1-Summary!$B$55)*1+Summary!$B$55*(MIN(Skills!R11,Inputs!$B$37))),0)</f>
        <v/>
      </c>
      <c r="T629">
        <f>IF(C629,(H629*N629*IF(AND(Inputs!$B$38&lt;&gt;"pvp",Inputs!$B$43&gt;0),((Skills!G11*((R629-1)*IF(Skills!H11&gt;0,Skills!I11/Skills!H11,1)+IF(Skills!H11&gt;0,MIN(Skills!I11,MAX(0,MAX(0,Inputs!$B$43-B657)-((R629-1)*IF(Inputs!$B$38="pvp",15,MAX(0.1,Skills!D11-IF(Skills!E11=TRUE,Inputs!$B$32,0))))))/Skills!H11,1)))/Inputs!$B$43),G629*Q629))*IF(Inputs!$B$38="pvp",1,1+(Inputs!$B$20+0+Skills!P11)/100),0)</f>
        <v/>
      </c>
      <c r="V629">
        <f>IF(C629,(H629*N629*IF(AND(Inputs!$B$38&lt;&gt;"pvp",Inputs!$B$43&gt;0),((Skills!G11*((R629-1)*IF(Skills!H11&gt;0,Skills!I11/Skills!H11,1)+IF(Skills!H11&gt;0,MIN(Skills!I11,MAX(0,MAX(0,Inputs!$B$43-B657)-((R629-1)*IF(Inputs!$B$38="pvp",15,MAX(0.1,Skills!D11-IF(Skills!E11=TRUE,Inputs!$B$32,0))))))/Skills!H11,1)))/Inputs!$B$43),G629*Q629))*IF(Inputs!$B$38="pvp",1,(1+(Inputs!$B$21+Skills!Q11)/100)*(MIN(Skills!R11,Inputs!$B$37))),0)</f>
        <v/>
      </c>
    </row>
    <row r="630">
      <c r="A630">
        <f>Skills!A12</f>
        <v/>
      </c>
      <c r="B630">
        <f>Skills!B12</f>
        <v/>
      </c>
      <c r="C630">
        <f>Inputs!$B$3&gt;=60</f>
        <v/>
      </c>
      <c r="D630">
        <f>IF(Skills!C12=1,60+Inputs!$B$25+Inputs!$B$29,IF(Skills!C12=2,90+Inputs!$B$26+Inputs!$B$29,IF(Skills!C12=3,120+Inputs!$B$27+Inputs!$B$29,MAX(0,(Inputs!$B$3-100)*3)+Inputs!$B$28+Inputs!$B$29)))</f>
        <v/>
      </c>
      <c r="E630">
        <f>INDEX(FactorTable!$B$2:$Y$301, MATCH(ROUND(MIN(300,MAX(1,D630)),0), FactorTable!$A$2:$A$301,0), Skills!M12+1)</f>
        <v/>
      </c>
      <c r="F630">
        <f>IF(Skills!N12=TRUE,(Skills!L12/10)*(E630/1000),Skills!L12/10)+Skills!O12</f>
        <v/>
      </c>
      <c r="G630">
        <f>Skills!G12*IF(Skills!H12&gt;0,Skills!I12/Skills!H12,1)</f>
        <v/>
      </c>
      <c r="H630">
        <f>1-(1-Skills!J12/100)^Skills!K12</f>
        <v/>
      </c>
      <c r="I630" t="inlineStr">
        <is>
          <t>1</t>
        </is>
      </c>
      <c r="J630" t="inlineStr"/>
      <c r="K630" t="inlineStr"/>
      <c r="L630" t="inlineStr"/>
      <c r="M630" t="inlineStr"/>
      <c r="N630" t="inlineStr"/>
      <c r="O630">
        <f>(1-Summary!$B$55)*T630+Summary!$B$55*V630</f>
        <v/>
      </c>
      <c r="P630">
        <f>IF(B660=0,0,O630/B660)</f>
        <v/>
      </c>
      <c r="Q630" t="n">
        <v>0</v>
      </c>
      <c r="R630" t="n">
        <v>0</v>
      </c>
      <c r="S630" t="n">
        <v>0</v>
      </c>
      <c r="T630" t="n">
        <v>0</v>
      </c>
      <c r="V630" t="n">
        <v>0</v>
      </c>
    </row>
    <row r="631">
      <c r="A631">
        <f>Skills!A13</f>
        <v/>
      </c>
      <c r="B631">
        <f>Skills!B13</f>
        <v/>
      </c>
      <c r="C631">
        <f>Inputs!$B$3&gt;=74</f>
        <v/>
      </c>
      <c r="D631">
        <f>IF(Skills!C13=1,60+Inputs!$B$25+Inputs!$B$29,IF(Skills!C13=2,90+Inputs!$B$26+Inputs!$B$29,IF(Skills!C13=3,120+Inputs!$B$27+Inputs!$B$29,MAX(0,(Inputs!$B$3-100)*3)+Inputs!$B$28+Inputs!$B$29)))</f>
        <v/>
      </c>
      <c r="E631">
        <f>INDEX(FactorTable!$B$2:$Y$301, MATCH(ROUND(MIN(300,MAX(1,D631)),0), FactorTable!$A$2:$A$301,0), Skills!M13+1)</f>
        <v/>
      </c>
      <c r="F631">
        <f>IF(Skills!N13=TRUE,(Skills!L13/10)*(E631/1000),Skills!L13/10)+Skills!O13</f>
        <v/>
      </c>
      <c r="G631">
        <f>Skills!G13*IF(Skills!H13&gt;0,Skills!I13/Skills!H13,1)</f>
        <v/>
      </c>
      <c r="H631">
        <f>1-(1-Skills!J13/100)^Skills!K13</f>
        <v/>
      </c>
      <c r="I631" t="inlineStr">
        <is>
          <t>1</t>
        </is>
      </c>
      <c r="J631" t="inlineStr"/>
      <c r="K631" t="inlineStr"/>
      <c r="L631" t="inlineStr"/>
      <c r="M631" t="inlineStr"/>
      <c r="N631" t="inlineStr"/>
      <c r="O631">
        <f>(1-Summary!$B$55)*T631+Summary!$B$55*V631</f>
        <v/>
      </c>
      <c r="P631">
        <f>IF(B660=0,0,O631/B660)</f>
        <v/>
      </c>
      <c r="Q631" t="n">
        <v>0</v>
      </c>
      <c r="R631" t="n">
        <v>0</v>
      </c>
      <c r="S631" t="n">
        <v>0</v>
      </c>
      <c r="T631" t="n">
        <v>0</v>
      </c>
      <c r="V631" t="n">
        <v>0</v>
      </c>
    </row>
    <row r="632">
      <c r="A632">
        <f>Skills!A14</f>
        <v/>
      </c>
      <c r="B632">
        <f>Skills!B14</f>
        <v/>
      </c>
      <c r="C632">
        <f>Inputs!$B$3&gt;=74</f>
        <v/>
      </c>
      <c r="D632">
        <f>IF(Skills!C14=1,60+Inputs!$B$25+Inputs!$B$29,IF(Skills!C14=2,90+Inputs!$B$26+Inputs!$B$29,IF(Skills!C14=3,120+Inputs!$B$27+Inputs!$B$29,MAX(0,(Inputs!$B$3-100)*3)+Inputs!$B$28+Inputs!$B$29)))</f>
        <v/>
      </c>
      <c r="E632">
        <f>INDEX(FactorTable!$B$2:$Y$301, MATCH(ROUND(MIN(300,MAX(1,D632)),0), FactorTable!$A$2:$A$301,0), Skills!M14+1)</f>
        <v/>
      </c>
      <c r="F632">
        <f>IF(Skills!N14=TRUE,(Skills!L14/10)*(E632/1000),Skills!L14/10)+Skills!O14</f>
        <v/>
      </c>
      <c r="G632">
        <f>Skills!G14*IF(Skills!H14&gt;0,Skills!I14/Skills!H14,1)</f>
        <v/>
      </c>
      <c r="H632">
        <f>1-(1-Skills!J14/100)^Skills!K14</f>
        <v/>
      </c>
      <c r="I632" t="inlineStr">
        <is>
          <t>1</t>
        </is>
      </c>
      <c r="J632" t="inlineStr"/>
      <c r="K632" t="inlineStr"/>
      <c r="L632" t="inlineStr"/>
      <c r="M632" t="inlineStr"/>
      <c r="N632" t="inlineStr"/>
      <c r="O632">
        <f>(1-Summary!$B$55)*T632+Summary!$B$55*V632</f>
        <v/>
      </c>
      <c r="P632">
        <f>IF(B660=0,0,O632/B660)</f>
        <v/>
      </c>
      <c r="Q632" t="n">
        <v>0</v>
      </c>
      <c r="R632" t="n">
        <v>0</v>
      </c>
      <c r="S632" t="n">
        <v>0</v>
      </c>
      <c r="T632" t="n">
        <v>0</v>
      </c>
      <c r="V632" t="n">
        <v>0</v>
      </c>
    </row>
    <row r="633">
      <c r="A633">
        <f>Skills!A15</f>
        <v/>
      </c>
      <c r="B633">
        <f>Skills!B15</f>
        <v/>
      </c>
      <c r="C633">
        <f>Inputs!$B$3&gt;=117</f>
        <v/>
      </c>
      <c r="D633">
        <f>IF(Skills!C15=1,60+Inputs!$B$25+Inputs!$B$29,IF(Skills!C15=2,90+Inputs!$B$26+Inputs!$B$29,IF(Skills!C15=3,120+Inputs!$B$27+Inputs!$B$29,MAX(0,(Inputs!$B$3-100)*3)+Inputs!$B$28+Inputs!$B$29)))</f>
        <v/>
      </c>
      <c r="E633">
        <f>INDEX(FactorTable!$B$2:$Y$301, MATCH(ROUND(MIN(300,MAX(1,D633)),0), FactorTable!$A$2:$A$301,0), Skills!M15+1)</f>
        <v/>
      </c>
      <c r="F633">
        <f>IF(Skills!N15=TRUE,(Skills!L15/10)*(E633/1000),Skills!L15/10)+Skills!O15</f>
        <v/>
      </c>
      <c r="G633">
        <f>Skills!G15*IF(Skills!H15&gt;0,Skills!I15/Skills!H15,1)</f>
        <v/>
      </c>
      <c r="H633">
        <f>1-(1-Skills!J15/100)^Skills!K15</f>
        <v/>
      </c>
      <c r="I633" t="inlineStr">
        <is>
          <t>1</t>
        </is>
      </c>
      <c r="J633" t="inlineStr"/>
      <c r="K633" t="inlineStr"/>
      <c r="L633" t="inlineStr"/>
      <c r="M633" t="inlineStr"/>
      <c r="N633" t="inlineStr"/>
      <c r="O633">
        <f>(1-Summary!$B$55)*T633+Summary!$B$55*V633</f>
        <v/>
      </c>
      <c r="P633">
        <f>IF(B660=0,0,O633/B660)</f>
        <v/>
      </c>
      <c r="Q633">
        <f>IFERROR(1/IF(Inputs!$B$38="pvp",15,MAX(0.1,Skills!D15-IF(Skills!E15=TRUE,Inputs!$B$32,0))),0)</f>
        <v/>
      </c>
      <c r="R633">
        <f>IF(AND(Inputs!$B$38&lt;&gt;"pvp",Inputs!$B$43&gt;0),IF(Inputs!$B$43&lt;=0,0,(INT(Inputs!$B$43/IF(Inputs!$B$38="pvp",15,MAX(0.1,Skills!D15-IF(Skills!E15=TRUE,Inputs!$B$32,0))))+1)),0)</f>
        <v/>
      </c>
      <c r="S633" t="n">
        <v>0</v>
      </c>
      <c r="T633" t="n">
        <v>0</v>
      </c>
      <c r="V633" t="n">
        <v>0</v>
      </c>
    </row>
    <row r="634">
      <c r="A634">
        <f>Skills!A16</f>
        <v/>
      </c>
      <c r="B634">
        <f>Skills!B16</f>
        <v/>
      </c>
      <c r="C634">
        <f>Inputs!$B$3&gt;=115</f>
        <v/>
      </c>
      <c r="D634">
        <f>IF(Skills!C16=1,60+Inputs!$B$25+Inputs!$B$29,IF(Skills!C16=2,90+Inputs!$B$26+Inputs!$B$29,IF(Skills!C16=3,120+Inputs!$B$27+Inputs!$B$29,MAX(0,(Inputs!$B$3-100)*3)+Inputs!$B$28+Inputs!$B$29)))</f>
        <v/>
      </c>
      <c r="E634">
        <f>INDEX(FactorTable!$B$2:$Y$301, MATCH(ROUND(MIN(300,MAX(1,D634)),0), FactorTable!$A$2:$A$301,0), Skills!M16+1)</f>
        <v/>
      </c>
      <c r="F634">
        <f>IF(Skills!N16=TRUE,(Skills!L16/10)*(E634/1000),Skills!L16/10)+Skills!O16</f>
        <v/>
      </c>
      <c r="G634">
        <f>Skills!G16*IF(Skills!H16&gt;0,Skills!I16/Skills!H16,1)</f>
        <v/>
      </c>
      <c r="H634">
        <f>1-(1-Skills!J16/100)^Skills!K16</f>
        <v/>
      </c>
      <c r="I634" t="inlineStr">
        <is>
          <t>1</t>
        </is>
      </c>
      <c r="J634" t="inlineStr"/>
      <c r="K634" t="inlineStr"/>
      <c r="L634" t="inlineStr"/>
      <c r="M634" t="inlineStr"/>
      <c r="N634" t="inlineStr"/>
      <c r="O634">
        <f>(1-Summary!$B$55)*T634+Summary!$B$55*V634</f>
        <v/>
      </c>
      <c r="P634">
        <f>IF(B660=0,0,O634/B660)</f>
        <v/>
      </c>
      <c r="Q634">
        <f>IFERROR(1/IF(Inputs!$B$38="pvp",15,MAX(0.1,Skills!D16-IF(Skills!E16=TRUE,Inputs!$B$32,0))),0)</f>
        <v/>
      </c>
      <c r="R634">
        <f>IF(AND(Inputs!$B$38&lt;&gt;"pvp",Inputs!$B$43&gt;0),IF(Inputs!$B$43&lt;=0,0,(INT(Inputs!$B$43/IF(Inputs!$B$38="pvp",15,MAX(0.1,Skills!D16-IF(Skills!E16=TRUE,Inputs!$B$32,0))))+1)),0)</f>
        <v/>
      </c>
      <c r="S634" t="n">
        <v>0</v>
      </c>
      <c r="T634" t="n">
        <v>0</v>
      </c>
      <c r="V634" t="n">
        <v>0</v>
      </c>
    </row>
    <row r="635">
      <c r="A635">
        <f>Skills!A17</f>
        <v/>
      </c>
      <c r="B635">
        <f>Skills!B17</f>
        <v/>
      </c>
      <c r="C635">
        <f>Inputs!$B$3&gt;=72</f>
        <v/>
      </c>
      <c r="D635">
        <f>IF(Skills!C17=1,60+Inputs!$B$25+Inputs!$B$29,IF(Skills!C17=2,90+Inputs!$B$26+Inputs!$B$29,IF(Skills!C17=3,120+Inputs!$B$27+Inputs!$B$29,MAX(0,(Inputs!$B$3-100)*3)+Inputs!$B$28+Inputs!$B$29)))</f>
        <v/>
      </c>
      <c r="E635">
        <f>INDEX(FactorTable!$B$2:$Y$301, MATCH(ROUND(MIN(300,MAX(1,D635)),0), FactorTable!$A$2:$A$301,0), Skills!M17+1)</f>
        <v/>
      </c>
      <c r="F635">
        <f>IF(Skills!N17=TRUE,(Skills!L17/10)*(E635/1000),Skills!L17/10)+Skills!O17</f>
        <v/>
      </c>
      <c r="G635">
        <f>Skills!G17*IF(Skills!H17&gt;0,Skills!I17/Skills!H17,1)</f>
        <v/>
      </c>
      <c r="H635">
        <f>1-(1-Skills!J17/100)^Skills!K17</f>
        <v/>
      </c>
      <c r="I635" t="inlineStr">
        <is>
          <t>1</t>
        </is>
      </c>
      <c r="J635" t="inlineStr"/>
      <c r="K635" t="inlineStr"/>
      <c r="L635" t="inlineStr"/>
      <c r="M635" t="inlineStr"/>
      <c r="N635" t="inlineStr"/>
      <c r="O635">
        <f>(1-Summary!$B$55)*T635+Summary!$B$55*V635</f>
        <v/>
      </c>
      <c r="P635">
        <f>IF(B660=0,0,O635/B660)</f>
        <v/>
      </c>
      <c r="Q635" t="n">
        <v>0</v>
      </c>
      <c r="R635" t="n">
        <v>0</v>
      </c>
      <c r="S635" t="n">
        <v>0</v>
      </c>
      <c r="T635" t="n">
        <v>0</v>
      </c>
      <c r="V635" t="n">
        <v>0</v>
      </c>
    </row>
    <row r="636">
      <c r="A636">
        <f>Skills!A18</f>
        <v/>
      </c>
      <c r="B636">
        <f>Skills!B18</f>
        <v/>
      </c>
      <c r="C636">
        <f>TRUE</f>
        <v/>
      </c>
      <c r="D636">
        <f>IF(Skills!C18=1,60+Inputs!$B$25+Inputs!$B$29,IF(Skills!C18=2,90+Inputs!$B$26+Inputs!$B$29,IF(Skills!C18=3,120+Inputs!$B$27+Inputs!$B$29,MAX(0,(Inputs!$B$3-100)*3)+Inputs!$B$28+Inputs!$B$29)))</f>
        <v/>
      </c>
      <c r="E636">
        <f>INDEX(FactorTable!$B$2:$Y$301, MATCH(ROUND(MIN(300,MAX(1,D636)),0), FactorTable!$A$2:$A$301,0), Skills!M18+1)</f>
        <v/>
      </c>
      <c r="F636">
        <f>IF(Skills!N18=TRUE,(Skills!L18/10)*(E636/1000),Skills!L18/10)+Skills!O18</f>
        <v/>
      </c>
      <c r="G636">
        <f>Skills!G18*IF(Skills!H18&gt;0,Skills!I18/Skills!H18,1)</f>
        <v/>
      </c>
      <c r="H636">
        <f>1-(1-Skills!J18/100)^Skills!K18</f>
        <v/>
      </c>
      <c r="I636" t="inlineStr">
        <is>
          <t>1</t>
        </is>
      </c>
      <c r="J636" t="inlineStr"/>
      <c r="K636" t="inlineStr"/>
      <c r="L636" t="inlineStr"/>
      <c r="M636" t="inlineStr"/>
      <c r="N636" t="inlineStr"/>
      <c r="O636">
        <f>(1-Summary!$B$55)*T636+Summary!$B$55*V636</f>
        <v/>
      </c>
      <c r="P636">
        <f>IF(B660=0,0,O636/B660)</f>
        <v/>
      </c>
      <c r="Q636">
        <f>IFERROR(1/IF(Inputs!$B$38="pvp",15,MAX(0.1,Skills!D18-IF(Skills!E18=TRUE,Inputs!$B$32,0))),0)</f>
        <v/>
      </c>
      <c r="R636">
        <f>IF(AND(Inputs!$B$38&lt;&gt;"pvp",Inputs!$B$43&gt;0),IF(Inputs!$B$43&lt;=0,0,(INT(Inputs!$B$43/IF(Inputs!$B$38="pvp",15,MAX(0.1,Skills!D18-IF(Skills!E18=TRUE,Inputs!$B$32,0))))+1)),0)</f>
        <v/>
      </c>
      <c r="S636" t="n">
        <v>0</v>
      </c>
      <c r="T636" t="n">
        <v>0</v>
      </c>
      <c r="V636" t="n">
        <v>0</v>
      </c>
    </row>
    <row r="637">
      <c r="A637">
        <f>Skills!A19</f>
        <v/>
      </c>
      <c r="B637">
        <f>Skills!B19</f>
        <v/>
      </c>
      <c r="C637">
        <f>Inputs!$B$3&gt;=15</f>
        <v/>
      </c>
      <c r="D637">
        <f>IF(Skills!C19=1,60+Inputs!$B$25+Inputs!$B$29,IF(Skills!C19=2,90+Inputs!$B$26+Inputs!$B$29,IF(Skills!C19=3,120+Inputs!$B$27+Inputs!$B$29,MAX(0,(Inputs!$B$3-100)*3)+Inputs!$B$28+Inputs!$B$29)))</f>
        <v/>
      </c>
      <c r="E637">
        <f>INDEX(FactorTable!$B$2:$Y$301, MATCH(ROUND(MIN(300,MAX(1,D637)),0), FactorTable!$A$2:$A$301,0), Skills!M19+1)</f>
        <v/>
      </c>
      <c r="F637">
        <f>IF(Skills!N19=TRUE,(Skills!L19/10)*(E637/1000),Skills!L19/10)+Skills!O19</f>
        <v/>
      </c>
      <c r="G637">
        <f>Skills!G19*IF(Skills!H19&gt;0,Skills!I19/Skills!H19,1)</f>
        <v/>
      </c>
      <c r="H637">
        <f>1-(1-Skills!J19/100)^Skills!K19</f>
        <v/>
      </c>
      <c r="I637" t="inlineStr">
        <is>
          <t>1</t>
        </is>
      </c>
      <c r="J637" t="inlineStr"/>
      <c r="K637" t="inlineStr"/>
      <c r="L637" t="inlineStr"/>
      <c r="M637" t="inlineStr"/>
      <c r="N637" t="inlineStr"/>
      <c r="O637">
        <f>(1-Summary!$B$55)*T637+Summary!$B$55*V637</f>
        <v/>
      </c>
      <c r="P637">
        <f>IF(B660=0,0,O637/B660)</f>
        <v/>
      </c>
      <c r="Q637" t="n">
        <v>0</v>
      </c>
      <c r="R637" t="n">
        <v>0</v>
      </c>
      <c r="S637" t="n">
        <v>0</v>
      </c>
      <c r="T637" t="n">
        <v>0</v>
      </c>
      <c r="V637" t="n">
        <v>0</v>
      </c>
    </row>
    <row r="638">
      <c r="A638">
        <f>Skills!A20</f>
        <v/>
      </c>
      <c r="B638">
        <f>Skills!B20</f>
        <v/>
      </c>
      <c r="C638">
        <f>Inputs!$B$3&gt;=10</f>
        <v/>
      </c>
      <c r="D638">
        <f>IF(Skills!C20=1,60+Inputs!$B$25+Inputs!$B$29,IF(Skills!C20=2,90+Inputs!$B$26+Inputs!$B$29,IF(Skills!C20=3,120+Inputs!$B$27+Inputs!$B$29,MAX(0,(Inputs!$B$3-100)*3)+Inputs!$B$28+Inputs!$B$29)))</f>
        <v/>
      </c>
      <c r="E638">
        <f>INDEX(FactorTable!$B$2:$Y$301, MATCH(ROUND(MIN(300,MAX(1,D638)),0), FactorTable!$A$2:$A$301,0), Skills!M20+1)</f>
        <v/>
      </c>
      <c r="F638">
        <f>IF(Skills!N20=TRUE,(Skills!L20/10)*(E638/1000),Skills!L20/10)+Skills!O20</f>
        <v/>
      </c>
      <c r="G638">
        <f>Skills!G20*IF(Skills!H20&gt;0,Skills!I20/Skills!H20,1)</f>
        <v/>
      </c>
      <c r="H638">
        <f>1-(1-Skills!J20/100)^Skills!K20</f>
        <v/>
      </c>
      <c r="I638" t="inlineStr">
        <is>
          <t>1</t>
        </is>
      </c>
      <c r="J638" t="inlineStr"/>
      <c r="K638" t="inlineStr"/>
      <c r="L638" t="inlineStr"/>
      <c r="M638" t="inlineStr"/>
      <c r="N638" t="inlineStr"/>
      <c r="O638">
        <f>(1-Summary!$B$55)*T638+Summary!$B$55*V638</f>
        <v/>
      </c>
      <c r="P638">
        <f>IF(B660=0,0,O638/B660)</f>
        <v/>
      </c>
      <c r="Q638" t="n">
        <v>0</v>
      </c>
      <c r="R638" t="n">
        <v>0</v>
      </c>
      <c r="S638" t="n">
        <v>0</v>
      </c>
      <c r="T638" t="n">
        <v>0</v>
      </c>
      <c r="V638" t="n">
        <v>0</v>
      </c>
    </row>
    <row r="639">
      <c r="A639">
        <f>Skills!A21</f>
        <v/>
      </c>
      <c r="B639">
        <f>Skills!B21</f>
        <v/>
      </c>
      <c r="C639">
        <f>Inputs!$B$3&gt;=33</f>
        <v/>
      </c>
      <c r="D639">
        <f>IF(Skills!C21=1,60+Inputs!$B$25+Inputs!$B$29,IF(Skills!C21=2,90+Inputs!$B$26+Inputs!$B$29,IF(Skills!C21=3,120+Inputs!$B$27+Inputs!$B$29,MAX(0,(Inputs!$B$3-100)*3)+Inputs!$B$28+Inputs!$B$29)))</f>
        <v/>
      </c>
      <c r="E639">
        <f>INDEX(FactorTable!$B$2:$Y$301, MATCH(ROUND(MIN(300,MAX(1,D639)),0), FactorTable!$A$2:$A$301,0), Skills!M21+1)</f>
        <v/>
      </c>
      <c r="F639">
        <f>IF(Skills!N21=TRUE,(Skills!L21/10)*(E639/1000),Skills!L21/10)+Skills!O21</f>
        <v/>
      </c>
      <c r="G639">
        <f>Skills!G21*IF(Skills!H21&gt;0,Skills!I21/Skills!H21,1)</f>
        <v/>
      </c>
      <c r="H639">
        <f>1-(1-Skills!J21/100)^Skills!K21</f>
        <v/>
      </c>
      <c r="I639" t="inlineStr">
        <is>
          <t>1</t>
        </is>
      </c>
      <c r="J639" t="inlineStr"/>
      <c r="K639" t="inlineStr"/>
      <c r="L639" t="inlineStr"/>
      <c r="M639" t="inlineStr"/>
      <c r="N639" t="inlineStr"/>
      <c r="O639">
        <f>(1-Summary!$B$55)*T639+Summary!$B$55*V639</f>
        <v/>
      </c>
      <c r="P639">
        <f>IF(B660=0,0,O639/B660)</f>
        <v/>
      </c>
      <c r="Q639" t="n">
        <v>0</v>
      </c>
      <c r="R639" t="n">
        <v>0</v>
      </c>
      <c r="S639" t="n">
        <v>0</v>
      </c>
      <c r="T639" t="n">
        <v>0</v>
      </c>
      <c r="V639" t="n">
        <v>0</v>
      </c>
    </row>
    <row r="640">
      <c r="A640">
        <f>Skills!A22</f>
        <v/>
      </c>
      <c r="B640">
        <f>Skills!B22</f>
        <v/>
      </c>
      <c r="C640">
        <f>Inputs!$B$3&gt;=38</f>
        <v/>
      </c>
      <c r="D640">
        <f>IF(Skills!C22=1,60+Inputs!$B$25+Inputs!$B$29,IF(Skills!C22=2,90+Inputs!$B$26+Inputs!$B$29,IF(Skills!C22=3,120+Inputs!$B$27+Inputs!$B$29,MAX(0,(Inputs!$B$3-100)*3)+Inputs!$B$28+Inputs!$B$29)))</f>
        <v/>
      </c>
      <c r="E640">
        <f>INDEX(FactorTable!$B$2:$Y$301, MATCH(ROUND(MIN(300,MAX(1,D640)),0), FactorTable!$A$2:$A$301,0), Skills!M22+1)</f>
        <v/>
      </c>
      <c r="F640">
        <f>IF(Skills!N22=TRUE,(Skills!L22/10)*(E640/1000),Skills!L22/10)+Skills!O22</f>
        <v/>
      </c>
      <c r="G640">
        <f>Skills!G22*IF(Skills!H22&gt;0,Skills!I22/Skills!H22,1)</f>
        <v/>
      </c>
      <c r="H640">
        <f>1-(1-Skills!J22/100)^Skills!K22</f>
        <v/>
      </c>
      <c r="I640" t="inlineStr">
        <is>
          <t>1</t>
        </is>
      </c>
      <c r="J640" t="inlineStr"/>
      <c r="K640" t="inlineStr"/>
      <c r="L640" t="inlineStr"/>
      <c r="M640" t="inlineStr"/>
      <c r="N640" t="inlineStr"/>
      <c r="O640">
        <f>(1-Summary!$B$55)*T640+Summary!$B$55*V640</f>
        <v/>
      </c>
      <c r="P640">
        <f>IF(B660=0,0,O640/B660)</f>
        <v/>
      </c>
      <c r="Q640" t="n">
        <v>0</v>
      </c>
      <c r="R640" t="n">
        <v>0</v>
      </c>
      <c r="S640" t="n">
        <v>0</v>
      </c>
      <c r="T640" t="n">
        <v>0</v>
      </c>
      <c r="V640" t="n">
        <v>0</v>
      </c>
    </row>
    <row r="641">
      <c r="A641">
        <f>Skills!A23</f>
        <v/>
      </c>
      <c r="B641">
        <f>Skills!B23</f>
        <v/>
      </c>
      <c r="C641">
        <f>Inputs!$B$3&gt;=43</f>
        <v/>
      </c>
      <c r="D641">
        <f>IF(Skills!C23=1,60+Inputs!$B$25+Inputs!$B$29,IF(Skills!C23=2,90+Inputs!$B$26+Inputs!$B$29,IF(Skills!C23=3,120+Inputs!$B$27+Inputs!$B$29,MAX(0,(Inputs!$B$3-100)*3)+Inputs!$B$28+Inputs!$B$29)))</f>
        <v/>
      </c>
      <c r="E641">
        <f>INDEX(FactorTable!$B$2:$Y$301, MATCH(ROUND(MIN(300,MAX(1,D641)),0), FactorTable!$A$2:$A$301,0), Skills!M23+1)</f>
        <v/>
      </c>
      <c r="F641">
        <f>IF(Skills!N23=TRUE,(Skills!L23/10)*(E641/1000),Skills!L23/10)+Skills!O23</f>
        <v/>
      </c>
      <c r="G641">
        <f>Skills!G23*IF(Skills!H23&gt;0,Skills!I23/Skills!H23,1)</f>
        <v/>
      </c>
      <c r="H641">
        <f>1-(1-Skills!J23/100)^Skills!K23</f>
        <v/>
      </c>
      <c r="I641" t="inlineStr">
        <is>
          <t>1</t>
        </is>
      </c>
      <c r="J641" t="inlineStr"/>
      <c r="K641" t="inlineStr"/>
      <c r="L641" t="inlineStr"/>
      <c r="M641" t="inlineStr"/>
      <c r="N641" t="inlineStr"/>
      <c r="O641">
        <f>(1-Summary!$B$55)*T641+Summary!$B$55*V641</f>
        <v/>
      </c>
      <c r="P641">
        <f>IF(B660=0,0,O641/B660)</f>
        <v/>
      </c>
      <c r="Q641" t="n">
        <v>0</v>
      </c>
      <c r="R641" t="n">
        <v>0</v>
      </c>
      <c r="S641" t="n">
        <v>0</v>
      </c>
      <c r="T641" t="n">
        <v>0</v>
      </c>
      <c r="V641" t="n">
        <v>0</v>
      </c>
    </row>
    <row r="642">
      <c r="A642">
        <f>Skills!A24</f>
        <v/>
      </c>
      <c r="B642">
        <f>Skills!B24</f>
        <v/>
      </c>
      <c r="C642">
        <f>Inputs!$B$3&gt;=75</f>
        <v/>
      </c>
      <c r="D642">
        <f>IF(Skills!C24=1,60+Inputs!$B$25+Inputs!$B$29,IF(Skills!C24=2,90+Inputs!$B$26+Inputs!$B$29,IF(Skills!C24=3,120+Inputs!$B$27+Inputs!$B$29,MAX(0,(Inputs!$B$3-100)*3)+Inputs!$B$28+Inputs!$B$29)))</f>
        <v/>
      </c>
      <c r="E642">
        <f>INDEX(FactorTable!$B$2:$Y$301, MATCH(ROUND(MIN(300,MAX(1,D642)),0), FactorTable!$A$2:$A$301,0), Skills!M24+1)</f>
        <v/>
      </c>
      <c r="F642">
        <f>IF(Skills!N24=TRUE,(Skills!L24/10)*(E642/1000),Skills!L24/10)+Skills!O24</f>
        <v/>
      </c>
      <c r="G642">
        <f>Skills!G24*IF(Skills!H24&gt;0,Skills!I24/Skills!H24,1)</f>
        <v/>
      </c>
      <c r="H642">
        <f>1-(1-Skills!J24/100)^Skills!K24</f>
        <v/>
      </c>
      <c r="I642" t="inlineStr">
        <is>
          <t>1</t>
        </is>
      </c>
      <c r="J642" t="inlineStr"/>
      <c r="K642" t="inlineStr"/>
      <c r="L642" t="inlineStr"/>
      <c r="M642" t="inlineStr"/>
      <c r="N642" t="inlineStr"/>
      <c r="O642">
        <f>(1-Summary!$B$55)*T642+Summary!$B$55*V642</f>
        <v/>
      </c>
      <c r="P642">
        <f>IF(B660=0,0,O642/B660)</f>
        <v/>
      </c>
      <c r="Q642" t="n">
        <v>0</v>
      </c>
      <c r="R642" t="n">
        <v>0</v>
      </c>
      <c r="S642" t="n">
        <v>0</v>
      </c>
      <c r="T642" t="n">
        <v>0</v>
      </c>
      <c r="V642" t="n">
        <v>0</v>
      </c>
    </row>
    <row r="643">
      <c r="A643">
        <f>Skills!A25</f>
        <v/>
      </c>
      <c r="B643">
        <f>Skills!B25</f>
        <v/>
      </c>
      <c r="C643">
        <f>Inputs!$B$3&gt;=125</f>
        <v/>
      </c>
      <c r="D643">
        <f>IF(Skills!C25=1,60+Inputs!$B$25+Inputs!$B$29,IF(Skills!C25=2,90+Inputs!$B$26+Inputs!$B$29,IF(Skills!C25=3,120+Inputs!$B$27+Inputs!$B$29,MAX(0,(Inputs!$B$3-100)*3)+Inputs!$B$28+Inputs!$B$29)))</f>
        <v/>
      </c>
      <c r="E643">
        <f>INDEX(FactorTable!$B$2:$Y$301, MATCH(ROUND(MIN(300,MAX(1,D643)),0), FactorTable!$A$2:$A$301,0), Skills!M25+1)</f>
        <v/>
      </c>
      <c r="F643">
        <f>IF(Skills!N25=TRUE,(Skills!L25/10)*(E643/1000),Skills!L25/10)+Skills!O25</f>
        <v/>
      </c>
      <c r="G643">
        <f>Skills!G25*IF(Skills!H25&gt;0,Skills!I25/Skills!H25,1)</f>
        <v/>
      </c>
      <c r="H643">
        <f>1-(1-Skills!J25/100)^Skills!K25</f>
        <v/>
      </c>
      <c r="I643" t="inlineStr">
        <is>
          <t>1</t>
        </is>
      </c>
      <c r="J643" t="inlineStr"/>
      <c r="K643" t="inlineStr"/>
      <c r="L643" t="inlineStr"/>
      <c r="M643" t="inlineStr"/>
      <c r="N643" t="inlineStr"/>
      <c r="O643">
        <f>(1-Summary!$B$55)*T643+Summary!$B$55*V643</f>
        <v/>
      </c>
      <c r="P643">
        <f>IF(B660=0,0,O643/B660)</f>
        <v/>
      </c>
      <c r="Q643" t="n">
        <v>0</v>
      </c>
      <c r="R643" t="n">
        <v>0</v>
      </c>
      <c r="S643" t="n">
        <v>0</v>
      </c>
      <c r="T643" t="n">
        <v>0</v>
      </c>
      <c r="V643" t="n">
        <v>0</v>
      </c>
    </row>
    <row r="644">
      <c r="A644">
        <f>Skills!A26</f>
        <v/>
      </c>
      <c r="B644">
        <f>Skills!B26</f>
        <v/>
      </c>
      <c r="C644">
        <f>Inputs!$B$3&gt;=125</f>
        <v/>
      </c>
      <c r="D644">
        <f>IF(Skills!C26=1,60+Inputs!$B$25+Inputs!$B$29,IF(Skills!C26=2,90+Inputs!$B$26+Inputs!$B$29,IF(Skills!C26=3,120+Inputs!$B$27+Inputs!$B$29,MAX(0,(Inputs!$B$3-100)*3)+Inputs!$B$28+Inputs!$B$29)))</f>
        <v/>
      </c>
      <c r="E644">
        <f>INDEX(FactorTable!$B$2:$Y$301, MATCH(ROUND(MIN(300,MAX(1,D644)),0), FactorTable!$A$2:$A$301,0), Skills!M26+1)</f>
        <v/>
      </c>
      <c r="F644">
        <f>IF(Skills!N26=TRUE,(Skills!L26/10)*(E644/1000),Skills!L26/10)+Skills!O26</f>
        <v/>
      </c>
      <c r="G644">
        <f>Skills!G26*IF(Skills!H26&gt;0,Skills!I26/Skills!H26,1)</f>
        <v/>
      </c>
      <c r="H644">
        <f>1-(1-Skills!J26/100)^Skills!K26</f>
        <v/>
      </c>
      <c r="I644" t="inlineStr">
        <is>
          <t>1</t>
        </is>
      </c>
      <c r="J644" t="inlineStr"/>
      <c r="K644" t="inlineStr"/>
      <c r="L644" t="inlineStr"/>
      <c r="M644" t="inlineStr"/>
      <c r="N644" t="inlineStr"/>
      <c r="O644">
        <f>(1-Summary!$B$55)*T644+Summary!$B$55*V644</f>
        <v/>
      </c>
      <c r="P644">
        <f>IF(B660=0,0,O644/B660)</f>
        <v/>
      </c>
      <c r="Q644" t="n">
        <v>0</v>
      </c>
      <c r="R644" t="n">
        <v>0</v>
      </c>
      <c r="S644" t="n">
        <v>0</v>
      </c>
      <c r="T644" t="n">
        <v>0</v>
      </c>
      <c r="V644" t="n">
        <v>0</v>
      </c>
    </row>
    <row r="645">
      <c r="A645">
        <f>Skills!A27</f>
        <v/>
      </c>
      <c r="B645">
        <f>Skills!B27</f>
        <v/>
      </c>
      <c r="C645">
        <f>Inputs!$B$3&gt;=120</f>
        <v/>
      </c>
      <c r="D645">
        <f>IF(Skills!C27=1,60+Inputs!$B$25+Inputs!$B$29,IF(Skills!C27=2,90+Inputs!$B$26+Inputs!$B$29,IF(Skills!C27=3,120+Inputs!$B$27+Inputs!$B$29,MAX(0,(Inputs!$B$3-100)*3)+Inputs!$B$28+Inputs!$B$29)))</f>
        <v/>
      </c>
      <c r="E645">
        <f>INDEX(FactorTable!$B$2:$Y$301, MATCH(ROUND(MIN(300,MAX(1,D645)),0), FactorTable!$A$2:$A$301,0), Skills!M27+1)</f>
        <v/>
      </c>
      <c r="F645">
        <f>IF(Skills!N27=TRUE,(Skills!L27/10)*(E645/1000),Skills!L27/10)+Skills!O27</f>
        <v/>
      </c>
      <c r="G645">
        <f>Skills!G27*IF(Skills!H27&gt;0,Skills!I27/Skills!H27,1)</f>
        <v/>
      </c>
      <c r="H645">
        <f>1-(1-Skills!J27/100)^Skills!K27</f>
        <v/>
      </c>
      <c r="I645" t="inlineStr">
        <is>
          <t>1</t>
        </is>
      </c>
      <c r="J645" t="inlineStr"/>
      <c r="K645" t="inlineStr"/>
      <c r="L645" t="inlineStr"/>
      <c r="M645" t="inlineStr"/>
      <c r="N645" t="inlineStr"/>
      <c r="O645">
        <f>(1-Summary!$B$55)*T645+Summary!$B$55*V645</f>
        <v/>
      </c>
      <c r="P645">
        <f>IF(B660=0,0,O645/B660)</f>
        <v/>
      </c>
      <c r="Q645" t="n">
        <v>0</v>
      </c>
      <c r="R645" t="n">
        <v>0</v>
      </c>
      <c r="S645" t="n">
        <v>0</v>
      </c>
      <c r="T645" t="n">
        <v>0</v>
      </c>
      <c r="V645" t="n">
        <v>0</v>
      </c>
    </row>
    <row r="646">
      <c r="A646">
        <f>Skills!A28</f>
        <v/>
      </c>
      <c r="B646">
        <f>Skills!B28</f>
        <v/>
      </c>
      <c r="C646">
        <f>Inputs!$B$3&gt;=120</f>
        <v/>
      </c>
      <c r="D646">
        <f>IF(Skills!C28=1,60+Inputs!$B$25+Inputs!$B$29,IF(Skills!C28=2,90+Inputs!$B$26+Inputs!$B$29,IF(Skills!C28=3,120+Inputs!$B$27+Inputs!$B$29,MAX(0,(Inputs!$B$3-100)*3)+Inputs!$B$28+Inputs!$B$29)))</f>
        <v/>
      </c>
      <c r="E646">
        <f>INDEX(FactorTable!$B$2:$Y$301, MATCH(ROUND(MIN(300,MAX(1,D646)),0), FactorTable!$A$2:$A$301,0), Skills!M28+1)</f>
        <v/>
      </c>
      <c r="F646">
        <f>IF(Skills!N28=TRUE,(Skills!L28/10)*(E646/1000),Skills!L28/10)+Skills!O28</f>
        <v/>
      </c>
      <c r="G646">
        <f>Skills!G28*IF(Skills!H28&gt;0,Skills!I28/Skills!H28,1)</f>
        <v/>
      </c>
      <c r="H646">
        <f>1-(1-Skills!J28/100)^Skills!K28</f>
        <v/>
      </c>
      <c r="I646" t="inlineStr">
        <is>
          <t>1</t>
        </is>
      </c>
      <c r="J646" t="inlineStr"/>
      <c r="K646" t="inlineStr"/>
      <c r="L646" t="inlineStr"/>
      <c r="M646" t="inlineStr"/>
      <c r="N646" t="inlineStr"/>
      <c r="O646">
        <f>(1-Summary!$B$55)*T646+Summary!$B$55*V646</f>
        <v/>
      </c>
      <c r="P646">
        <f>IF(B660=0,0,O646/B660)</f>
        <v/>
      </c>
      <c r="Q646" t="n">
        <v>0</v>
      </c>
      <c r="R646" t="n">
        <v>0</v>
      </c>
      <c r="S646" t="n">
        <v>0</v>
      </c>
      <c r="T646" t="n">
        <v>0</v>
      </c>
      <c r="V646" t="n">
        <v>0</v>
      </c>
    </row>
    <row r="647">
      <c r="A647">
        <f>Skills!A29</f>
        <v/>
      </c>
      <c r="B647">
        <f>Skills!B29</f>
        <v/>
      </c>
      <c r="C647">
        <f>Inputs!$B$3&gt;=45</f>
        <v/>
      </c>
      <c r="D647">
        <f>IF(Skills!C29=1,60+Inputs!$B$25+Inputs!$B$29,IF(Skills!C29=2,90+Inputs!$B$26+Inputs!$B$29,IF(Skills!C29=3,120+Inputs!$B$27+Inputs!$B$29,MAX(0,(Inputs!$B$3-100)*3)+Inputs!$B$28+Inputs!$B$29)))</f>
        <v/>
      </c>
      <c r="E647">
        <f>INDEX(FactorTable!$B$2:$Y$301, MATCH(ROUND(MIN(300,MAX(1,D647)),0), FactorTable!$A$2:$A$301,0), Skills!M29+1)</f>
        <v/>
      </c>
      <c r="F647">
        <f>IF(Skills!N29=TRUE,(Skills!L29/10)*(E647/1000),Skills!L29/10)+Skills!O29</f>
        <v/>
      </c>
      <c r="G647">
        <f>Skills!G29*IF(Skills!H29&gt;0,Skills!I29/Skills!H29,1)</f>
        <v/>
      </c>
      <c r="H647">
        <f>1-(1-Skills!J29/100)^Skills!K29</f>
        <v/>
      </c>
      <c r="I647" t="inlineStr">
        <is>
          <t>1</t>
        </is>
      </c>
      <c r="J647" t="inlineStr"/>
      <c r="K647" t="inlineStr"/>
      <c r="L647" t="inlineStr"/>
      <c r="M647" t="inlineStr"/>
      <c r="N647" t="inlineStr"/>
      <c r="O647">
        <f>(1-Summary!$B$55)*T647+Summary!$B$55*V647</f>
        <v/>
      </c>
      <c r="P647">
        <f>IF(B660=0,0,O647/B660)</f>
        <v/>
      </c>
      <c r="Q647" t="n">
        <v>0</v>
      </c>
      <c r="R647" t="n">
        <v>0</v>
      </c>
      <c r="S647" t="n">
        <v>0</v>
      </c>
      <c r="T647" t="n">
        <v>0</v>
      </c>
      <c r="V647" t="n">
        <v>0</v>
      </c>
    </row>
    <row r="649">
      <c r="A649" t="inlineStr">
        <is>
          <t>Attack% Bucket Multiplier</t>
        </is>
      </c>
      <c r="B649">
        <f>(1+(((C631=TRUE)*F631)+((C632=TRUE)*IF(Inputs!$B$38="pvp",F632,(1-Summary!$B$55)*(F632)+Summary!$B$55*(0)))+((C633=TRUE)*F633*IF(AND(Inputs!$B$38&lt;&gt;"pvp",Inputs!$B$43&gt;0),(((R633-1)*(Skills!T15*(1+Inputs!$B$34/100))+MIN((Skills!T15*(1+Inputs!$B$34/100)),MAX(0,Inputs!$B$43-((R633-1)*Skills!D15))))/Inputs!$B$43),IF(Inputs!$B$38="pvp",MIN((Skills!T15*(1+Inputs!$B$34/100)),15)/15,(Skills!T15*(1+Inputs!$B$34/100))/Skills!D15)))+((C630=TRUE)*F630)+((C647=TRUE)*(F647-Calc!F29)))/100)</f>
        <v/>
      </c>
    </row>
    <row r="650">
      <c r="A650" t="inlineStr">
        <is>
          <t>Global Crit Rate Bonus %</t>
        </is>
      </c>
      <c r="B650">
        <f>(C634=TRUE)*20*IF(AND(Inputs!$B$38&lt;&gt;"pvp",Inputs!$B$43&gt;0),(((R634-1)*(Skills!T16*(1+Inputs!$B$34/100))+MIN((Skills!T16*(1+Inputs!$B$34/100)),MAX(0,Inputs!$B$43-((R634-1)*Skills!D16))))/Inputs!$B$43),IF(Inputs!$B$38="pvp",MIN((Skills!T16*(1+Inputs!$B$34/100)),15)/15,(Skills!T16*(1+Inputs!$B$34/100))/Skills!D16))</f>
        <v/>
      </c>
    </row>
    <row r="651">
      <c r="A651" t="inlineStr">
        <is>
          <t>Attack Speed Buff Bonus %</t>
        </is>
      </c>
      <c r="B651">
        <f>((C636=TRUE)*F636*IF(AND(Inputs!$B$38&lt;&gt;"pvp",Inputs!$B$43&gt;0),(((R636-1)*(Skills!T18*(1+Inputs!$B$34/100))+MIN((Skills!T18*(1+Inputs!$B$34/100)),MAX(0,Inputs!$B$43-((R636-1)*Skills!D18))))/Inputs!$B$43),IF(Inputs!$B$38="pvp",MIN((Skills!T18*(1+Inputs!$B$34/100)),15)/15,(Skills!T18*(1+Inputs!$B$34/100))/Skills!D18)))</f>
        <v/>
      </c>
    </row>
    <row r="652">
      <c r="A652" t="inlineStr">
        <is>
          <t>Actions Per Second</t>
        </is>
      </c>
      <c r="B652">
        <f>1+MIN(150,150*(1-(1-(Inputs!$B$11+((C638=TRUE)*(F638-Calc!F20))+((C639=TRUE)*(F639-Calc!F21)))/150)*(1-B651/150)))/100</f>
        <v/>
      </c>
    </row>
    <row r="653">
      <c r="A653" t="inlineStr">
        <is>
          <t>Skill + Buff Cast Rate</t>
        </is>
      </c>
      <c r="B653">
        <f>IF(AND(Inputs!$B$38&lt;&gt;"pvp",Inputs!$B$43&gt;0),SUMPRODUCT((Skills!E2:E29=TRUE)*(C620:C647=TRUE)*R620:R647*Skills!F2:F29)/Inputs!$B$43,SUMPRODUCT((Skills!E2:E29=TRUE)*(C620:C647=TRUE)*Q620:Q647*Skills!F2:F29))</f>
        <v/>
      </c>
    </row>
    <row r="654">
      <c r="A654" t="inlineStr">
        <is>
          <t>Empowered Piercing Arrow Casts Per Second</t>
        </is>
      </c>
      <c r="B654">
        <f>MAX(0,B652-B653)</f>
        <v/>
      </c>
    </row>
    <row r="655">
      <c r="A655" t="inlineStr">
        <is>
          <t>Global Critical Damage Bonus % (Sharp Eyes)</t>
        </is>
      </c>
      <c r="B655">
        <f>(C634=TRUE)*F634*IF(AND(Inputs!$B$38&lt;&gt;"pvp",Inputs!$B$43&gt;0),(((R634-1)*(Skills!T16*(1+Inputs!$B$34/100))+MIN((Skills!T16*(1+Inputs!$B$34/100)),MAX(0,Inputs!$B$43-((R634-1)*Skills!D16))))/Inputs!$B$43),IF(Inputs!$B$38="pvp",MIN((Skills!T16*(1+Inputs!$B$34/100)),15)/15,(Skills!T16*(1+Inputs!$B$34/100))/Skills!D16))</f>
        <v/>
      </c>
    </row>
    <row r="656">
      <c r="A656" t="inlineStr">
        <is>
          <t>Global Final Damage Bonus % (Mortal Blow + Last Man Standing conditional half)</t>
        </is>
      </c>
      <c r="B656">
        <f>(C635=TRUE)*F635+((C644=TRUE)*IF(Inputs!$B$38="pvp",F644,(1-Summary!$B$55)*(F644)+Summary!$B$55*(0)))</f>
        <v/>
      </c>
    </row>
    <row r="657">
      <c r="A657" t="inlineStr">
        <is>
          <t>Buff-Casting Startup Delay (s, fixed-duration only)</t>
        </is>
      </c>
      <c r="B657">
        <f>IF(AND(Inputs!$B$38&lt;&gt;"pvp",Inputs!$B$43&gt;0),SUMPRODUCT((Skills!T2:T29&gt;0)*(Skills!E2:E29=TRUE)*(C620:C647=TRUE))/B652,0)</f>
        <v/>
      </c>
    </row>
    <row r="658">
      <c r="A658" t="inlineStr">
        <is>
          <t>Boss-Only Total DPS (this block's swept value)</t>
        </is>
      </c>
      <c r="B658">
        <f>SUM(T620:T647)</f>
        <v/>
      </c>
    </row>
    <row r="659">
      <c r="A659" t="inlineStr">
        <is>
          <t>Normal-Only Total DPS (this block's swept value)</t>
        </is>
      </c>
      <c r="B659">
        <f>SUM(V620:V647)</f>
        <v/>
      </c>
    </row>
    <row r="660">
      <c r="A660" s="5" t="inlineStr">
        <is>
          <t>TOTAL DPS</t>
        </is>
      </c>
      <c r="B660" s="5">
        <f>SUM(O620:O647)</f>
        <v/>
      </c>
    </row>
    <row r="663">
      <c r="A663" s="5" t="inlineStr">
        <is>
          <t>Stat: BASIC_ATTACK_DAMAGE %</t>
        </is>
      </c>
    </row>
    <row r="664">
      <c r="A664" s="9" t="inlineStr">
        <is>
          <t>Key</t>
        </is>
      </c>
      <c r="B664" s="9" t="inlineStr">
        <is>
          <t>Name</t>
        </is>
      </c>
      <c r="C664" s="9" t="inlineStr">
        <is>
          <t>Unlocked</t>
        </is>
      </c>
      <c r="D664" s="9" t="inlineStr">
        <is>
          <t>InputLevel</t>
        </is>
      </c>
      <c r="E664" s="9" t="inlineStr">
        <is>
          <t>Factor</t>
        </is>
      </c>
      <c r="F664" s="9" t="inlineStr">
        <is>
          <t>CoefficientPercent</t>
        </is>
      </c>
      <c r="G664" s="9" t="inlineStr">
        <is>
          <t>EffectiveHits</t>
        </is>
      </c>
      <c r="H664" s="9" t="inlineStr">
        <is>
          <t>ProcProbability</t>
        </is>
      </c>
      <c r="I664" s="9" t="inlineStr">
        <is>
          <t>MapleHeroMultiplier</t>
        </is>
      </c>
      <c r="J664" s="9" t="inlineStr">
        <is>
          <t>BaseDamage</t>
        </is>
      </c>
      <c r="K664" s="9" t="inlineStr">
        <is>
          <t>BaseHitDamage</t>
        </is>
      </c>
      <c r="L664" s="9" t="inlineStr">
        <is>
          <t>NonCritAvg</t>
        </is>
      </c>
      <c r="M664" s="9" t="inlineStr">
        <is>
          <t>CritAvg</t>
        </is>
      </c>
      <c r="N664" s="9" t="inlineStr">
        <is>
          <t>ExpectedDamage(perHit)</t>
        </is>
      </c>
      <c r="O664" s="9" t="inlineStr">
        <is>
          <t>DPS</t>
        </is>
      </c>
      <c r="P664" s="9" t="inlineStr">
        <is>
          <t>% of Total</t>
        </is>
      </c>
      <c r="Q664" s="9" t="inlineStr">
        <is>
          <t>InvCooldown</t>
        </is>
      </c>
      <c r="R664" s="9" t="inlineStr">
        <is>
          <t>CastsInFight</t>
        </is>
      </c>
      <c r="S664" s="9" t="inlineStr">
        <is>
          <t>HitRate(perSec)</t>
        </is>
      </c>
      <c r="U664" t="inlineStr">
        <is>
          <t>helpers</t>
        </is>
      </c>
    </row>
    <row r="665">
      <c r="A665">
        <f>Skills!A2</f>
        <v/>
      </c>
      <c r="B665">
        <f>Skills!B2</f>
        <v/>
      </c>
      <c r="C665">
        <f>Inputs!$B$3&gt;=100</f>
        <v/>
      </c>
      <c r="D665" t="inlineStr"/>
      <c r="E665" t="inlineStr"/>
      <c r="F665">
        <f>U667+Skills!O2</f>
        <v/>
      </c>
      <c r="G665">
        <f>Skills!G2*IF(Skills!H2&gt;0,Skills!I2/Skills!H2,1)</f>
        <v/>
      </c>
      <c r="H665">
        <f>1-(1-Skills!J2/100)^Skills!K2</f>
        <v/>
      </c>
      <c r="I665" t="inlineStr">
        <is>
          <t>1</t>
        </is>
      </c>
      <c r="J665">
        <f>((Inputs!$B$6*(1+Inputs!$B$7/100))+(((Inputs!$B$12*(1+Inputs!$B$13/100))-(Inputs!$B$12*(1+Inputs!$B$13/100)))+0.25*(Inputs!$B$14-Inputs!$B$14))*(1+Inputs!$B$7/100))*(F665/100)</f>
        <v/>
      </c>
      <c r="K665">
        <f>J665*(1+((Inputs!$B$12*(1+Inputs!$B$13/100))*0.01+Inputs!$B$14*0.0025)/100)*(1+Inputs!$B$15/100)*(1+Inputs!$B$16/100)*(5000/(6000+Inputs!$B$42*(1-(Inputs!$B$19+0)/100)))*(1+(Inputs!$B$24+((C687=TRUE)*(F687-Calc!F24))+((C688=TRUE)*(F688-Calc!F25))+B701)/100)*(1+(IF(Skills!A2="EMPOWERED_PIERCING_ARROW",(Inputs!$B$17+1)+((C685=TRUE)*(F685-Calc!F22)),Inputs!$B$18+((C690=TRUE)*(F690-Calc!F27))))/100)*((1+(((C676=TRUE)*F676)+((C677=TRUE)*IF(Inputs!$B$38="pvp",F677,(1-Summary!$B$55)*(F677)+Summary!$B$55*(0)))+((C678=TRUE)*F678*IF(AND(Inputs!$B$38&lt;&gt;"pvp",Inputs!$B$43&gt;0),(((R678-1)*(Skills!T15*(1+Inputs!$B$34/100))+MIN((Skills!T15*(1+Inputs!$B$34/100)),MAX(0,Inputs!$B$43-((R678-1)*Skills!D15))))/Inputs!$B$43),IF(Inputs!$B$38="pvp",MIN((Skills!T15*(1+Inputs!$B$34/100)),15)/15,(Skills!T15*(1+Inputs!$B$34/100))/Skills!D15)))+((C675=TRUE)*F675)+((C692=TRUE)*(F692-Calc!F29)))/100)*I665)</f>
        <v/>
      </c>
      <c r="L665">
        <f>K665*(MIN(Inputs!$B$22+((C686=TRUE)*(F686-Calc!F23)),Inputs!$B$23+((C691=TRUE)*(F691-Calc!F28)))/100+(Inputs!$B$23+((C691=TRUE)*(F691-Calc!F28)))/100)/2</f>
        <v/>
      </c>
      <c r="M665">
        <f>L665*(1+(Inputs!$B$10+0+B700)/100)</f>
        <v/>
      </c>
      <c r="N665">
        <f>L665*(1-MIN((Inputs!$B$9+((C682=TRUE)*(F682-Calc!F19))+B695),100)/100)+M665*(MIN((Inputs!$B$9+((C682=TRUE)*(F682-Calc!F19))+B695),100)/100)</f>
        <v/>
      </c>
      <c r="O665">
        <f>(1-Summary!$B$55)*T665+Summary!$B$55*V665</f>
        <v/>
      </c>
      <c r="P665">
        <f>IF(B705=0,0,O665/B705)</f>
        <v/>
      </c>
      <c r="Q665" t="n">
        <v>0</v>
      </c>
      <c r="R665" t="n">
        <v>0</v>
      </c>
      <c r="S665">
        <f>IFERROR((Skills!G2*N665*B699)/N665*IF(Inputs!$B$38="pvp",1,(1-Summary!$B$55)*1+Summary!$B$55*(MIN((6+Inputs!$B$33),Inputs!$B$37))),0)</f>
        <v/>
      </c>
      <c r="T665">
        <f>IF(C665,(Skills!G2*N665*B699)*IF(Inputs!$B$38="pvp",1,1+(Inputs!$B$20+0+Skills!P2)/100),0)</f>
        <v/>
      </c>
      <c r="U665">
        <f>MAX(0,(Inputs!$B$3-100)*3)+Inputs!$B$28+Inputs!$B$29</f>
        <v/>
      </c>
      <c r="V665">
        <f>IF(C665,(Skills!G2*N665*B699)*IF(Inputs!$B$38="pvp",1,(1+(Inputs!$B$21+Skills!Q2)/100)*(MIN((6+Inputs!$B$33),Inputs!$B$37))),0)</f>
        <v/>
      </c>
    </row>
    <row r="666">
      <c r="A666">
        <f>Skills!A3</f>
        <v/>
      </c>
      <c r="B666">
        <f>Skills!B3</f>
        <v/>
      </c>
      <c r="C666">
        <f>Inputs!$B$3&gt;=50</f>
        <v/>
      </c>
      <c r="D666">
        <f>IF(Skills!C3=1,60+Inputs!$B$25+Inputs!$B$29,IF(Skills!C3=2,90+Inputs!$B$26+Inputs!$B$29,IF(Skills!C3=3,120+Inputs!$B$27+Inputs!$B$29,MAX(0,(Inputs!$B$3-100)*3)+Inputs!$B$28+Inputs!$B$29)))</f>
        <v/>
      </c>
      <c r="E666">
        <f>INDEX(FactorTable!$B$2:$Y$301, MATCH(ROUND(MIN(300,MAX(1,D666)),0), FactorTable!$A$2:$A$301,0), Skills!M3+1)</f>
        <v/>
      </c>
      <c r="F666">
        <f>IF(Skills!N3=TRUE,(Skills!L3/10)*(E666/1000),Skills!L3/10)+Skills!O3</f>
        <v/>
      </c>
      <c r="G666" t="inlineStr"/>
      <c r="H666" t="inlineStr"/>
      <c r="I666" t="inlineStr">
        <is>
          <t>1</t>
        </is>
      </c>
      <c r="J666" t="inlineStr"/>
      <c r="K666" t="inlineStr"/>
      <c r="L666" t="inlineStr"/>
      <c r="M666" t="inlineStr"/>
      <c r="N666" t="inlineStr"/>
      <c r="O666" t="inlineStr"/>
      <c r="P666" t="inlineStr"/>
      <c r="Q666" t="inlineStr"/>
      <c r="R666" t="inlineStr"/>
      <c r="S666" t="inlineStr"/>
      <c r="T666" t="inlineStr"/>
      <c r="U666">
        <f>INDEX(FactorTable!$B$2:$Y$301, MATCH(ROUND(MIN(300,MAX(1,U665)),0), FactorTable!$A$2:$A$301,0), 22)</f>
        <v/>
      </c>
      <c r="V666" t="inlineStr"/>
    </row>
    <row r="667">
      <c r="A667">
        <f>Skills!A4</f>
        <v/>
      </c>
      <c r="B667">
        <f>Skills!B4</f>
        <v/>
      </c>
      <c r="C667">
        <f>Inputs!$B$3&gt;=105</f>
        <v/>
      </c>
      <c r="D667">
        <f>IF(Skills!C4=1,60+Inputs!$B$25+Inputs!$B$29,IF(Skills!C4=2,90+Inputs!$B$26+Inputs!$B$29,IF(Skills!C4=3,120+Inputs!$B$27+Inputs!$B$29,MAX(0,(Inputs!$B$3-100)*3)+Inputs!$B$28+Inputs!$B$29)))</f>
        <v/>
      </c>
      <c r="E667">
        <f>INDEX(FactorTable!$B$2:$Y$301, MATCH(ROUND(MIN(300,MAX(1,D667)),0), FactorTable!$A$2:$A$301,0), Skills!M4+1)</f>
        <v/>
      </c>
      <c r="F667">
        <f>IF(Skills!N4=TRUE,(Skills!L4/10)*(E667/1000),Skills!L4/10)+Skills!O4</f>
        <v/>
      </c>
      <c r="G667" t="inlineStr"/>
      <c r="H667" t="inlineStr"/>
      <c r="I667" t="inlineStr">
        <is>
          <t>1</t>
        </is>
      </c>
      <c r="J667" t="inlineStr"/>
      <c r="K667" t="inlineStr"/>
      <c r="L667" t="inlineStr"/>
      <c r="M667" t="inlineStr"/>
      <c r="N667" t="inlineStr"/>
      <c r="O667" t="inlineStr"/>
      <c r="P667" t="inlineStr"/>
      <c r="Q667" t="inlineStr"/>
      <c r="R667" t="inlineStr"/>
      <c r="S667" t="inlineStr"/>
      <c r="T667" t="inlineStr"/>
      <c r="U667">
        <f>290*U666/1000</f>
        <v/>
      </c>
      <c r="V667" t="inlineStr"/>
    </row>
    <row r="668">
      <c r="A668">
        <f>Skills!A5</f>
        <v/>
      </c>
      <c r="B668">
        <f>Skills!B5</f>
        <v/>
      </c>
      <c r="C668">
        <f>Inputs!$B$3&gt;=35</f>
        <v/>
      </c>
      <c r="D668">
        <f>IF(Skills!C5=1,60+Inputs!$B$25+Inputs!$B$29,IF(Skills!C5=2,90+Inputs!$B$26+Inputs!$B$29,IF(Skills!C5=3,120+Inputs!$B$27+Inputs!$B$29,MAX(0,(Inputs!$B$3-100)*3)+Inputs!$B$28+Inputs!$B$29)))</f>
        <v/>
      </c>
      <c r="E668">
        <f>INDEX(FactorTable!$B$2:$Y$301, MATCH(ROUND(MIN(300,MAX(1,D668)),0), FactorTable!$A$2:$A$301,0), Skills!M5+1)</f>
        <v/>
      </c>
      <c r="F668">
        <f>IF(Skills!N5=TRUE,(Skills!L5/10)*(E668/1000),Skills!L5/10)+Skills!O5</f>
        <v/>
      </c>
      <c r="G668">
        <f>Skills!G5*IF(Skills!H5&gt;0,Skills!I5/Skills!H5,1)</f>
        <v/>
      </c>
      <c r="H668">
        <f>1-(1-Skills!J5/100)^Skills!K5</f>
        <v/>
      </c>
      <c r="I668" t="inlineStr">
        <is>
          <t>1</t>
        </is>
      </c>
      <c r="J668">
        <f>((Inputs!$B$6*(1+Inputs!$B$7/100))+(((Inputs!$B$12*(1+Inputs!$B$13/100))-(Inputs!$B$12*(1+Inputs!$B$13/100)))+0.25*(Inputs!$B$14-Inputs!$B$14))*(1+Inputs!$B$7/100))*(F668/100)</f>
        <v/>
      </c>
      <c r="K668">
        <f>J668*(1+((Inputs!$B$12*(1+Inputs!$B$13/100))*0.01+Inputs!$B$14*0.0025)/100)*(1+Inputs!$B$15/100)*(1+Inputs!$B$16/100)*(5000/(6000+Inputs!$B$42*(1-(Inputs!$B$19+0)/100)))*(1+(Inputs!$B$24+((C687=TRUE)*(F687-Calc!F24))+((C688=TRUE)*(F688-Calc!F25))+B701)/100)*(1+4.0*IF(C671=TRUE,F671,0)/100)*(1+(IF(Skills!A5="EMPOWERED_PIERCING_ARROW",(Inputs!$B$17+1)+((C685=TRUE)*(F685-Calc!F22)),Inputs!$B$18+((C690=TRUE)*(F690-Calc!F27))))/100)*((1+(((C676=TRUE)*F676)+((C677=TRUE)*IF(Inputs!$B$38="pvp",F677,(1-Summary!$B$55)*(F677)+Summary!$B$55*(0)))+((C678=TRUE)*F678*IF(AND(Inputs!$B$38&lt;&gt;"pvp",Inputs!$B$43&gt;0),(((R678-1)*(Skills!T15*(1+Inputs!$B$34/100))+MIN((Skills!T15*(1+Inputs!$B$34/100)),MAX(0,Inputs!$B$43-((R678-1)*Skills!D15))))/Inputs!$B$43),IF(Inputs!$B$38="pvp",MIN((Skills!T15*(1+Inputs!$B$34/100)),15)/15,(Skills!T15*(1+Inputs!$B$34/100))/Skills!D15)))+((C675=TRUE)*F675)+((C692=TRUE)*(F692-Calc!F29)))/100)*I668)</f>
        <v/>
      </c>
      <c r="L668">
        <f>K668*(MIN(Inputs!$B$22+((C686=TRUE)*(F686-Calc!F23)),Inputs!$B$23+((C691=TRUE)*(F691-Calc!F28)))/100+(Inputs!$B$23+((C691=TRUE)*(F691-Calc!F28)))/100)/2</f>
        <v/>
      </c>
      <c r="M668">
        <f>L668*(1+(Inputs!$B$10+0+B700)/100)</f>
        <v/>
      </c>
      <c r="N668">
        <f>L668*(1-MIN((Inputs!$B$9+((C682=TRUE)*(F682-Calc!F19))+B695),100)/100)+M668*(MIN((Inputs!$B$9+((C682=TRUE)*(F682-Calc!F19))+B695),100)/100)</f>
        <v/>
      </c>
      <c r="O668">
        <f>(1-Summary!$B$55)*T668+Summary!$B$55*V668</f>
        <v/>
      </c>
      <c r="P668">
        <f>IF(B705=0,0,O668/B705)</f>
        <v/>
      </c>
      <c r="Q668">
        <f>IFERROR(1/IF(Inputs!$B$38="pvp",15,MAX(0.1,Skills!D5-IF(Skills!E5=TRUE,Inputs!$B$32,0))),0)</f>
        <v/>
      </c>
      <c r="R668">
        <f>IF(AND(Inputs!$B$38&lt;&gt;"pvp",Inputs!$B$43&gt;0),IF(MAX(0,Inputs!$B$43-B702)&lt;=0,0,(INT(MAX(0,Inputs!$B$43-B702)/IF(Inputs!$B$38="pvp",15,MAX(0.1,Skills!D5-IF(Skills!E5=TRUE,Inputs!$B$32,0))))+1)),0)</f>
        <v/>
      </c>
      <c r="S668">
        <f>IFERROR((H668*N668*IF(AND(Inputs!$B$38&lt;&gt;"pvp",Inputs!$B$43&gt;0),((Skills!G5*((R668-1)*IF(Skills!H5&gt;0,Skills!I5/Skills!H5,1)+IF(Skills!H5&gt;0,MIN(Skills!I5,MAX(0,MAX(0,Inputs!$B$43-B702)-((R668-1)*IF(Inputs!$B$38="pvp",15,MAX(0.1,Skills!D5-IF(Skills!E5=TRUE,Inputs!$B$32,0))))))/Skills!H5,1)))/Inputs!$B$43),G668*Q668))/N668*IF(Inputs!$B$38="pvp",1,(1-Summary!$B$55)*1+Summary!$B$55*(MIN(Skills!R5,Inputs!$B$37))),0)</f>
        <v/>
      </c>
      <c r="T668">
        <f>IF(C668,(H668*N668*IF(AND(Inputs!$B$38&lt;&gt;"pvp",Inputs!$B$43&gt;0),((Skills!G5*((R668-1)*IF(Skills!H5&gt;0,Skills!I5/Skills!H5,1)+IF(Skills!H5&gt;0,MIN(Skills!I5,MAX(0,MAX(0,Inputs!$B$43-B702)-((R668-1)*IF(Inputs!$B$38="pvp",15,MAX(0.1,Skills!D5-IF(Skills!E5=TRUE,Inputs!$B$32,0))))))/Skills!H5,1)))/Inputs!$B$43),G668*Q668))*IF(Inputs!$B$38="pvp",1,1+(Inputs!$B$20+0+Skills!P5)/100),0)</f>
        <v/>
      </c>
      <c r="V668">
        <f>IF(C668,(H668*N668*IF(AND(Inputs!$B$38&lt;&gt;"pvp",Inputs!$B$43&gt;0),((Skills!G5*((R668-1)*IF(Skills!H5&gt;0,Skills!I5/Skills!H5,1)+IF(Skills!H5&gt;0,MIN(Skills!I5,MAX(0,MAX(0,Inputs!$B$43-B702)-((R668-1)*IF(Inputs!$B$38="pvp",15,MAX(0.1,Skills!D5-IF(Skills!E5=TRUE,Inputs!$B$32,0))))))/Skills!H5,1)))/Inputs!$B$43),G668*Q668))*IF(Inputs!$B$38="pvp",1,(1+(Inputs!$B$21+Skills!Q5)/100)*(MIN(Skills!R5,Inputs!$B$37))),0)</f>
        <v/>
      </c>
    </row>
    <row r="669">
      <c r="A669">
        <f>Skills!A6</f>
        <v/>
      </c>
      <c r="B669">
        <f>Skills!B6</f>
        <v/>
      </c>
      <c r="C669">
        <f>Inputs!$B$3&gt;=63</f>
        <v/>
      </c>
      <c r="D669">
        <f>IF(Skills!C6=1,60+Inputs!$B$25+Inputs!$B$29,IF(Skills!C6=2,90+Inputs!$B$26+Inputs!$B$29,IF(Skills!C6=3,120+Inputs!$B$27+Inputs!$B$29,MAX(0,(Inputs!$B$3-100)*3)+Inputs!$B$28+Inputs!$B$29)))</f>
        <v/>
      </c>
      <c r="E669">
        <f>INDEX(FactorTable!$B$2:$Y$301, MATCH(ROUND(MIN(300,MAX(1,D669)),0), FactorTable!$A$2:$A$301,0), Skills!M6+1)</f>
        <v/>
      </c>
      <c r="F669">
        <f>IF(Skills!N6=TRUE,(Skills!L6/10)*(E669/1000),Skills!L6/10)+Skills!O6</f>
        <v/>
      </c>
      <c r="G669">
        <f>Skills!G6*IF(Skills!H6&gt;0,Skills!I6/Skills!H6,1)</f>
        <v/>
      </c>
      <c r="H669">
        <f>1-(1-Skills!J6/100)^Skills!K6</f>
        <v/>
      </c>
      <c r="I669" t="inlineStr">
        <is>
          <t>1</t>
        </is>
      </c>
      <c r="J669">
        <f>((Inputs!$B$6*(1+Inputs!$B$7/100))+(((Inputs!$B$12*(1+Inputs!$B$13/100))-(Inputs!$B$12*(1+Inputs!$B$13/100)))+0.25*(Inputs!$B$14-Inputs!$B$14))*(1+Inputs!$B$7/100))*(F669/100)</f>
        <v/>
      </c>
      <c r="K669">
        <f>J669*(1+((Inputs!$B$12*(1+Inputs!$B$13/100))*0.01+Inputs!$B$14*0.0025)/100)*(1+Inputs!$B$15/100)*(1+Inputs!$B$16/100)*(5000/(6000+Inputs!$B$42*(1-(Inputs!$B$19+0)/100)))*(1+(Inputs!$B$24+((C687=TRUE)*(F687-Calc!F24))+((C688=TRUE)*(F688-Calc!F25))+B701)/100)*(1+1.0*IF(C671=TRUE,F671,0)/100)*(1+(IF(Skills!A6="EMPOWERED_PIERCING_ARROW",(Inputs!$B$17+1)+((C685=TRUE)*(F685-Calc!F22)),Inputs!$B$18+((C690=TRUE)*(F690-Calc!F27))))/100)*((1+(((C676=TRUE)*F676)+((C677=TRUE)*IF(Inputs!$B$38="pvp",F677,(1-Summary!$B$55)*(F677)+Summary!$B$55*(0)))+((C678=TRUE)*F678*IF(AND(Inputs!$B$38&lt;&gt;"pvp",Inputs!$B$43&gt;0),(((R678-1)*(Skills!T15*(1+Inputs!$B$34/100))+MIN((Skills!T15*(1+Inputs!$B$34/100)),MAX(0,Inputs!$B$43-((R678-1)*Skills!D15))))/Inputs!$B$43),IF(Inputs!$B$38="pvp",MIN((Skills!T15*(1+Inputs!$B$34/100)),15)/15,(Skills!T15*(1+Inputs!$B$34/100))/Skills!D15)))+((C675=TRUE)*F675)+((C692=TRUE)*(F692-Calc!F29)))/100)*I669)</f>
        <v/>
      </c>
      <c r="L669">
        <f>K669*(MIN(Inputs!$B$22+((C686=TRUE)*(F686-Calc!F23)),Inputs!$B$23+((C691=TRUE)*(F691-Calc!F28)))/100+(Inputs!$B$23+((C691=TRUE)*(F691-Calc!F28)))/100)/2</f>
        <v/>
      </c>
      <c r="M669">
        <f>L669*(1+(Inputs!$B$10+0+B700)/100)</f>
        <v/>
      </c>
      <c r="N669">
        <f>L669*(1-MIN((Inputs!$B$9+((C682=TRUE)*(F682-Calc!F19))+B695),100)/100)+M669*(MIN((Inputs!$B$9+((C682=TRUE)*(F682-Calc!F19))+B695),100)/100)</f>
        <v/>
      </c>
      <c r="O669">
        <f>(1-Summary!$B$55)*T669+Summary!$B$55*V669</f>
        <v/>
      </c>
      <c r="P669">
        <f>IF(B705=0,0,O669/B705)</f>
        <v/>
      </c>
      <c r="Q669">
        <f>IFERROR(1/IF(Inputs!$B$38="pvp",15,MAX(0.1,Skills!D6-IF(Skills!E6=TRUE,Inputs!$B$32,0))),0)</f>
        <v/>
      </c>
      <c r="R669">
        <f>IF(AND(Inputs!$B$38&lt;&gt;"pvp",Inputs!$B$43&gt;0),IF(MAX(0,Inputs!$B$43-B702)&lt;=0,0,(INT(MAX(0,Inputs!$B$43-B702)/IF(Inputs!$B$38="pvp",15,MAX(0.1,Skills!D6-IF(Skills!E6=TRUE,Inputs!$B$32,0))))+1)),0)</f>
        <v/>
      </c>
      <c r="S669">
        <f>IFERROR((H669*N669*IF(AND(Inputs!$B$38&lt;&gt;"pvp",Inputs!$B$43&gt;0),((Skills!G6*((R669-1)*IF(Skills!H6&gt;0,Skills!I6/Skills!H6,1)+IF(Skills!H6&gt;0,MIN(Skills!I6,MAX(0,MAX(0,Inputs!$B$43-B702)-((R669-1)*IF(Inputs!$B$38="pvp",15,MAX(0.1,Skills!D6-IF(Skills!E6=TRUE,Inputs!$B$32,0))))))/Skills!H6,1)))/Inputs!$B$43),G669*Q669))/N669*IF(Inputs!$B$38="pvp",1,(1-Summary!$B$55)*1+Summary!$B$55*(MIN(Skills!R6,Inputs!$B$37))),0)</f>
        <v/>
      </c>
      <c r="T669">
        <f>IF(C669,(H669*N669*IF(AND(Inputs!$B$38&lt;&gt;"pvp",Inputs!$B$43&gt;0),((Skills!G6*((R669-1)*IF(Skills!H6&gt;0,Skills!I6/Skills!H6,1)+IF(Skills!H6&gt;0,MIN(Skills!I6,MAX(0,MAX(0,Inputs!$B$43-B702)-((R669-1)*IF(Inputs!$B$38="pvp",15,MAX(0.1,Skills!D6-IF(Skills!E6=TRUE,Inputs!$B$32,0))))))/Skills!H6,1)))/Inputs!$B$43),G669*Q669))*IF(Inputs!$B$38="pvp",1,1+(Inputs!$B$20+0+Skills!P6)/100),0)</f>
        <v/>
      </c>
      <c r="V669">
        <f>IF(C669,(H669*N669*IF(AND(Inputs!$B$38&lt;&gt;"pvp",Inputs!$B$43&gt;0),((Skills!G6*((R669-1)*IF(Skills!H6&gt;0,Skills!I6/Skills!H6,1)+IF(Skills!H6&gt;0,MIN(Skills!I6,MAX(0,MAX(0,Inputs!$B$43-B702)-((R669-1)*IF(Inputs!$B$38="pvp",15,MAX(0.1,Skills!D6-IF(Skills!E6=TRUE,Inputs!$B$32,0))))))/Skills!H6,1)))/Inputs!$B$43),G669*Q669))*IF(Inputs!$B$38="pvp",1,(1+(Inputs!$B$21+Skills!Q6)/100)*(MIN(Skills!R6,Inputs!$B$37))),0)</f>
        <v/>
      </c>
    </row>
    <row r="670">
      <c r="A670">
        <f>Skills!A7</f>
        <v/>
      </c>
      <c r="B670">
        <f>Skills!B7</f>
        <v/>
      </c>
      <c r="C670">
        <f>Inputs!$B$3&gt;=69</f>
        <v/>
      </c>
      <c r="D670">
        <f>IF(Skills!C7=1,60+Inputs!$B$25+Inputs!$B$29,IF(Skills!C7=2,90+Inputs!$B$26+Inputs!$B$29,IF(Skills!C7=3,120+Inputs!$B$27+Inputs!$B$29,MAX(0,(Inputs!$B$3-100)*3)+Inputs!$B$28+Inputs!$B$29)))</f>
        <v/>
      </c>
      <c r="E670">
        <f>INDEX(FactorTable!$B$2:$Y$301, MATCH(ROUND(MIN(300,MAX(1,D670)),0), FactorTable!$A$2:$A$301,0), Skills!M7+1)</f>
        <v/>
      </c>
      <c r="F670">
        <f>IF(Skills!N7=TRUE,(Skills!L7/10)*(E670/1000),Skills!L7/10)+Skills!O7</f>
        <v/>
      </c>
      <c r="G670">
        <f>Skills!G7*IF(Skills!H7&gt;0,Skills!I7/Skills!H7,1)</f>
        <v/>
      </c>
      <c r="H670">
        <f>1-(1-Skills!J7/100)^Skills!K7</f>
        <v/>
      </c>
      <c r="I670" t="inlineStr">
        <is>
          <t>1</t>
        </is>
      </c>
      <c r="J670">
        <f>((Inputs!$B$6*(1+Inputs!$B$7/100))+(((Inputs!$B$12*(1+Inputs!$B$13/100))-(Inputs!$B$12*(1+Inputs!$B$13/100)))+0.25*(Inputs!$B$14-Inputs!$B$14))*(1+Inputs!$B$7/100))*(F670/100)</f>
        <v/>
      </c>
      <c r="K670">
        <f>J670*(1+((Inputs!$B$12*(1+Inputs!$B$13/100))*0.01+Inputs!$B$14*0.0025)/100)*(1+Inputs!$B$15/100)*(1+Inputs!$B$16/100)*(5000/(6000+Inputs!$B$42*(1-(Inputs!$B$19+0)/100)))*(1+(Inputs!$B$24+((C687=TRUE)*(F687-Calc!F24))+((C688=TRUE)*(F688-Calc!F25))+B701)/100)*(1+1.2*IF(C671=TRUE,F671,0)/100)*(1+(IF(Skills!A7="EMPOWERED_PIERCING_ARROW",(Inputs!$B$17+1)+((C685=TRUE)*(F685-Calc!F22)),Inputs!$B$18+((C690=TRUE)*(F690-Calc!F27))))/100)*((1+(((C676=TRUE)*F676)+((C677=TRUE)*IF(Inputs!$B$38="pvp",F677,(1-Summary!$B$55)*(F677)+Summary!$B$55*(0)))+((C678=TRUE)*F678*IF(AND(Inputs!$B$38&lt;&gt;"pvp",Inputs!$B$43&gt;0),(((R678-1)*(Skills!T15*(1+Inputs!$B$34/100))+MIN((Skills!T15*(1+Inputs!$B$34/100)),MAX(0,Inputs!$B$43-((R678-1)*Skills!D15))))/Inputs!$B$43),IF(Inputs!$B$38="pvp",MIN((Skills!T15*(1+Inputs!$B$34/100)),15)/15,(Skills!T15*(1+Inputs!$B$34/100))/Skills!D15)))+((C675=TRUE)*F675)+((C692=TRUE)*(F692-Calc!F29)))/100)*I670)</f>
        <v/>
      </c>
      <c r="L670">
        <f>K670*(MIN(Inputs!$B$22+((C686=TRUE)*(F686-Calc!F23)),Inputs!$B$23+((C691=TRUE)*(F691-Calc!F28)))/100+(Inputs!$B$23+((C691=TRUE)*(F691-Calc!F28)))/100)/2</f>
        <v/>
      </c>
      <c r="M670">
        <f>L670*(1+(Inputs!$B$10+0+B700)/100)</f>
        <v/>
      </c>
      <c r="N670">
        <f>L670*(1-MIN((Inputs!$B$9+((C682=TRUE)*(F682-Calc!F19))+B695),100)/100)+M670*(MIN((Inputs!$B$9+((C682=TRUE)*(F682-Calc!F19))+B695),100)/100)</f>
        <v/>
      </c>
      <c r="O670">
        <f>(1-Summary!$B$55)*T670+Summary!$B$55*V670</f>
        <v/>
      </c>
      <c r="P670">
        <f>IF(B705=0,0,O670/B705)</f>
        <v/>
      </c>
      <c r="Q670">
        <f>IFERROR(1/IF(Inputs!$B$38="pvp",15,MAX(0.1,Skills!D7-IF(Skills!E7=TRUE,Inputs!$B$32,0))),0)</f>
        <v/>
      </c>
      <c r="R670">
        <f>IF(AND(Inputs!$B$38&lt;&gt;"pvp",Inputs!$B$43&gt;0),IF(MAX(0,Inputs!$B$43-B702)&lt;=0,0,(INT(MAX(0,Inputs!$B$43-B702)/IF(Inputs!$B$38="pvp",15,MAX(0.1,Skills!D7-IF(Skills!E7=TRUE,Inputs!$B$32,0))))+1)),0)</f>
        <v/>
      </c>
      <c r="S670">
        <f>IFERROR((H670*N670*IF(AND(Inputs!$B$38&lt;&gt;"pvp",Inputs!$B$43&gt;0),((Skills!G7*((R670-1)*IF(Skills!H7&gt;0,Skills!I7/Skills!H7,1)+IF(Skills!H7&gt;0,MIN(Skills!I7,MAX(0,MAX(0,Inputs!$B$43-B702)-((R670-1)*IF(Inputs!$B$38="pvp",15,MAX(0.1,Skills!D7-IF(Skills!E7=TRUE,Inputs!$B$32,0))))))/Skills!H7,1)))/Inputs!$B$43),G670*Q670))/N670*IF(Inputs!$B$38="pvp",1,(1-Summary!$B$55)*1+Summary!$B$55*(MIN(Skills!R7,Inputs!$B$37))),0)</f>
        <v/>
      </c>
      <c r="T670">
        <f>IF(C670,(H670*N670*IF(AND(Inputs!$B$38&lt;&gt;"pvp",Inputs!$B$43&gt;0),((Skills!G7*((R670-1)*IF(Skills!H7&gt;0,Skills!I7/Skills!H7,1)+IF(Skills!H7&gt;0,MIN(Skills!I7,MAX(0,MAX(0,Inputs!$B$43-B702)-((R670-1)*IF(Inputs!$B$38="pvp",15,MAX(0.1,Skills!D7-IF(Skills!E7=TRUE,Inputs!$B$32,0))))))/Skills!H7,1)))/Inputs!$B$43),G670*Q670))*IF(Inputs!$B$38="pvp",1,1+(Inputs!$B$20+0+Skills!P7)/100),0)</f>
        <v/>
      </c>
      <c r="V670">
        <f>IF(C670,(H670*N670*IF(AND(Inputs!$B$38&lt;&gt;"pvp",Inputs!$B$43&gt;0),((Skills!G7*((R670-1)*IF(Skills!H7&gt;0,Skills!I7/Skills!H7,1)+IF(Skills!H7&gt;0,MIN(Skills!I7,MAX(0,MAX(0,Inputs!$B$43-B702)-((R670-1)*IF(Inputs!$B$38="pvp",15,MAX(0.1,Skills!D7-IF(Skills!E7=TRUE,Inputs!$B$32,0))))))/Skills!H7,1)))/Inputs!$B$43),G670*Q670))*IF(Inputs!$B$38="pvp",1,(1+(Inputs!$B$21+Skills!Q7)/100)*(MIN(Skills!R7,Inputs!$B$37))),0)</f>
        <v/>
      </c>
    </row>
    <row r="671">
      <c r="A671">
        <f>Skills!A8</f>
        <v/>
      </c>
      <c r="B671">
        <f>Skills!B8</f>
        <v/>
      </c>
      <c r="C671">
        <f>Inputs!$B$3&gt;=100</f>
        <v/>
      </c>
      <c r="D671">
        <f>IF(Skills!C8=1,60+Inputs!$B$25+Inputs!$B$29,IF(Skills!C8=2,90+Inputs!$B$26+Inputs!$B$29,IF(Skills!C8=3,120+Inputs!$B$27+Inputs!$B$29,MAX(0,(Inputs!$B$3-100)*3)+Inputs!$B$28+Inputs!$B$29)))</f>
        <v/>
      </c>
      <c r="E671">
        <f>INDEX(FactorTable!$B$2:$Y$301, MATCH(ROUND(MIN(300,MAX(1,D671)),0), FactorTable!$A$2:$A$301,0), Skills!M8+1)</f>
        <v/>
      </c>
      <c r="F671">
        <f>IF(Skills!N8=TRUE,(Skills!L8/10)*(E671/1000),Skills!L8/10)+Skills!O8</f>
        <v/>
      </c>
      <c r="G671" t="inlineStr"/>
      <c r="H671" t="inlineStr"/>
      <c r="I671" t="inlineStr">
        <is>
          <t>1</t>
        </is>
      </c>
      <c r="J671" t="inlineStr"/>
      <c r="K671" t="inlineStr"/>
      <c r="L671" t="inlineStr"/>
      <c r="M671" t="inlineStr"/>
      <c r="N671" t="inlineStr"/>
      <c r="O671" t="inlineStr"/>
      <c r="P671" t="inlineStr"/>
      <c r="Q671" t="inlineStr"/>
      <c r="R671" t="inlineStr"/>
      <c r="S671" t="inlineStr"/>
      <c r="T671" t="inlineStr"/>
      <c r="V671" t="inlineStr"/>
    </row>
    <row r="672">
      <c r="A672">
        <f>Skills!A9</f>
        <v/>
      </c>
      <c r="B672">
        <f>Skills!B9</f>
        <v/>
      </c>
      <c r="C672">
        <f>Inputs!$B$3&gt;=103</f>
        <v/>
      </c>
      <c r="D672">
        <f>IF(Skills!C9=1,60+Inputs!$B$25+Inputs!$B$29,IF(Skills!C9=2,90+Inputs!$B$26+Inputs!$B$29,IF(Skills!C9=3,120+Inputs!$B$27+Inputs!$B$29,MAX(0,(Inputs!$B$3-100)*3)+Inputs!$B$28+Inputs!$B$29)))</f>
        <v/>
      </c>
      <c r="E672">
        <f>INDEX(FactorTable!$B$2:$Y$301, MATCH(ROUND(MIN(300,MAX(1,D672)),0), FactorTable!$A$2:$A$301,0), Skills!M9+1)</f>
        <v/>
      </c>
      <c r="F672">
        <f>IF(Skills!N9=TRUE,(Skills!L9/10)*(E672/1000),Skills!L9/10)+Skills!O9</f>
        <v/>
      </c>
      <c r="G672">
        <f>Skills!G9*IF(Skills!H9&gt;0,Skills!I9/Skills!H9,1)</f>
        <v/>
      </c>
      <c r="H672">
        <f>1-(1-Skills!J9/100)^Skills!K9</f>
        <v/>
      </c>
      <c r="I672" t="inlineStr">
        <is>
          <t>1</t>
        </is>
      </c>
      <c r="J672">
        <f>((Inputs!$B$6*(1+Inputs!$B$7/100))+(((Inputs!$B$12*(1+Inputs!$B$13/100))-(Inputs!$B$12*(1+Inputs!$B$13/100)))+0.25*(Inputs!$B$14-Inputs!$B$14))*(1+Inputs!$B$7/100))*(F672/100)</f>
        <v/>
      </c>
      <c r="K672">
        <f>J672*(1+((Inputs!$B$12*(1+Inputs!$B$13/100))*0.01+Inputs!$B$14*0.0025)/100)*(1+Inputs!$B$15/100)*(1+Inputs!$B$16/100)*(5000/(6000+Inputs!$B$42*(1-(Inputs!$B$19+0)/100)))*(1+(Inputs!$B$24+((C687=TRUE)*(F687-Calc!F24))+((C688=TRUE)*(F688-Calc!F25))+B701)/100)*(1+(IF(Skills!A9="EMPOWERED_PIERCING_ARROW",(Inputs!$B$17+1)+((C685=TRUE)*(F685-Calc!F22)),Inputs!$B$18+((C690=TRUE)*(F690-Calc!F27))))/100)*((1+(((C676=TRUE)*F676)+((C677=TRUE)*IF(Inputs!$B$38="pvp",F677,(1-Summary!$B$55)*(F677)+Summary!$B$55*(0)))+((C678=TRUE)*F678*IF(AND(Inputs!$B$38&lt;&gt;"pvp",Inputs!$B$43&gt;0),(((R678-1)*(Skills!T15*(1+Inputs!$B$34/100))+MIN((Skills!T15*(1+Inputs!$B$34/100)),MAX(0,Inputs!$B$43-((R678-1)*Skills!D15))))/Inputs!$B$43),IF(Inputs!$B$38="pvp",MIN((Skills!T15*(1+Inputs!$B$34/100)),15)/15,(Skills!T15*(1+Inputs!$B$34/100))/Skills!D15)))+((C675=TRUE)*F675)+((C692=TRUE)*(F692-Calc!F29)))/100)*I672)</f>
        <v/>
      </c>
      <c r="L672">
        <f>K672*(MIN(Inputs!$B$22+((C686=TRUE)*(F686-Calc!F23)),Inputs!$B$23+((C691=TRUE)*(F691-Calc!F28)))/100+(Inputs!$B$23+((C691=TRUE)*(F691-Calc!F28)))/100)/2</f>
        <v/>
      </c>
      <c r="M672">
        <f>L672*(1+(Inputs!$B$10+0+B700)/100)</f>
        <v/>
      </c>
      <c r="N672">
        <f>L672*(1-MIN((Inputs!$B$9+((C682=TRUE)*(F682-Calc!F19))+B695),100)/100)+M672*(MIN((Inputs!$B$9+((C682=TRUE)*(F682-Calc!F19))+B695),100)/100)</f>
        <v/>
      </c>
      <c r="O672">
        <f>(1-Summary!$B$55)*T672+Summary!$B$55*V672</f>
        <v/>
      </c>
      <c r="P672">
        <f>IF(B705=0,0,O672/B705)</f>
        <v/>
      </c>
      <c r="Q672">
        <f>IFERROR(1/IF(Inputs!$B$38="pvp",15,MAX(0.1,Skills!D9-IF(Skills!E9=TRUE,Inputs!$B$32,0))),0)</f>
        <v/>
      </c>
      <c r="R672">
        <f>IF(AND(Inputs!$B$38&lt;&gt;"pvp",Inputs!$B$43&gt;0),IF(MAX(0,Inputs!$B$43-B702)&lt;=0,0,(INT(MAX(0,Inputs!$B$43-B702)/IF(Inputs!$B$38="pvp",15,MAX(0.1,Skills!D9-IF(Skills!E9=TRUE,Inputs!$B$32,0))))+1)),0)</f>
        <v/>
      </c>
      <c r="S672">
        <f>IFERROR((H672*N672*IF(AND(Inputs!$B$38&lt;&gt;"pvp",Inputs!$B$43&gt;0),((Skills!G9*((R672-1)*IF(Skills!H9&gt;0,Skills!I9/Skills!H9,1)+IF(Skills!H9&gt;0,MIN(Skills!I9,MAX(0,MAX(0,Inputs!$B$43-B702)-((R672-1)*IF(Inputs!$B$38="pvp",15,MAX(0.1,Skills!D9-IF(Skills!E9=TRUE,Inputs!$B$32,0))))))/Skills!H9,1)))/Inputs!$B$43),G672*Q672))/N672*IF(Inputs!$B$38="pvp",1,(1-Summary!$B$55)*1+Summary!$B$55*(MIN(Skills!R9,Inputs!$B$37))),0)</f>
        <v/>
      </c>
      <c r="T672">
        <f>IF(C672,(H672*N672*IF(AND(Inputs!$B$38&lt;&gt;"pvp",Inputs!$B$43&gt;0),((Skills!G9*((R672-1)*IF(Skills!H9&gt;0,Skills!I9/Skills!H9,1)+IF(Skills!H9&gt;0,MIN(Skills!I9,MAX(0,MAX(0,Inputs!$B$43-B702)-((R672-1)*IF(Inputs!$B$38="pvp",15,MAX(0.1,Skills!D9-IF(Skills!E9=TRUE,Inputs!$B$32,0))))))/Skills!H9,1)))/Inputs!$B$43),G672*Q672))*IF(Inputs!$B$38="pvp",1,1+(Inputs!$B$20+0+Skills!P9)/100),0)</f>
        <v/>
      </c>
      <c r="V672">
        <f>IF(C672,(H672*N672*IF(AND(Inputs!$B$38&lt;&gt;"pvp",Inputs!$B$43&gt;0),((Skills!G9*((R672-1)*IF(Skills!H9&gt;0,Skills!I9/Skills!H9,1)+IF(Skills!H9&gt;0,MIN(Skills!I9,MAX(0,MAX(0,Inputs!$B$43-B702)-((R672-1)*IF(Inputs!$B$38="pvp",15,MAX(0.1,Skills!D9-IF(Skills!E9=TRUE,Inputs!$B$32,0))))))/Skills!H9,1)))/Inputs!$B$43),G672*Q672))*IF(Inputs!$B$38="pvp",1,(1+(Inputs!$B$21+Skills!Q9)/100)*(MIN(Skills!R9,Inputs!$B$37))),0)</f>
        <v/>
      </c>
    </row>
    <row r="673">
      <c r="A673">
        <f>Skills!A10</f>
        <v/>
      </c>
      <c r="B673">
        <f>Skills!B10</f>
        <v/>
      </c>
      <c r="C673">
        <f>Inputs!$B$3&gt;=107</f>
        <v/>
      </c>
      <c r="D673">
        <f>IF(Skills!C10=1,60+Inputs!$B$25+Inputs!$B$29,IF(Skills!C10=2,90+Inputs!$B$26+Inputs!$B$29,IF(Skills!C10=3,120+Inputs!$B$27+Inputs!$B$29,MAX(0,(Inputs!$B$3-100)*3)+Inputs!$B$28+Inputs!$B$29)))</f>
        <v/>
      </c>
      <c r="E673">
        <f>INDEX(FactorTable!$B$2:$Y$301, MATCH(ROUND(MIN(300,MAX(1,D673)),0), FactorTable!$A$2:$A$301,0), Skills!M10+1)</f>
        <v/>
      </c>
      <c r="F673">
        <f>IF(Skills!N10=TRUE,(Skills!L10/10)*(E673/1000),Skills!L10/10)+Skills!O10</f>
        <v/>
      </c>
      <c r="G673">
        <f>Skills!G10*IF(Skills!H10&gt;0,Skills!I10/Skills!H10,1)</f>
        <v/>
      </c>
      <c r="H673">
        <f>1-(1-Skills!J10/100)^Skills!K10</f>
        <v/>
      </c>
      <c r="I673" t="inlineStr">
        <is>
          <t>1</t>
        </is>
      </c>
      <c r="J673">
        <f>((Inputs!$B$6*(1+Inputs!$B$7/100))+(((Inputs!$B$12*(1+Inputs!$B$13/100))-(Inputs!$B$12*(1+Inputs!$B$13/100)))+0.25*(Inputs!$B$14-Inputs!$B$14))*(1+Inputs!$B$7/100))*(F673/100)</f>
        <v/>
      </c>
      <c r="K673">
        <f>J673*(1+((Inputs!$B$12*(1+Inputs!$B$13/100))*0.01+Inputs!$B$14*0.0025)/100)*(1+Inputs!$B$15/100)*(1+Inputs!$B$16/100)*(5000/(6000+Inputs!$B$42*(1-(Inputs!$B$19+0)/100)))*(1+(Inputs!$B$24+((C687=TRUE)*(F687-Calc!F24))+((C688=TRUE)*(F688-Calc!F25))+B701)/100)*(1+(IF(Skills!A10="EMPOWERED_PIERCING_ARROW",(Inputs!$B$17+1)+((C685=TRUE)*(F685-Calc!F22)),Inputs!$B$18+((C690=TRUE)*(F690-Calc!F27))))/100)*((1+(((C676=TRUE)*F676)+((C677=TRUE)*IF(Inputs!$B$38="pvp",F677,(1-Summary!$B$55)*(F677)+Summary!$B$55*(0)))+((C678=TRUE)*F678*IF(AND(Inputs!$B$38&lt;&gt;"pvp",Inputs!$B$43&gt;0),(((R678-1)*(Skills!T15*(1+Inputs!$B$34/100))+MIN((Skills!T15*(1+Inputs!$B$34/100)),MAX(0,Inputs!$B$43-((R678-1)*Skills!D15))))/Inputs!$B$43),IF(Inputs!$B$38="pvp",MIN((Skills!T15*(1+Inputs!$B$34/100)),15)/15,(Skills!T15*(1+Inputs!$B$34/100))/Skills!D15)))+((C675=TRUE)*F675)+((C692=TRUE)*(F692-Calc!F29)))/100)*I673)</f>
        <v/>
      </c>
      <c r="L673">
        <f>K673*(MIN(Inputs!$B$22+((C686=TRUE)*(F686-Calc!F23)),Inputs!$B$23+((C691=TRUE)*(F691-Calc!F28)))/100+(Inputs!$B$23+((C691=TRUE)*(F691-Calc!F28)))/100)/2</f>
        <v/>
      </c>
      <c r="M673">
        <f>L673*(1+(Inputs!$B$10+0+B700)/100)</f>
        <v/>
      </c>
      <c r="N673">
        <f>L673*(1-MIN((Inputs!$B$9+((C682=TRUE)*(F682-Calc!F19))+B695),100)/100)+M673*(MIN((Inputs!$B$9+((C682=TRUE)*(F682-Calc!F19))+B695),100)/100)</f>
        <v/>
      </c>
      <c r="O673">
        <f>(1-Summary!$B$55)*T673+Summary!$B$55*V673</f>
        <v/>
      </c>
      <c r="P673">
        <f>IF(B705=0,0,O673/B705)</f>
        <v/>
      </c>
      <c r="Q673" t="n">
        <v>0</v>
      </c>
      <c r="R673" t="n">
        <v>0</v>
      </c>
      <c r="S673" t="n">
        <v>0</v>
      </c>
      <c r="T673">
        <f>IF(C673,(0.15*SUMPRODUCT((Skills!U2:U29=TRUE)*(C665:C692=TRUE)*S665:S692)*Skills!G10*N673)*IF(Inputs!$B$38="pvp",1,1+(Inputs!$B$20+0+Skills!P10)/100),0)</f>
        <v/>
      </c>
      <c r="V673">
        <f>IF(C673,(0.15*SUMPRODUCT((Skills!U2:U29=TRUE)*(C665:C692=TRUE)*S665:S692)*Skills!G10*N673)*IF(Inputs!$B$38="pvp",1,(1+(Inputs!$B$21+Skills!Q10)/100)*(MIN(Skills!R10,Inputs!$B$37))),0)</f>
        <v/>
      </c>
    </row>
    <row r="674">
      <c r="A674">
        <f>Skills!A11</f>
        <v/>
      </c>
      <c r="B674">
        <f>Skills!B11</f>
        <v/>
      </c>
      <c r="C674">
        <f>Inputs!$B$3&gt;=110</f>
        <v/>
      </c>
      <c r="D674">
        <f>IF(Skills!C11=1,60+Inputs!$B$25+Inputs!$B$29,IF(Skills!C11=2,90+Inputs!$B$26+Inputs!$B$29,IF(Skills!C11=3,120+Inputs!$B$27+Inputs!$B$29,MAX(0,(Inputs!$B$3-100)*3)+Inputs!$B$28+Inputs!$B$29)))</f>
        <v/>
      </c>
      <c r="E674">
        <f>INDEX(FactorTable!$B$2:$Y$301, MATCH(ROUND(MIN(300,MAX(1,D674)),0), FactorTable!$A$2:$A$301,0), Skills!M11+1)</f>
        <v/>
      </c>
      <c r="F674">
        <f>IF(Skills!N11=TRUE,(Skills!L11/10)*(E674/1000),Skills!L11/10)+Skills!O11</f>
        <v/>
      </c>
      <c r="G674">
        <f>Skills!G11*IF(Skills!H11&gt;0,Skills!I11/Skills!H11,1)</f>
        <v/>
      </c>
      <c r="H674">
        <f>1-(1-Skills!J11/100)^Skills!K11</f>
        <v/>
      </c>
      <c r="I674" t="inlineStr">
        <is>
          <t>1</t>
        </is>
      </c>
      <c r="J674">
        <f>((Inputs!$B$6*(1+Inputs!$B$7/100))+(((Inputs!$B$12*(1+Inputs!$B$13/100))-(Inputs!$B$12*(1+Inputs!$B$13/100)))+0.25*(Inputs!$B$14-Inputs!$B$14))*(1+Inputs!$B$7/100))*(F674/100)</f>
        <v/>
      </c>
      <c r="K674">
        <f>J674*(1+((Inputs!$B$12*(1+Inputs!$B$13/100))*0.01+Inputs!$B$14*0.0025)/100)*(1+Inputs!$B$15/100)*(1+Inputs!$B$16/100)*(5000/(6000+Inputs!$B$42*(1-(Inputs!$B$19+0)/100)))*(1+(Inputs!$B$24+((C687=TRUE)*(F687-Calc!F24))+((C688=TRUE)*(F688-Calc!F25))+B701)/100)*(1+(IF(Skills!A11="EMPOWERED_PIERCING_ARROW",(Inputs!$B$17+1)+((C685=TRUE)*(F685-Calc!F22)),Inputs!$B$18+((C690=TRUE)*(F690-Calc!F27))))/100)*((1+(((C676=TRUE)*F676)+((C677=TRUE)*IF(Inputs!$B$38="pvp",F677,(1-Summary!$B$55)*(F677)+Summary!$B$55*(0)))+((C678=TRUE)*F678*IF(AND(Inputs!$B$38&lt;&gt;"pvp",Inputs!$B$43&gt;0),(((R678-1)*(Skills!T15*(1+Inputs!$B$34/100))+MIN((Skills!T15*(1+Inputs!$B$34/100)),MAX(0,Inputs!$B$43-((R678-1)*Skills!D15))))/Inputs!$B$43),IF(Inputs!$B$38="pvp",MIN((Skills!T15*(1+Inputs!$B$34/100)),15)/15,(Skills!T15*(1+Inputs!$B$34/100))/Skills!D15)))+((C675=TRUE)*F675)+((C692=TRUE)*(F692-Calc!F29)))/100)*I674)</f>
        <v/>
      </c>
      <c r="L674">
        <f>K674*(MIN(Inputs!$B$22+((C686=TRUE)*(F686-Calc!F23)),Inputs!$B$23+((C691=TRUE)*(F691-Calc!F28)))/100+(Inputs!$B$23+((C691=TRUE)*(F691-Calc!F28)))/100)/2</f>
        <v/>
      </c>
      <c r="M674">
        <f>L674*(1+(Inputs!$B$10+0+B700)/100)</f>
        <v/>
      </c>
      <c r="N674">
        <f>L674*(1-MIN((Inputs!$B$9+((C682=TRUE)*(F682-Calc!F19))+B695),100)/100)+M674*(MIN((Inputs!$B$9+((C682=TRUE)*(F682-Calc!F19))+B695),100)/100)</f>
        <v/>
      </c>
      <c r="O674">
        <f>(1-Summary!$B$55)*T674+Summary!$B$55*V674</f>
        <v/>
      </c>
      <c r="P674">
        <f>IF(B705=0,0,O674/B705)</f>
        <v/>
      </c>
      <c r="Q674">
        <f>IFERROR(1/IF(Inputs!$B$38="pvp",15,MAX(0.1,Skills!D11-IF(Skills!E11=TRUE,Inputs!$B$32,0))),0)</f>
        <v/>
      </c>
      <c r="R674">
        <f>IF(AND(Inputs!$B$38&lt;&gt;"pvp",Inputs!$B$43&gt;0),IF(MAX(0,Inputs!$B$43-B702)&lt;=0,0,(INT(MAX(0,Inputs!$B$43-B702)/IF(Inputs!$B$38="pvp",15,MAX(0.1,Skills!D11-IF(Skills!E11=TRUE,Inputs!$B$32,0))))+1)),0)</f>
        <v/>
      </c>
      <c r="S674">
        <f>IFERROR((H674*N674*IF(AND(Inputs!$B$38&lt;&gt;"pvp",Inputs!$B$43&gt;0),((Skills!G11*((R674-1)*IF(Skills!H11&gt;0,Skills!I11/Skills!H11,1)+IF(Skills!H11&gt;0,MIN(Skills!I11,MAX(0,MAX(0,Inputs!$B$43-B702)-((R674-1)*IF(Inputs!$B$38="pvp",15,MAX(0.1,Skills!D11-IF(Skills!E11=TRUE,Inputs!$B$32,0))))))/Skills!H11,1)))/Inputs!$B$43),G674*Q674))/N674*IF(Inputs!$B$38="pvp",1,(1-Summary!$B$55)*1+Summary!$B$55*(MIN(Skills!R11,Inputs!$B$37))),0)</f>
        <v/>
      </c>
      <c r="T674">
        <f>IF(C674,(H674*N674*IF(AND(Inputs!$B$38&lt;&gt;"pvp",Inputs!$B$43&gt;0),((Skills!G11*((R674-1)*IF(Skills!H11&gt;0,Skills!I11/Skills!H11,1)+IF(Skills!H11&gt;0,MIN(Skills!I11,MAX(0,MAX(0,Inputs!$B$43-B702)-((R674-1)*IF(Inputs!$B$38="pvp",15,MAX(0.1,Skills!D11-IF(Skills!E11=TRUE,Inputs!$B$32,0))))))/Skills!H11,1)))/Inputs!$B$43),G674*Q674))*IF(Inputs!$B$38="pvp",1,1+(Inputs!$B$20+0+Skills!P11)/100),0)</f>
        <v/>
      </c>
      <c r="V674">
        <f>IF(C674,(H674*N674*IF(AND(Inputs!$B$38&lt;&gt;"pvp",Inputs!$B$43&gt;0),((Skills!G11*((R674-1)*IF(Skills!H11&gt;0,Skills!I11/Skills!H11,1)+IF(Skills!H11&gt;0,MIN(Skills!I11,MAX(0,MAX(0,Inputs!$B$43-B702)-((R674-1)*IF(Inputs!$B$38="pvp",15,MAX(0.1,Skills!D11-IF(Skills!E11=TRUE,Inputs!$B$32,0))))))/Skills!H11,1)))/Inputs!$B$43),G674*Q674))*IF(Inputs!$B$38="pvp",1,(1+(Inputs!$B$21+Skills!Q11)/100)*(MIN(Skills!R11,Inputs!$B$37))),0)</f>
        <v/>
      </c>
    </row>
    <row r="675">
      <c r="A675">
        <f>Skills!A12</f>
        <v/>
      </c>
      <c r="B675">
        <f>Skills!B12</f>
        <v/>
      </c>
      <c r="C675">
        <f>Inputs!$B$3&gt;=60</f>
        <v/>
      </c>
      <c r="D675">
        <f>IF(Skills!C12=1,60+Inputs!$B$25+Inputs!$B$29,IF(Skills!C12=2,90+Inputs!$B$26+Inputs!$B$29,IF(Skills!C12=3,120+Inputs!$B$27+Inputs!$B$29,MAX(0,(Inputs!$B$3-100)*3)+Inputs!$B$28+Inputs!$B$29)))</f>
        <v/>
      </c>
      <c r="E675">
        <f>INDEX(FactorTable!$B$2:$Y$301, MATCH(ROUND(MIN(300,MAX(1,D675)),0), FactorTable!$A$2:$A$301,0), Skills!M12+1)</f>
        <v/>
      </c>
      <c r="F675">
        <f>IF(Skills!N12=TRUE,(Skills!L12/10)*(E675/1000),Skills!L12/10)+Skills!O12</f>
        <v/>
      </c>
      <c r="G675">
        <f>Skills!G12*IF(Skills!H12&gt;0,Skills!I12/Skills!H12,1)</f>
        <v/>
      </c>
      <c r="H675">
        <f>1-(1-Skills!J12/100)^Skills!K12</f>
        <v/>
      </c>
      <c r="I675" t="inlineStr">
        <is>
          <t>1</t>
        </is>
      </c>
      <c r="J675" t="inlineStr"/>
      <c r="K675" t="inlineStr"/>
      <c r="L675" t="inlineStr"/>
      <c r="M675" t="inlineStr"/>
      <c r="N675" t="inlineStr"/>
      <c r="O675">
        <f>(1-Summary!$B$55)*T675+Summary!$B$55*V675</f>
        <v/>
      </c>
      <c r="P675">
        <f>IF(B705=0,0,O675/B705)</f>
        <v/>
      </c>
      <c r="Q675" t="n">
        <v>0</v>
      </c>
      <c r="R675" t="n">
        <v>0</v>
      </c>
      <c r="S675" t="n">
        <v>0</v>
      </c>
      <c r="T675" t="n">
        <v>0</v>
      </c>
      <c r="V675" t="n">
        <v>0</v>
      </c>
    </row>
    <row r="676">
      <c r="A676">
        <f>Skills!A13</f>
        <v/>
      </c>
      <c r="B676">
        <f>Skills!B13</f>
        <v/>
      </c>
      <c r="C676">
        <f>Inputs!$B$3&gt;=74</f>
        <v/>
      </c>
      <c r="D676">
        <f>IF(Skills!C13=1,60+Inputs!$B$25+Inputs!$B$29,IF(Skills!C13=2,90+Inputs!$B$26+Inputs!$B$29,IF(Skills!C13=3,120+Inputs!$B$27+Inputs!$B$29,MAX(0,(Inputs!$B$3-100)*3)+Inputs!$B$28+Inputs!$B$29)))</f>
        <v/>
      </c>
      <c r="E676">
        <f>INDEX(FactorTable!$B$2:$Y$301, MATCH(ROUND(MIN(300,MAX(1,D676)),0), FactorTable!$A$2:$A$301,0), Skills!M13+1)</f>
        <v/>
      </c>
      <c r="F676">
        <f>IF(Skills!N13=TRUE,(Skills!L13/10)*(E676/1000),Skills!L13/10)+Skills!O13</f>
        <v/>
      </c>
      <c r="G676">
        <f>Skills!G13*IF(Skills!H13&gt;0,Skills!I13/Skills!H13,1)</f>
        <v/>
      </c>
      <c r="H676">
        <f>1-(1-Skills!J13/100)^Skills!K13</f>
        <v/>
      </c>
      <c r="I676" t="inlineStr">
        <is>
          <t>1</t>
        </is>
      </c>
      <c r="J676" t="inlineStr"/>
      <c r="K676" t="inlineStr"/>
      <c r="L676" t="inlineStr"/>
      <c r="M676" t="inlineStr"/>
      <c r="N676" t="inlineStr"/>
      <c r="O676">
        <f>(1-Summary!$B$55)*T676+Summary!$B$55*V676</f>
        <v/>
      </c>
      <c r="P676">
        <f>IF(B705=0,0,O676/B705)</f>
        <v/>
      </c>
      <c r="Q676" t="n">
        <v>0</v>
      </c>
      <c r="R676" t="n">
        <v>0</v>
      </c>
      <c r="S676" t="n">
        <v>0</v>
      </c>
      <c r="T676" t="n">
        <v>0</v>
      </c>
      <c r="V676" t="n">
        <v>0</v>
      </c>
    </row>
    <row r="677">
      <c r="A677">
        <f>Skills!A14</f>
        <v/>
      </c>
      <c r="B677">
        <f>Skills!B14</f>
        <v/>
      </c>
      <c r="C677">
        <f>Inputs!$B$3&gt;=74</f>
        <v/>
      </c>
      <c r="D677">
        <f>IF(Skills!C14=1,60+Inputs!$B$25+Inputs!$B$29,IF(Skills!C14=2,90+Inputs!$B$26+Inputs!$B$29,IF(Skills!C14=3,120+Inputs!$B$27+Inputs!$B$29,MAX(0,(Inputs!$B$3-100)*3)+Inputs!$B$28+Inputs!$B$29)))</f>
        <v/>
      </c>
      <c r="E677">
        <f>INDEX(FactorTable!$B$2:$Y$301, MATCH(ROUND(MIN(300,MAX(1,D677)),0), FactorTable!$A$2:$A$301,0), Skills!M14+1)</f>
        <v/>
      </c>
      <c r="F677">
        <f>IF(Skills!N14=TRUE,(Skills!L14/10)*(E677/1000),Skills!L14/10)+Skills!O14</f>
        <v/>
      </c>
      <c r="G677">
        <f>Skills!G14*IF(Skills!H14&gt;0,Skills!I14/Skills!H14,1)</f>
        <v/>
      </c>
      <c r="H677">
        <f>1-(1-Skills!J14/100)^Skills!K14</f>
        <v/>
      </c>
      <c r="I677" t="inlineStr">
        <is>
          <t>1</t>
        </is>
      </c>
      <c r="J677" t="inlineStr"/>
      <c r="K677" t="inlineStr"/>
      <c r="L677" t="inlineStr"/>
      <c r="M677" t="inlineStr"/>
      <c r="N677" t="inlineStr"/>
      <c r="O677">
        <f>(1-Summary!$B$55)*T677+Summary!$B$55*V677</f>
        <v/>
      </c>
      <c r="P677">
        <f>IF(B705=0,0,O677/B705)</f>
        <v/>
      </c>
      <c r="Q677" t="n">
        <v>0</v>
      </c>
      <c r="R677" t="n">
        <v>0</v>
      </c>
      <c r="S677" t="n">
        <v>0</v>
      </c>
      <c r="T677" t="n">
        <v>0</v>
      </c>
      <c r="V677" t="n">
        <v>0</v>
      </c>
    </row>
    <row r="678">
      <c r="A678">
        <f>Skills!A15</f>
        <v/>
      </c>
      <c r="B678">
        <f>Skills!B15</f>
        <v/>
      </c>
      <c r="C678">
        <f>Inputs!$B$3&gt;=117</f>
        <v/>
      </c>
      <c r="D678">
        <f>IF(Skills!C15=1,60+Inputs!$B$25+Inputs!$B$29,IF(Skills!C15=2,90+Inputs!$B$26+Inputs!$B$29,IF(Skills!C15=3,120+Inputs!$B$27+Inputs!$B$29,MAX(0,(Inputs!$B$3-100)*3)+Inputs!$B$28+Inputs!$B$29)))</f>
        <v/>
      </c>
      <c r="E678">
        <f>INDEX(FactorTable!$B$2:$Y$301, MATCH(ROUND(MIN(300,MAX(1,D678)),0), FactorTable!$A$2:$A$301,0), Skills!M15+1)</f>
        <v/>
      </c>
      <c r="F678">
        <f>IF(Skills!N15=TRUE,(Skills!L15/10)*(E678/1000),Skills!L15/10)+Skills!O15</f>
        <v/>
      </c>
      <c r="G678">
        <f>Skills!G15*IF(Skills!H15&gt;0,Skills!I15/Skills!H15,1)</f>
        <v/>
      </c>
      <c r="H678">
        <f>1-(1-Skills!J15/100)^Skills!K15</f>
        <v/>
      </c>
      <c r="I678" t="inlineStr">
        <is>
          <t>1</t>
        </is>
      </c>
      <c r="J678" t="inlineStr"/>
      <c r="K678" t="inlineStr"/>
      <c r="L678" t="inlineStr"/>
      <c r="M678" t="inlineStr"/>
      <c r="N678" t="inlineStr"/>
      <c r="O678">
        <f>(1-Summary!$B$55)*T678+Summary!$B$55*V678</f>
        <v/>
      </c>
      <c r="P678">
        <f>IF(B705=0,0,O678/B705)</f>
        <v/>
      </c>
      <c r="Q678">
        <f>IFERROR(1/IF(Inputs!$B$38="pvp",15,MAX(0.1,Skills!D15-IF(Skills!E15=TRUE,Inputs!$B$32,0))),0)</f>
        <v/>
      </c>
      <c r="R678">
        <f>IF(AND(Inputs!$B$38&lt;&gt;"pvp",Inputs!$B$43&gt;0),IF(Inputs!$B$43&lt;=0,0,(INT(Inputs!$B$43/IF(Inputs!$B$38="pvp",15,MAX(0.1,Skills!D15-IF(Skills!E15=TRUE,Inputs!$B$32,0))))+1)),0)</f>
        <v/>
      </c>
      <c r="S678" t="n">
        <v>0</v>
      </c>
      <c r="T678" t="n">
        <v>0</v>
      </c>
      <c r="V678" t="n">
        <v>0</v>
      </c>
    </row>
    <row r="679">
      <c r="A679">
        <f>Skills!A16</f>
        <v/>
      </c>
      <c r="B679">
        <f>Skills!B16</f>
        <v/>
      </c>
      <c r="C679">
        <f>Inputs!$B$3&gt;=115</f>
        <v/>
      </c>
      <c r="D679">
        <f>IF(Skills!C16=1,60+Inputs!$B$25+Inputs!$B$29,IF(Skills!C16=2,90+Inputs!$B$26+Inputs!$B$29,IF(Skills!C16=3,120+Inputs!$B$27+Inputs!$B$29,MAX(0,(Inputs!$B$3-100)*3)+Inputs!$B$28+Inputs!$B$29)))</f>
        <v/>
      </c>
      <c r="E679">
        <f>INDEX(FactorTable!$B$2:$Y$301, MATCH(ROUND(MIN(300,MAX(1,D679)),0), FactorTable!$A$2:$A$301,0), Skills!M16+1)</f>
        <v/>
      </c>
      <c r="F679">
        <f>IF(Skills!N16=TRUE,(Skills!L16/10)*(E679/1000),Skills!L16/10)+Skills!O16</f>
        <v/>
      </c>
      <c r="G679">
        <f>Skills!G16*IF(Skills!H16&gt;0,Skills!I16/Skills!H16,1)</f>
        <v/>
      </c>
      <c r="H679">
        <f>1-(1-Skills!J16/100)^Skills!K16</f>
        <v/>
      </c>
      <c r="I679" t="inlineStr">
        <is>
          <t>1</t>
        </is>
      </c>
      <c r="J679" t="inlineStr"/>
      <c r="K679" t="inlineStr"/>
      <c r="L679" t="inlineStr"/>
      <c r="M679" t="inlineStr"/>
      <c r="N679" t="inlineStr"/>
      <c r="O679">
        <f>(1-Summary!$B$55)*T679+Summary!$B$55*V679</f>
        <v/>
      </c>
      <c r="P679">
        <f>IF(B705=0,0,O679/B705)</f>
        <v/>
      </c>
      <c r="Q679">
        <f>IFERROR(1/IF(Inputs!$B$38="pvp",15,MAX(0.1,Skills!D16-IF(Skills!E16=TRUE,Inputs!$B$32,0))),0)</f>
        <v/>
      </c>
      <c r="R679">
        <f>IF(AND(Inputs!$B$38&lt;&gt;"pvp",Inputs!$B$43&gt;0),IF(Inputs!$B$43&lt;=0,0,(INT(Inputs!$B$43/IF(Inputs!$B$38="pvp",15,MAX(0.1,Skills!D16-IF(Skills!E16=TRUE,Inputs!$B$32,0))))+1)),0)</f>
        <v/>
      </c>
      <c r="S679" t="n">
        <v>0</v>
      </c>
      <c r="T679" t="n">
        <v>0</v>
      </c>
      <c r="V679" t="n">
        <v>0</v>
      </c>
    </row>
    <row r="680">
      <c r="A680">
        <f>Skills!A17</f>
        <v/>
      </c>
      <c r="B680">
        <f>Skills!B17</f>
        <v/>
      </c>
      <c r="C680">
        <f>Inputs!$B$3&gt;=72</f>
        <v/>
      </c>
      <c r="D680">
        <f>IF(Skills!C17=1,60+Inputs!$B$25+Inputs!$B$29,IF(Skills!C17=2,90+Inputs!$B$26+Inputs!$B$29,IF(Skills!C17=3,120+Inputs!$B$27+Inputs!$B$29,MAX(0,(Inputs!$B$3-100)*3)+Inputs!$B$28+Inputs!$B$29)))</f>
        <v/>
      </c>
      <c r="E680">
        <f>INDEX(FactorTable!$B$2:$Y$301, MATCH(ROUND(MIN(300,MAX(1,D680)),0), FactorTable!$A$2:$A$301,0), Skills!M17+1)</f>
        <v/>
      </c>
      <c r="F680">
        <f>IF(Skills!N17=TRUE,(Skills!L17/10)*(E680/1000),Skills!L17/10)+Skills!O17</f>
        <v/>
      </c>
      <c r="G680">
        <f>Skills!G17*IF(Skills!H17&gt;0,Skills!I17/Skills!H17,1)</f>
        <v/>
      </c>
      <c r="H680">
        <f>1-(1-Skills!J17/100)^Skills!K17</f>
        <v/>
      </c>
      <c r="I680" t="inlineStr">
        <is>
          <t>1</t>
        </is>
      </c>
      <c r="J680" t="inlineStr"/>
      <c r="K680" t="inlineStr"/>
      <c r="L680" t="inlineStr"/>
      <c r="M680" t="inlineStr"/>
      <c r="N680" t="inlineStr"/>
      <c r="O680">
        <f>(1-Summary!$B$55)*T680+Summary!$B$55*V680</f>
        <v/>
      </c>
      <c r="P680">
        <f>IF(B705=0,0,O680/B705)</f>
        <v/>
      </c>
      <c r="Q680" t="n">
        <v>0</v>
      </c>
      <c r="R680" t="n">
        <v>0</v>
      </c>
      <c r="S680" t="n">
        <v>0</v>
      </c>
      <c r="T680" t="n">
        <v>0</v>
      </c>
      <c r="V680" t="n">
        <v>0</v>
      </c>
    </row>
    <row r="681">
      <c r="A681">
        <f>Skills!A18</f>
        <v/>
      </c>
      <c r="B681">
        <f>Skills!B18</f>
        <v/>
      </c>
      <c r="C681">
        <f>TRUE</f>
        <v/>
      </c>
      <c r="D681">
        <f>IF(Skills!C18=1,60+Inputs!$B$25+Inputs!$B$29,IF(Skills!C18=2,90+Inputs!$B$26+Inputs!$B$29,IF(Skills!C18=3,120+Inputs!$B$27+Inputs!$B$29,MAX(0,(Inputs!$B$3-100)*3)+Inputs!$B$28+Inputs!$B$29)))</f>
        <v/>
      </c>
      <c r="E681">
        <f>INDEX(FactorTable!$B$2:$Y$301, MATCH(ROUND(MIN(300,MAX(1,D681)),0), FactorTable!$A$2:$A$301,0), Skills!M18+1)</f>
        <v/>
      </c>
      <c r="F681">
        <f>IF(Skills!N18=TRUE,(Skills!L18/10)*(E681/1000),Skills!L18/10)+Skills!O18</f>
        <v/>
      </c>
      <c r="G681">
        <f>Skills!G18*IF(Skills!H18&gt;0,Skills!I18/Skills!H18,1)</f>
        <v/>
      </c>
      <c r="H681">
        <f>1-(1-Skills!J18/100)^Skills!K18</f>
        <v/>
      </c>
      <c r="I681" t="inlineStr">
        <is>
          <t>1</t>
        </is>
      </c>
      <c r="J681" t="inlineStr"/>
      <c r="K681" t="inlineStr"/>
      <c r="L681" t="inlineStr"/>
      <c r="M681" t="inlineStr"/>
      <c r="N681" t="inlineStr"/>
      <c r="O681">
        <f>(1-Summary!$B$55)*T681+Summary!$B$55*V681</f>
        <v/>
      </c>
      <c r="P681">
        <f>IF(B705=0,0,O681/B705)</f>
        <v/>
      </c>
      <c r="Q681">
        <f>IFERROR(1/IF(Inputs!$B$38="pvp",15,MAX(0.1,Skills!D18-IF(Skills!E18=TRUE,Inputs!$B$32,0))),0)</f>
        <v/>
      </c>
      <c r="R681">
        <f>IF(AND(Inputs!$B$38&lt;&gt;"pvp",Inputs!$B$43&gt;0),IF(Inputs!$B$43&lt;=0,0,(INT(Inputs!$B$43/IF(Inputs!$B$38="pvp",15,MAX(0.1,Skills!D18-IF(Skills!E18=TRUE,Inputs!$B$32,0))))+1)),0)</f>
        <v/>
      </c>
      <c r="S681" t="n">
        <v>0</v>
      </c>
      <c r="T681" t="n">
        <v>0</v>
      </c>
      <c r="V681" t="n">
        <v>0</v>
      </c>
    </row>
    <row r="682">
      <c r="A682">
        <f>Skills!A19</f>
        <v/>
      </c>
      <c r="B682">
        <f>Skills!B19</f>
        <v/>
      </c>
      <c r="C682">
        <f>Inputs!$B$3&gt;=15</f>
        <v/>
      </c>
      <c r="D682">
        <f>IF(Skills!C19=1,60+Inputs!$B$25+Inputs!$B$29,IF(Skills!C19=2,90+Inputs!$B$26+Inputs!$B$29,IF(Skills!C19=3,120+Inputs!$B$27+Inputs!$B$29,MAX(0,(Inputs!$B$3-100)*3)+Inputs!$B$28+Inputs!$B$29)))</f>
        <v/>
      </c>
      <c r="E682">
        <f>INDEX(FactorTable!$B$2:$Y$301, MATCH(ROUND(MIN(300,MAX(1,D682)),0), FactorTable!$A$2:$A$301,0), Skills!M19+1)</f>
        <v/>
      </c>
      <c r="F682">
        <f>IF(Skills!N19=TRUE,(Skills!L19/10)*(E682/1000),Skills!L19/10)+Skills!O19</f>
        <v/>
      </c>
      <c r="G682">
        <f>Skills!G19*IF(Skills!H19&gt;0,Skills!I19/Skills!H19,1)</f>
        <v/>
      </c>
      <c r="H682">
        <f>1-(1-Skills!J19/100)^Skills!K19</f>
        <v/>
      </c>
      <c r="I682" t="inlineStr">
        <is>
          <t>1</t>
        </is>
      </c>
      <c r="J682" t="inlineStr"/>
      <c r="K682" t="inlineStr"/>
      <c r="L682" t="inlineStr"/>
      <c r="M682" t="inlineStr"/>
      <c r="N682" t="inlineStr"/>
      <c r="O682">
        <f>(1-Summary!$B$55)*T682+Summary!$B$55*V682</f>
        <v/>
      </c>
      <c r="P682">
        <f>IF(B705=0,0,O682/B705)</f>
        <v/>
      </c>
      <c r="Q682" t="n">
        <v>0</v>
      </c>
      <c r="R682" t="n">
        <v>0</v>
      </c>
      <c r="S682" t="n">
        <v>0</v>
      </c>
      <c r="T682" t="n">
        <v>0</v>
      </c>
      <c r="V682" t="n">
        <v>0</v>
      </c>
    </row>
    <row r="683">
      <c r="A683">
        <f>Skills!A20</f>
        <v/>
      </c>
      <c r="B683">
        <f>Skills!B20</f>
        <v/>
      </c>
      <c r="C683">
        <f>Inputs!$B$3&gt;=10</f>
        <v/>
      </c>
      <c r="D683">
        <f>IF(Skills!C20=1,60+Inputs!$B$25+Inputs!$B$29,IF(Skills!C20=2,90+Inputs!$B$26+Inputs!$B$29,IF(Skills!C20=3,120+Inputs!$B$27+Inputs!$B$29,MAX(0,(Inputs!$B$3-100)*3)+Inputs!$B$28+Inputs!$B$29)))</f>
        <v/>
      </c>
      <c r="E683">
        <f>INDEX(FactorTable!$B$2:$Y$301, MATCH(ROUND(MIN(300,MAX(1,D683)),0), FactorTable!$A$2:$A$301,0), Skills!M20+1)</f>
        <v/>
      </c>
      <c r="F683">
        <f>IF(Skills!N20=TRUE,(Skills!L20/10)*(E683/1000),Skills!L20/10)+Skills!O20</f>
        <v/>
      </c>
      <c r="G683">
        <f>Skills!G20*IF(Skills!H20&gt;0,Skills!I20/Skills!H20,1)</f>
        <v/>
      </c>
      <c r="H683">
        <f>1-(1-Skills!J20/100)^Skills!K20</f>
        <v/>
      </c>
      <c r="I683" t="inlineStr">
        <is>
          <t>1</t>
        </is>
      </c>
      <c r="J683" t="inlineStr"/>
      <c r="K683" t="inlineStr"/>
      <c r="L683" t="inlineStr"/>
      <c r="M683" t="inlineStr"/>
      <c r="N683" t="inlineStr"/>
      <c r="O683">
        <f>(1-Summary!$B$55)*T683+Summary!$B$55*V683</f>
        <v/>
      </c>
      <c r="P683">
        <f>IF(B705=0,0,O683/B705)</f>
        <v/>
      </c>
      <c r="Q683" t="n">
        <v>0</v>
      </c>
      <c r="R683" t="n">
        <v>0</v>
      </c>
      <c r="S683" t="n">
        <v>0</v>
      </c>
      <c r="T683" t="n">
        <v>0</v>
      </c>
      <c r="V683" t="n">
        <v>0</v>
      </c>
    </row>
    <row r="684">
      <c r="A684">
        <f>Skills!A21</f>
        <v/>
      </c>
      <c r="B684">
        <f>Skills!B21</f>
        <v/>
      </c>
      <c r="C684">
        <f>Inputs!$B$3&gt;=33</f>
        <v/>
      </c>
      <c r="D684">
        <f>IF(Skills!C21=1,60+Inputs!$B$25+Inputs!$B$29,IF(Skills!C21=2,90+Inputs!$B$26+Inputs!$B$29,IF(Skills!C21=3,120+Inputs!$B$27+Inputs!$B$29,MAX(0,(Inputs!$B$3-100)*3)+Inputs!$B$28+Inputs!$B$29)))</f>
        <v/>
      </c>
      <c r="E684">
        <f>INDEX(FactorTable!$B$2:$Y$301, MATCH(ROUND(MIN(300,MAX(1,D684)),0), FactorTable!$A$2:$A$301,0), Skills!M21+1)</f>
        <v/>
      </c>
      <c r="F684">
        <f>IF(Skills!N21=TRUE,(Skills!L21/10)*(E684/1000),Skills!L21/10)+Skills!O21</f>
        <v/>
      </c>
      <c r="G684">
        <f>Skills!G21*IF(Skills!H21&gt;0,Skills!I21/Skills!H21,1)</f>
        <v/>
      </c>
      <c r="H684">
        <f>1-(1-Skills!J21/100)^Skills!K21</f>
        <v/>
      </c>
      <c r="I684" t="inlineStr">
        <is>
          <t>1</t>
        </is>
      </c>
      <c r="J684" t="inlineStr"/>
      <c r="K684" t="inlineStr"/>
      <c r="L684" t="inlineStr"/>
      <c r="M684" t="inlineStr"/>
      <c r="N684" t="inlineStr"/>
      <c r="O684">
        <f>(1-Summary!$B$55)*T684+Summary!$B$55*V684</f>
        <v/>
      </c>
      <c r="P684">
        <f>IF(B705=0,0,O684/B705)</f>
        <v/>
      </c>
      <c r="Q684" t="n">
        <v>0</v>
      </c>
      <c r="R684" t="n">
        <v>0</v>
      </c>
      <c r="S684" t="n">
        <v>0</v>
      </c>
      <c r="T684" t="n">
        <v>0</v>
      </c>
      <c r="V684" t="n">
        <v>0</v>
      </c>
    </row>
    <row r="685">
      <c r="A685">
        <f>Skills!A22</f>
        <v/>
      </c>
      <c r="B685">
        <f>Skills!B22</f>
        <v/>
      </c>
      <c r="C685">
        <f>Inputs!$B$3&gt;=38</f>
        <v/>
      </c>
      <c r="D685">
        <f>IF(Skills!C22=1,60+Inputs!$B$25+Inputs!$B$29,IF(Skills!C22=2,90+Inputs!$B$26+Inputs!$B$29,IF(Skills!C22=3,120+Inputs!$B$27+Inputs!$B$29,MAX(0,(Inputs!$B$3-100)*3)+Inputs!$B$28+Inputs!$B$29)))</f>
        <v/>
      </c>
      <c r="E685">
        <f>INDEX(FactorTable!$B$2:$Y$301, MATCH(ROUND(MIN(300,MAX(1,D685)),0), FactorTable!$A$2:$A$301,0), Skills!M22+1)</f>
        <v/>
      </c>
      <c r="F685">
        <f>IF(Skills!N22=TRUE,(Skills!L22/10)*(E685/1000),Skills!L22/10)+Skills!O22</f>
        <v/>
      </c>
      <c r="G685">
        <f>Skills!G22*IF(Skills!H22&gt;0,Skills!I22/Skills!H22,1)</f>
        <v/>
      </c>
      <c r="H685">
        <f>1-(1-Skills!J22/100)^Skills!K22</f>
        <v/>
      </c>
      <c r="I685" t="inlineStr">
        <is>
          <t>1</t>
        </is>
      </c>
      <c r="J685" t="inlineStr"/>
      <c r="K685" t="inlineStr"/>
      <c r="L685" t="inlineStr"/>
      <c r="M685" t="inlineStr"/>
      <c r="N685" t="inlineStr"/>
      <c r="O685">
        <f>(1-Summary!$B$55)*T685+Summary!$B$55*V685</f>
        <v/>
      </c>
      <c r="P685">
        <f>IF(B705=0,0,O685/B705)</f>
        <v/>
      </c>
      <c r="Q685" t="n">
        <v>0</v>
      </c>
      <c r="R685" t="n">
        <v>0</v>
      </c>
      <c r="S685" t="n">
        <v>0</v>
      </c>
      <c r="T685" t="n">
        <v>0</v>
      </c>
      <c r="V685" t="n">
        <v>0</v>
      </c>
    </row>
    <row r="686">
      <c r="A686">
        <f>Skills!A23</f>
        <v/>
      </c>
      <c r="B686">
        <f>Skills!B23</f>
        <v/>
      </c>
      <c r="C686">
        <f>Inputs!$B$3&gt;=43</f>
        <v/>
      </c>
      <c r="D686">
        <f>IF(Skills!C23=1,60+Inputs!$B$25+Inputs!$B$29,IF(Skills!C23=2,90+Inputs!$B$26+Inputs!$B$29,IF(Skills!C23=3,120+Inputs!$B$27+Inputs!$B$29,MAX(0,(Inputs!$B$3-100)*3)+Inputs!$B$28+Inputs!$B$29)))</f>
        <v/>
      </c>
      <c r="E686">
        <f>INDEX(FactorTable!$B$2:$Y$301, MATCH(ROUND(MIN(300,MAX(1,D686)),0), FactorTable!$A$2:$A$301,0), Skills!M23+1)</f>
        <v/>
      </c>
      <c r="F686">
        <f>IF(Skills!N23=TRUE,(Skills!L23/10)*(E686/1000),Skills!L23/10)+Skills!O23</f>
        <v/>
      </c>
      <c r="G686">
        <f>Skills!G23*IF(Skills!H23&gt;0,Skills!I23/Skills!H23,1)</f>
        <v/>
      </c>
      <c r="H686">
        <f>1-(1-Skills!J23/100)^Skills!K23</f>
        <v/>
      </c>
      <c r="I686" t="inlineStr">
        <is>
          <t>1</t>
        </is>
      </c>
      <c r="J686" t="inlineStr"/>
      <c r="K686" t="inlineStr"/>
      <c r="L686" t="inlineStr"/>
      <c r="M686" t="inlineStr"/>
      <c r="N686" t="inlineStr"/>
      <c r="O686">
        <f>(1-Summary!$B$55)*T686+Summary!$B$55*V686</f>
        <v/>
      </c>
      <c r="P686">
        <f>IF(B705=0,0,O686/B705)</f>
        <v/>
      </c>
      <c r="Q686" t="n">
        <v>0</v>
      </c>
      <c r="R686" t="n">
        <v>0</v>
      </c>
      <c r="S686" t="n">
        <v>0</v>
      </c>
      <c r="T686" t="n">
        <v>0</v>
      </c>
      <c r="V686" t="n">
        <v>0</v>
      </c>
    </row>
    <row r="687">
      <c r="A687">
        <f>Skills!A24</f>
        <v/>
      </c>
      <c r="B687">
        <f>Skills!B24</f>
        <v/>
      </c>
      <c r="C687">
        <f>Inputs!$B$3&gt;=75</f>
        <v/>
      </c>
      <c r="D687">
        <f>IF(Skills!C24=1,60+Inputs!$B$25+Inputs!$B$29,IF(Skills!C24=2,90+Inputs!$B$26+Inputs!$B$29,IF(Skills!C24=3,120+Inputs!$B$27+Inputs!$B$29,MAX(0,(Inputs!$B$3-100)*3)+Inputs!$B$28+Inputs!$B$29)))</f>
        <v/>
      </c>
      <c r="E687">
        <f>INDEX(FactorTable!$B$2:$Y$301, MATCH(ROUND(MIN(300,MAX(1,D687)),0), FactorTable!$A$2:$A$301,0), Skills!M24+1)</f>
        <v/>
      </c>
      <c r="F687">
        <f>IF(Skills!N24=TRUE,(Skills!L24/10)*(E687/1000),Skills!L24/10)+Skills!O24</f>
        <v/>
      </c>
      <c r="G687">
        <f>Skills!G24*IF(Skills!H24&gt;0,Skills!I24/Skills!H24,1)</f>
        <v/>
      </c>
      <c r="H687">
        <f>1-(1-Skills!J24/100)^Skills!K24</f>
        <v/>
      </c>
      <c r="I687" t="inlineStr">
        <is>
          <t>1</t>
        </is>
      </c>
      <c r="J687" t="inlineStr"/>
      <c r="K687" t="inlineStr"/>
      <c r="L687" t="inlineStr"/>
      <c r="M687" t="inlineStr"/>
      <c r="N687" t="inlineStr"/>
      <c r="O687">
        <f>(1-Summary!$B$55)*T687+Summary!$B$55*V687</f>
        <v/>
      </c>
      <c r="P687">
        <f>IF(B705=0,0,O687/B705)</f>
        <v/>
      </c>
      <c r="Q687" t="n">
        <v>0</v>
      </c>
      <c r="R687" t="n">
        <v>0</v>
      </c>
      <c r="S687" t="n">
        <v>0</v>
      </c>
      <c r="T687" t="n">
        <v>0</v>
      </c>
      <c r="V687" t="n">
        <v>0</v>
      </c>
    </row>
    <row r="688">
      <c r="A688">
        <f>Skills!A25</f>
        <v/>
      </c>
      <c r="B688">
        <f>Skills!B25</f>
        <v/>
      </c>
      <c r="C688">
        <f>Inputs!$B$3&gt;=125</f>
        <v/>
      </c>
      <c r="D688">
        <f>IF(Skills!C25=1,60+Inputs!$B$25+Inputs!$B$29,IF(Skills!C25=2,90+Inputs!$B$26+Inputs!$B$29,IF(Skills!C25=3,120+Inputs!$B$27+Inputs!$B$29,MAX(0,(Inputs!$B$3-100)*3)+Inputs!$B$28+Inputs!$B$29)))</f>
        <v/>
      </c>
      <c r="E688">
        <f>INDEX(FactorTable!$B$2:$Y$301, MATCH(ROUND(MIN(300,MAX(1,D688)),0), FactorTable!$A$2:$A$301,0), Skills!M25+1)</f>
        <v/>
      </c>
      <c r="F688">
        <f>IF(Skills!N25=TRUE,(Skills!L25/10)*(E688/1000),Skills!L25/10)+Skills!O25</f>
        <v/>
      </c>
      <c r="G688">
        <f>Skills!G25*IF(Skills!H25&gt;0,Skills!I25/Skills!H25,1)</f>
        <v/>
      </c>
      <c r="H688">
        <f>1-(1-Skills!J25/100)^Skills!K25</f>
        <v/>
      </c>
      <c r="I688" t="inlineStr">
        <is>
          <t>1</t>
        </is>
      </c>
      <c r="J688" t="inlineStr"/>
      <c r="K688" t="inlineStr"/>
      <c r="L688" t="inlineStr"/>
      <c r="M688" t="inlineStr"/>
      <c r="N688" t="inlineStr"/>
      <c r="O688">
        <f>(1-Summary!$B$55)*T688+Summary!$B$55*V688</f>
        <v/>
      </c>
      <c r="P688">
        <f>IF(B705=0,0,O688/B705)</f>
        <v/>
      </c>
      <c r="Q688" t="n">
        <v>0</v>
      </c>
      <c r="R688" t="n">
        <v>0</v>
      </c>
      <c r="S688" t="n">
        <v>0</v>
      </c>
      <c r="T688" t="n">
        <v>0</v>
      </c>
      <c r="V688" t="n">
        <v>0</v>
      </c>
    </row>
    <row r="689">
      <c r="A689">
        <f>Skills!A26</f>
        <v/>
      </c>
      <c r="B689">
        <f>Skills!B26</f>
        <v/>
      </c>
      <c r="C689">
        <f>Inputs!$B$3&gt;=125</f>
        <v/>
      </c>
      <c r="D689">
        <f>IF(Skills!C26=1,60+Inputs!$B$25+Inputs!$B$29,IF(Skills!C26=2,90+Inputs!$B$26+Inputs!$B$29,IF(Skills!C26=3,120+Inputs!$B$27+Inputs!$B$29,MAX(0,(Inputs!$B$3-100)*3)+Inputs!$B$28+Inputs!$B$29)))</f>
        <v/>
      </c>
      <c r="E689">
        <f>INDEX(FactorTable!$B$2:$Y$301, MATCH(ROUND(MIN(300,MAX(1,D689)),0), FactorTable!$A$2:$A$301,0), Skills!M26+1)</f>
        <v/>
      </c>
      <c r="F689">
        <f>IF(Skills!N26=TRUE,(Skills!L26/10)*(E689/1000),Skills!L26/10)+Skills!O26</f>
        <v/>
      </c>
      <c r="G689">
        <f>Skills!G26*IF(Skills!H26&gt;0,Skills!I26/Skills!H26,1)</f>
        <v/>
      </c>
      <c r="H689">
        <f>1-(1-Skills!J26/100)^Skills!K26</f>
        <v/>
      </c>
      <c r="I689" t="inlineStr">
        <is>
          <t>1</t>
        </is>
      </c>
      <c r="J689" t="inlineStr"/>
      <c r="K689" t="inlineStr"/>
      <c r="L689" t="inlineStr"/>
      <c r="M689" t="inlineStr"/>
      <c r="N689" t="inlineStr"/>
      <c r="O689">
        <f>(1-Summary!$B$55)*T689+Summary!$B$55*V689</f>
        <v/>
      </c>
      <c r="P689">
        <f>IF(B705=0,0,O689/B705)</f>
        <v/>
      </c>
      <c r="Q689" t="n">
        <v>0</v>
      </c>
      <c r="R689" t="n">
        <v>0</v>
      </c>
      <c r="S689" t="n">
        <v>0</v>
      </c>
      <c r="T689" t="n">
        <v>0</v>
      </c>
      <c r="V689" t="n">
        <v>0</v>
      </c>
    </row>
    <row r="690">
      <c r="A690">
        <f>Skills!A27</f>
        <v/>
      </c>
      <c r="B690">
        <f>Skills!B27</f>
        <v/>
      </c>
      <c r="C690">
        <f>Inputs!$B$3&gt;=120</f>
        <v/>
      </c>
      <c r="D690">
        <f>IF(Skills!C27=1,60+Inputs!$B$25+Inputs!$B$29,IF(Skills!C27=2,90+Inputs!$B$26+Inputs!$B$29,IF(Skills!C27=3,120+Inputs!$B$27+Inputs!$B$29,MAX(0,(Inputs!$B$3-100)*3)+Inputs!$B$28+Inputs!$B$29)))</f>
        <v/>
      </c>
      <c r="E690">
        <f>INDEX(FactorTable!$B$2:$Y$301, MATCH(ROUND(MIN(300,MAX(1,D690)),0), FactorTable!$A$2:$A$301,0), Skills!M27+1)</f>
        <v/>
      </c>
      <c r="F690">
        <f>IF(Skills!N27=TRUE,(Skills!L27/10)*(E690/1000),Skills!L27/10)+Skills!O27</f>
        <v/>
      </c>
      <c r="G690">
        <f>Skills!G27*IF(Skills!H27&gt;0,Skills!I27/Skills!H27,1)</f>
        <v/>
      </c>
      <c r="H690">
        <f>1-(1-Skills!J27/100)^Skills!K27</f>
        <v/>
      </c>
      <c r="I690" t="inlineStr">
        <is>
          <t>1</t>
        </is>
      </c>
      <c r="J690" t="inlineStr"/>
      <c r="K690" t="inlineStr"/>
      <c r="L690" t="inlineStr"/>
      <c r="M690" t="inlineStr"/>
      <c r="N690" t="inlineStr"/>
      <c r="O690">
        <f>(1-Summary!$B$55)*T690+Summary!$B$55*V690</f>
        <v/>
      </c>
      <c r="P690">
        <f>IF(B705=0,0,O690/B705)</f>
        <v/>
      </c>
      <c r="Q690" t="n">
        <v>0</v>
      </c>
      <c r="R690" t="n">
        <v>0</v>
      </c>
      <c r="S690" t="n">
        <v>0</v>
      </c>
      <c r="T690" t="n">
        <v>0</v>
      </c>
      <c r="V690" t="n">
        <v>0</v>
      </c>
    </row>
    <row r="691">
      <c r="A691">
        <f>Skills!A28</f>
        <v/>
      </c>
      <c r="B691">
        <f>Skills!B28</f>
        <v/>
      </c>
      <c r="C691">
        <f>Inputs!$B$3&gt;=120</f>
        <v/>
      </c>
      <c r="D691">
        <f>IF(Skills!C28=1,60+Inputs!$B$25+Inputs!$B$29,IF(Skills!C28=2,90+Inputs!$B$26+Inputs!$B$29,IF(Skills!C28=3,120+Inputs!$B$27+Inputs!$B$29,MAX(0,(Inputs!$B$3-100)*3)+Inputs!$B$28+Inputs!$B$29)))</f>
        <v/>
      </c>
      <c r="E691">
        <f>INDEX(FactorTable!$B$2:$Y$301, MATCH(ROUND(MIN(300,MAX(1,D691)),0), FactorTable!$A$2:$A$301,0), Skills!M28+1)</f>
        <v/>
      </c>
      <c r="F691">
        <f>IF(Skills!N28=TRUE,(Skills!L28/10)*(E691/1000),Skills!L28/10)+Skills!O28</f>
        <v/>
      </c>
      <c r="G691">
        <f>Skills!G28*IF(Skills!H28&gt;0,Skills!I28/Skills!H28,1)</f>
        <v/>
      </c>
      <c r="H691">
        <f>1-(1-Skills!J28/100)^Skills!K28</f>
        <v/>
      </c>
      <c r="I691" t="inlineStr">
        <is>
          <t>1</t>
        </is>
      </c>
      <c r="J691" t="inlineStr"/>
      <c r="K691" t="inlineStr"/>
      <c r="L691" t="inlineStr"/>
      <c r="M691" t="inlineStr"/>
      <c r="N691" t="inlineStr"/>
      <c r="O691">
        <f>(1-Summary!$B$55)*T691+Summary!$B$55*V691</f>
        <v/>
      </c>
      <c r="P691">
        <f>IF(B705=0,0,O691/B705)</f>
        <v/>
      </c>
      <c r="Q691" t="n">
        <v>0</v>
      </c>
      <c r="R691" t="n">
        <v>0</v>
      </c>
      <c r="S691" t="n">
        <v>0</v>
      </c>
      <c r="T691" t="n">
        <v>0</v>
      </c>
      <c r="V691" t="n">
        <v>0</v>
      </c>
    </row>
    <row r="692">
      <c r="A692">
        <f>Skills!A29</f>
        <v/>
      </c>
      <c r="B692">
        <f>Skills!B29</f>
        <v/>
      </c>
      <c r="C692">
        <f>Inputs!$B$3&gt;=45</f>
        <v/>
      </c>
      <c r="D692">
        <f>IF(Skills!C29=1,60+Inputs!$B$25+Inputs!$B$29,IF(Skills!C29=2,90+Inputs!$B$26+Inputs!$B$29,IF(Skills!C29=3,120+Inputs!$B$27+Inputs!$B$29,MAX(0,(Inputs!$B$3-100)*3)+Inputs!$B$28+Inputs!$B$29)))</f>
        <v/>
      </c>
      <c r="E692">
        <f>INDEX(FactorTable!$B$2:$Y$301, MATCH(ROUND(MIN(300,MAX(1,D692)),0), FactorTable!$A$2:$A$301,0), Skills!M29+1)</f>
        <v/>
      </c>
      <c r="F692">
        <f>IF(Skills!N29=TRUE,(Skills!L29/10)*(E692/1000),Skills!L29/10)+Skills!O29</f>
        <v/>
      </c>
      <c r="G692">
        <f>Skills!G29*IF(Skills!H29&gt;0,Skills!I29/Skills!H29,1)</f>
        <v/>
      </c>
      <c r="H692">
        <f>1-(1-Skills!J29/100)^Skills!K29</f>
        <v/>
      </c>
      <c r="I692" t="inlineStr">
        <is>
          <t>1</t>
        </is>
      </c>
      <c r="J692" t="inlineStr"/>
      <c r="K692" t="inlineStr"/>
      <c r="L692" t="inlineStr"/>
      <c r="M692" t="inlineStr"/>
      <c r="N692" t="inlineStr"/>
      <c r="O692">
        <f>(1-Summary!$B$55)*T692+Summary!$B$55*V692</f>
        <v/>
      </c>
      <c r="P692">
        <f>IF(B705=0,0,O692/B705)</f>
        <v/>
      </c>
      <c r="Q692" t="n">
        <v>0</v>
      </c>
      <c r="R692" t="n">
        <v>0</v>
      </c>
      <c r="S692" t="n">
        <v>0</v>
      </c>
      <c r="T692" t="n">
        <v>0</v>
      </c>
      <c r="V692" t="n">
        <v>0</v>
      </c>
    </row>
    <row r="694">
      <c r="A694" t="inlineStr">
        <is>
          <t>Attack% Bucket Multiplier</t>
        </is>
      </c>
      <c r="B694">
        <f>(1+(((C676=TRUE)*F676)+((C677=TRUE)*IF(Inputs!$B$38="pvp",F677,(1-Summary!$B$55)*(F677)+Summary!$B$55*(0)))+((C678=TRUE)*F678*IF(AND(Inputs!$B$38&lt;&gt;"pvp",Inputs!$B$43&gt;0),(((R678-1)*(Skills!T15*(1+Inputs!$B$34/100))+MIN((Skills!T15*(1+Inputs!$B$34/100)),MAX(0,Inputs!$B$43-((R678-1)*Skills!D15))))/Inputs!$B$43),IF(Inputs!$B$38="pvp",MIN((Skills!T15*(1+Inputs!$B$34/100)),15)/15,(Skills!T15*(1+Inputs!$B$34/100))/Skills!D15)))+((C675=TRUE)*F675)+((C692=TRUE)*(F692-Calc!F29)))/100)</f>
        <v/>
      </c>
    </row>
    <row r="695">
      <c r="A695" t="inlineStr">
        <is>
          <t>Global Crit Rate Bonus %</t>
        </is>
      </c>
      <c r="B695">
        <f>(C679=TRUE)*20*IF(AND(Inputs!$B$38&lt;&gt;"pvp",Inputs!$B$43&gt;0),(((R679-1)*(Skills!T16*(1+Inputs!$B$34/100))+MIN((Skills!T16*(1+Inputs!$B$34/100)),MAX(0,Inputs!$B$43-((R679-1)*Skills!D16))))/Inputs!$B$43),IF(Inputs!$B$38="pvp",MIN((Skills!T16*(1+Inputs!$B$34/100)),15)/15,(Skills!T16*(1+Inputs!$B$34/100))/Skills!D16))</f>
        <v/>
      </c>
    </row>
    <row r="696">
      <c r="A696" t="inlineStr">
        <is>
          <t>Attack Speed Buff Bonus %</t>
        </is>
      </c>
      <c r="B696">
        <f>((C681=TRUE)*F681*IF(AND(Inputs!$B$38&lt;&gt;"pvp",Inputs!$B$43&gt;0),(((R681-1)*(Skills!T18*(1+Inputs!$B$34/100))+MIN((Skills!T18*(1+Inputs!$B$34/100)),MAX(0,Inputs!$B$43-((R681-1)*Skills!D18))))/Inputs!$B$43),IF(Inputs!$B$38="pvp",MIN((Skills!T18*(1+Inputs!$B$34/100)),15)/15,(Skills!T18*(1+Inputs!$B$34/100))/Skills!D18)))</f>
        <v/>
      </c>
    </row>
    <row r="697">
      <c r="A697" t="inlineStr">
        <is>
          <t>Actions Per Second</t>
        </is>
      </c>
      <c r="B697">
        <f>1+MIN(150,150*(1-(1-(Inputs!$B$11+((C683=TRUE)*(F683-Calc!F20))+((C684=TRUE)*(F684-Calc!F21)))/150)*(1-B696/150)))/100</f>
        <v/>
      </c>
    </row>
    <row r="698">
      <c r="A698" t="inlineStr">
        <is>
          <t>Skill + Buff Cast Rate</t>
        </is>
      </c>
      <c r="B698">
        <f>IF(AND(Inputs!$B$38&lt;&gt;"pvp",Inputs!$B$43&gt;0),SUMPRODUCT((Skills!E2:E29=TRUE)*(C665:C692=TRUE)*R665:R692*Skills!F2:F29)/Inputs!$B$43,SUMPRODUCT((Skills!E2:E29=TRUE)*(C665:C692=TRUE)*Q665:Q692*Skills!F2:F29))</f>
        <v/>
      </c>
    </row>
    <row r="699">
      <c r="A699" t="inlineStr">
        <is>
          <t>Empowered Piercing Arrow Casts Per Second</t>
        </is>
      </c>
      <c r="B699">
        <f>MAX(0,B697-B698)</f>
        <v/>
      </c>
    </row>
    <row r="700">
      <c r="A700" t="inlineStr">
        <is>
          <t>Global Critical Damage Bonus % (Sharp Eyes)</t>
        </is>
      </c>
      <c r="B700">
        <f>(C679=TRUE)*F679*IF(AND(Inputs!$B$38&lt;&gt;"pvp",Inputs!$B$43&gt;0),(((R679-1)*(Skills!T16*(1+Inputs!$B$34/100))+MIN((Skills!T16*(1+Inputs!$B$34/100)),MAX(0,Inputs!$B$43-((R679-1)*Skills!D16))))/Inputs!$B$43),IF(Inputs!$B$38="pvp",MIN((Skills!T16*(1+Inputs!$B$34/100)),15)/15,(Skills!T16*(1+Inputs!$B$34/100))/Skills!D16))</f>
        <v/>
      </c>
    </row>
    <row r="701">
      <c r="A701" t="inlineStr">
        <is>
          <t>Global Final Damage Bonus % (Mortal Blow + Last Man Standing conditional half)</t>
        </is>
      </c>
      <c r="B701">
        <f>(C680=TRUE)*F680+((C689=TRUE)*IF(Inputs!$B$38="pvp",F689,(1-Summary!$B$55)*(F689)+Summary!$B$55*(0)))</f>
        <v/>
      </c>
    </row>
    <row r="702">
      <c r="A702" t="inlineStr">
        <is>
          <t>Buff-Casting Startup Delay (s, fixed-duration only)</t>
        </is>
      </c>
      <c r="B702">
        <f>IF(AND(Inputs!$B$38&lt;&gt;"pvp",Inputs!$B$43&gt;0),SUMPRODUCT((Skills!T2:T29&gt;0)*(Skills!E2:E29=TRUE)*(C665:C692=TRUE))/B697,0)</f>
        <v/>
      </c>
    </row>
    <row r="703">
      <c r="A703" t="inlineStr">
        <is>
          <t>Boss-Only Total DPS (this block's swept value)</t>
        </is>
      </c>
      <c r="B703">
        <f>SUM(T665:T692)</f>
        <v/>
      </c>
    </row>
    <row r="704">
      <c r="A704" t="inlineStr">
        <is>
          <t>Normal-Only Total DPS (this block's swept value)</t>
        </is>
      </c>
      <c r="B704">
        <f>SUM(V665:V692)</f>
        <v/>
      </c>
    </row>
    <row r="705">
      <c r="A705" s="5" t="inlineStr">
        <is>
          <t>TOTAL DPS</t>
        </is>
      </c>
      <c r="B705" s="5">
        <f>SUM(O665:O692)</f>
        <v/>
      </c>
    </row>
    <row r="708">
      <c r="A708" s="5" t="inlineStr">
        <is>
          <t>Stat: SKILL_DAMAGE %</t>
        </is>
      </c>
    </row>
    <row r="709">
      <c r="A709" s="9" t="inlineStr">
        <is>
          <t>Key</t>
        </is>
      </c>
      <c r="B709" s="9" t="inlineStr">
        <is>
          <t>Name</t>
        </is>
      </c>
      <c r="C709" s="9" t="inlineStr">
        <is>
          <t>Unlocked</t>
        </is>
      </c>
      <c r="D709" s="9" t="inlineStr">
        <is>
          <t>InputLevel</t>
        </is>
      </c>
      <c r="E709" s="9" t="inlineStr">
        <is>
          <t>Factor</t>
        </is>
      </c>
      <c r="F709" s="9" t="inlineStr">
        <is>
          <t>CoefficientPercent</t>
        </is>
      </c>
      <c r="G709" s="9" t="inlineStr">
        <is>
          <t>EffectiveHits</t>
        </is>
      </c>
      <c r="H709" s="9" t="inlineStr">
        <is>
          <t>ProcProbability</t>
        </is>
      </c>
      <c r="I709" s="9" t="inlineStr">
        <is>
          <t>MapleHeroMultiplier</t>
        </is>
      </c>
      <c r="J709" s="9" t="inlineStr">
        <is>
          <t>BaseDamage</t>
        </is>
      </c>
      <c r="K709" s="9" t="inlineStr">
        <is>
          <t>BaseHitDamage</t>
        </is>
      </c>
      <c r="L709" s="9" t="inlineStr">
        <is>
          <t>NonCritAvg</t>
        </is>
      </c>
      <c r="M709" s="9" t="inlineStr">
        <is>
          <t>CritAvg</t>
        </is>
      </c>
      <c r="N709" s="9" t="inlineStr">
        <is>
          <t>ExpectedDamage(perHit)</t>
        </is>
      </c>
      <c r="O709" s="9" t="inlineStr">
        <is>
          <t>DPS</t>
        </is>
      </c>
      <c r="P709" s="9" t="inlineStr">
        <is>
          <t>% of Total</t>
        </is>
      </c>
      <c r="Q709" s="9" t="inlineStr">
        <is>
          <t>InvCooldown</t>
        </is>
      </c>
      <c r="R709" s="9" t="inlineStr">
        <is>
          <t>CastsInFight</t>
        </is>
      </c>
      <c r="S709" s="9" t="inlineStr">
        <is>
          <t>HitRate(perSec)</t>
        </is>
      </c>
      <c r="U709" t="inlineStr">
        <is>
          <t>helpers</t>
        </is>
      </c>
    </row>
    <row r="710">
      <c r="A710">
        <f>Skills!A2</f>
        <v/>
      </c>
      <c r="B710">
        <f>Skills!B2</f>
        <v/>
      </c>
      <c r="C710">
        <f>Inputs!$B$3&gt;=100</f>
        <v/>
      </c>
      <c r="D710" t="inlineStr"/>
      <c r="E710" t="inlineStr"/>
      <c r="F710">
        <f>U712+Skills!O2</f>
        <v/>
      </c>
      <c r="G710">
        <f>Skills!G2*IF(Skills!H2&gt;0,Skills!I2/Skills!H2,1)</f>
        <v/>
      </c>
      <c r="H710">
        <f>1-(1-Skills!J2/100)^Skills!K2</f>
        <v/>
      </c>
      <c r="I710" t="inlineStr">
        <is>
          <t>1</t>
        </is>
      </c>
      <c r="J710">
        <f>((Inputs!$B$6*(1+Inputs!$B$7/100))+(((Inputs!$B$12*(1+Inputs!$B$13/100))-(Inputs!$B$12*(1+Inputs!$B$13/100)))+0.25*(Inputs!$B$14-Inputs!$B$14))*(1+Inputs!$B$7/100))*(F710/100)</f>
        <v/>
      </c>
      <c r="K710">
        <f>J710*(1+((Inputs!$B$12*(1+Inputs!$B$13/100))*0.01+Inputs!$B$14*0.0025)/100)*(1+Inputs!$B$15/100)*(1+Inputs!$B$16/100)*(5000/(6000+Inputs!$B$42*(1-(Inputs!$B$19+0)/100)))*(1+(Inputs!$B$24+((C732=TRUE)*(F732-Calc!F24))+((C733=TRUE)*(F733-Calc!F25))+B746)/100)*(1+(IF(Skills!A2="EMPOWERED_PIERCING_ARROW",Inputs!$B$17+((C730=TRUE)*(F730-Calc!F22)),(Inputs!$B$18+1)+((C735=TRUE)*(F735-Calc!F27))))/100)*((1+(((C721=TRUE)*F721)+((C722=TRUE)*IF(Inputs!$B$38="pvp",F722,(1-Summary!$B$55)*(F722)+Summary!$B$55*(0)))+((C723=TRUE)*F723*IF(AND(Inputs!$B$38&lt;&gt;"pvp",Inputs!$B$43&gt;0),(((R723-1)*(Skills!T15*(1+Inputs!$B$34/100))+MIN((Skills!T15*(1+Inputs!$B$34/100)),MAX(0,Inputs!$B$43-((R723-1)*Skills!D15))))/Inputs!$B$43),IF(Inputs!$B$38="pvp",MIN((Skills!T15*(1+Inputs!$B$34/100)),15)/15,(Skills!T15*(1+Inputs!$B$34/100))/Skills!D15)))+((C720=TRUE)*F720)+((C737=TRUE)*(F737-Calc!F29)))/100)*I710)</f>
        <v/>
      </c>
      <c r="L710">
        <f>K710*(MIN(Inputs!$B$22+((C731=TRUE)*(F731-Calc!F23)),Inputs!$B$23+((C736=TRUE)*(F736-Calc!F28)))/100+(Inputs!$B$23+((C736=TRUE)*(F736-Calc!F28)))/100)/2</f>
        <v/>
      </c>
      <c r="M710">
        <f>L710*(1+(Inputs!$B$10+0+B745)/100)</f>
        <v/>
      </c>
      <c r="N710">
        <f>L710*(1-MIN((Inputs!$B$9+((C727=TRUE)*(F727-Calc!F19))+B740),100)/100)+M710*(MIN((Inputs!$B$9+((C727=TRUE)*(F727-Calc!F19))+B740),100)/100)</f>
        <v/>
      </c>
      <c r="O710">
        <f>(1-Summary!$B$55)*T710+Summary!$B$55*V710</f>
        <v/>
      </c>
      <c r="P710">
        <f>IF(B750=0,0,O710/B750)</f>
        <v/>
      </c>
      <c r="Q710" t="n">
        <v>0</v>
      </c>
      <c r="R710" t="n">
        <v>0</v>
      </c>
      <c r="S710">
        <f>IFERROR((Skills!G2*N710*B744)/N710*IF(Inputs!$B$38="pvp",1,(1-Summary!$B$55)*1+Summary!$B$55*(MIN((6+Inputs!$B$33),Inputs!$B$37))),0)</f>
        <v/>
      </c>
      <c r="T710">
        <f>IF(C710,(Skills!G2*N710*B744)*IF(Inputs!$B$38="pvp",1,1+(Inputs!$B$20+0+Skills!P2)/100),0)</f>
        <v/>
      </c>
      <c r="U710">
        <f>MAX(0,(Inputs!$B$3-100)*3)+Inputs!$B$28+Inputs!$B$29</f>
        <v/>
      </c>
      <c r="V710">
        <f>IF(C710,(Skills!G2*N710*B744)*IF(Inputs!$B$38="pvp",1,(1+(Inputs!$B$21+Skills!Q2)/100)*(MIN((6+Inputs!$B$33),Inputs!$B$37))),0)</f>
        <v/>
      </c>
    </row>
    <row r="711">
      <c r="A711">
        <f>Skills!A3</f>
        <v/>
      </c>
      <c r="B711">
        <f>Skills!B3</f>
        <v/>
      </c>
      <c r="C711">
        <f>Inputs!$B$3&gt;=50</f>
        <v/>
      </c>
      <c r="D711">
        <f>IF(Skills!C3=1,60+Inputs!$B$25+Inputs!$B$29,IF(Skills!C3=2,90+Inputs!$B$26+Inputs!$B$29,IF(Skills!C3=3,120+Inputs!$B$27+Inputs!$B$29,MAX(0,(Inputs!$B$3-100)*3)+Inputs!$B$28+Inputs!$B$29)))</f>
        <v/>
      </c>
      <c r="E711">
        <f>INDEX(FactorTable!$B$2:$Y$301, MATCH(ROUND(MIN(300,MAX(1,D711)),0), FactorTable!$A$2:$A$301,0), Skills!M3+1)</f>
        <v/>
      </c>
      <c r="F711">
        <f>IF(Skills!N3=TRUE,(Skills!L3/10)*(E711/1000),Skills!L3/10)+Skills!O3</f>
        <v/>
      </c>
      <c r="G711" t="inlineStr"/>
      <c r="H711" t="inlineStr"/>
      <c r="I711" t="inlineStr">
        <is>
          <t>1</t>
        </is>
      </c>
      <c r="J711" t="inlineStr"/>
      <c r="K711" t="inlineStr"/>
      <c r="L711" t="inlineStr"/>
      <c r="M711" t="inlineStr"/>
      <c r="N711" t="inlineStr"/>
      <c r="O711" t="inlineStr"/>
      <c r="P711" t="inlineStr"/>
      <c r="Q711" t="inlineStr"/>
      <c r="R711" t="inlineStr"/>
      <c r="S711" t="inlineStr"/>
      <c r="T711" t="inlineStr"/>
      <c r="U711">
        <f>INDEX(FactorTable!$B$2:$Y$301, MATCH(ROUND(MIN(300,MAX(1,U710)),0), FactorTable!$A$2:$A$301,0), 22)</f>
        <v/>
      </c>
      <c r="V711" t="inlineStr"/>
    </row>
    <row r="712">
      <c r="A712">
        <f>Skills!A4</f>
        <v/>
      </c>
      <c r="B712">
        <f>Skills!B4</f>
        <v/>
      </c>
      <c r="C712">
        <f>Inputs!$B$3&gt;=105</f>
        <v/>
      </c>
      <c r="D712">
        <f>IF(Skills!C4=1,60+Inputs!$B$25+Inputs!$B$29,IF(Skills!C4=2,90+Inputs!$B$26+Inputs!$B$29,IF(Skills!C4=3,120+Inputs!$B$27+Inputs!$B$29,MAX(0,(Inputs!$B$3-100)*3)+Inputs!$B$28+Inputs!$B$29)))</f>
        <v/>
      </c>
      <c r="E712">
        <f>INDEX(FactorTable!$B$2:$Y$301, MATCH(ROUND(MIN(300,MAX(1,D712)),0), FactorTable!$A$2:$A$301,0), Skills!M4+1)</f>
        <v/>
      </c>
      <c r="F712">
        <f>IF(Skills!N4=TRUE,(Skills!L4/10)*(E712/1000),Skills!L4/10)+Skills!O4</f>
        <v/>
      </c>
      <c r="G712" t="inlineStr"/>
      <c r="H712" t="inlineStr"/>
      <c r="I712" t="inlineStr">
        <is>
          <t>1</t>
        </is>
      </c>
      <c r="J712" t="inlineStr"/>
      <c r="K712" t="inlineStr"/>
      <c r="L712" t="inlineStr"/>
      <c r="M712" t="inlineStr"/>
      <c r="N712" t="inlineStr"/>
      <c r="O712" t="inlineStr"/>
      <c r="P712" t="inlineStr"/>
      <c r="Q712" t="inlineStr"/>
      <c r="R712" t="inlineStr"/>
      <c r="S712" t="inlineStr"/>
      <c r="T712" t="inlineStr"/>
      <c r="U712">
        <f>290*U711/1000</f>
        <v/>
      </c>
      <c r="V712" t="inlineStr"/>
    </row>
    <row r="713">
      <c r="A713">
        <f>Skills!A5</f>
        <v/>
      </c>
      <c r="B713">
        <f>Skills!B5</f>
        <v/>
      </c>
      <c r="C713">
        <f>Inputs!$B$3&gt;=35</f>
        <v/>
      </c>
      <c r="D713">
        <f>IF(Skills!C5=1,60+Inputs!$B$25+Inputs!$B$29,IF(Skills!C5=2,90+Inputs!$B$26+Inputs!$B$29,IF(Skills!C5=3,120+Inputs!$B$27+Inputs!$B$29,MAX(0,(Inputs!$B$3-100)*3)+Inputs!$B$28+Inputs!$B$29)))</f>
        <v/>
      </c>
      <c r="E713">
        <f>INDEX(FactorTable!$B$2:$Y$301, MATCH(ROUND(MIN(300,MAX(1,D713)),0), FactorTable!$A$2:$A$301,0), Skills!M5+1)</f>
        <v/>
      </c>
      <c r="F713">
        <f>IF(Skills!N5=TRUE,(Skills!L5/10)*(E713/1000),Skills!L5/10)+Skills!O5</f>
        <v/>
      </c>
      <c r="G713">
        <f>Skills!G5*IF(Skills!H5&gt;0,Skills!I5/Skills!H5,1)</f>
        <v/>
      </c>
      <c r="H713">
        <f>1-(1-Skills!J5/100)^Skills!K5</f>
        <v/>
      </c>
      <c r="I713" t="inlineStr">
        <is>
          <t>1</t>
        </is>
      </c>
      <c r="J713">
        <f>((Inputs!$B$6*(1+Inputs!$B$7/100))+(((Inputs!$B$12*(1+Inputs!$B$13/100))-(Inputs!$B$12*(1+Inputs!$B$13/100)))+0.25*(Inputs!$B$14-Inputs!$B$14))*(1+Inputs!$B$7/100))*(F713/100)</f>
        <v/>
      </c>
      <c r="K713">
        <f>J713*(1+((Inputs!$B$12*(1+Inputs!$B$13/100))*0.01+Inputs!$B$14*0.0025)/100)*(1+Inputs!$B$15/100)*(1+Inputs!$B$16/100)*(5000/(6000+Inputs!$B$42*(1-(Inputs!$B$19+0)/100)))*(1+(Inputs!$B$24+((C732=TRUE)*(F732-Calc!F24))+((C733=TRUE)*(F733-Calc!F25))+B746)/100)*(1+4.0*IF(C716=TRUE,F716,0)/100)*(1+(IF(Skills!A5="EMPOWERED_PIERCING_ARROW",Inputs!$B$17+((C730=TRUE)*(F730-Calc!F22)),(Inputs!$B$18+1)+((C735=TRUE)*(F735-Calc!F27))))/100)*((1+(((C721=TRUE)*F721)+((C722=TRUE)*IF(Inputs!$B$38="pvp",F722,(1-Summary!$B$55)*(F722)+Summary!$B$55*(0)))+((C723=TRUE)*F723*IF(AND(Inputs!$B$38&lt;&gt;"pvp",Inputs!$B$43&gt;0),(((R723-1)*(Skills!T15*(1+Inputs!$B$34/100))+MIN((Skills!T15*(1+Inputs!$B$34/100)),MAX(0,Inputs!$B$43-((R723-1)*Skills!D15))))/Inputs!$B$43),IF(Inputs!$B$38="pvp",MIN((Skills!T15*(1+Inputs!$B$34/100)),15)/15,(Skills!T15*(1+Inputs!$B$34/100))/Skills!D15)))+((C720=TRUE)*F720)+((C737=TRUE)*(F737-Calc!F29)))/100)*I713)</f>
        <v/>
      </c>
      <c r="L713">
        <f>K713*(MIN(Inputs!$B$22+((C731=TRUE)*(F731-Calc!F23)),Inputs!$B$23+((C736=TRUE)*(F736-Calc!F28)))/100+(Inputs!$B$23+((C736=TRUE)*(F736-Calc!F28)))/100)/2</f>
        <v/>
      </c>
      <c r="M713">
        <f>L713*(1+(Inputs!$B$10+0+B745)/100)</f>
        <v/>
      </c>
      <c r="N713">
        <f>L713*(1-MIN((Inputs!$B$9+((C727=TRUE)*(F727-Calc!F19))+B740),100)/100)+M713*(MIN((Inputs!$B$9+((C727=TRUE)*(F727-Calc!F19))+B740),100)/100)</f>
        <v/>
      </c>
      <c r="O713">
        <f>(1-Summary!$B$55)*T713+Summary!$B$55*V713</f>
        <v/>
      </c>
      <c r="P713">
        <f>IF(B750=0,0,O713/B750)</f>
        <v/>
      </c>
      <c r="Q713">
        <f>IFERROR(1/IF(Inputs!$B$38="pvp",15,MAX(0.1,Skills!D5-IF(Skills!E5=TRUE,Inputs!$B$32,0))),0)</f>
        <v/>
      </c>
      <c r="R713">
        <f>IF(AND(Inputs!$B$38&lt;&gt;"pvp",Inputs!$B$43&gt;0),IF(MAX(0,Inputs!$B$43-B747)&lt;=0,0,(INT(MAX(0,Inputs!$B$43-B747)/IF(Inputs!$B$38="pvp",15,MAX(0.1,Skills!D5-IF(Skills!E5=TRUE,Inputs!$B$32,0))))+1)),0)</f>
        <v/>
      </c>
      <c r="S713">
        <f>IFERROR((H713*N713*IF(AND(Inputs!$B$38&lt;&gt;"pvp",Inputs!$B$43&gt;0),((Skills!G5*((R713-1)*IF(Skills!H5&gt;0,Skills!I5/Skills!H5,1)+IF(Skills!H5&gt;0,MIN(Skills!I5,MAX(0,MAX(0,Inputs!$B$43-B747)-((R713-1)*IF(Inputs!$B$38="pvp",15,MAX(0.1,Skills!D5-IF(Skills!E5=TRUE,Inputs!$B$32,0))))))/Skills!H5,1)))/Inputs!$B$43),G713*Q713))/N713*IF(Inputs!$B$38="pvp",1,(1-Summary!$B$55)*1+Summary!$B$55*(MIN(Skills!R5,Inputs!$B$37))),0)</f>
        <v/>
      </c>
      <c r="T713">
        <f>IF(C713,(H713*N713*IF(AND(Inputs!$B$38&lt;&gt;"pvp",Inputs!$B$43&gt;0),((Skills!G5*((R713-1)*IF(Skills!H5&gt;0,Skills!I5/Skills!H5,1)+IF(Skills!H5&gt;0,MIN(Skills!I5,MAX(0,MAX(0,Inputs!$B$43-B747)-((R713-1)*IF(Inputs!$B$38="pvp",15,MAX(0.1,Skills!D5-IF(Skills!E5=TRUE,Inputs!$B$32,0))))))/Skills!H5,1)))/Inputs!$B$43),G713*Q713))*IF(Inputs!$B$38="pvp",1,1+(Inputs!$B$20+0+Skills!P5)/100),0)</f>
        <v/>
      </c>
      <c r="V713">
        <f>IF(C713,(H713*N713*IF(AND(Inputs!$B$38&lt;&gt;"pvp",Inputs!$B$43&gt;0),((Skills!G5*((R713-1)*IF(Skills!H5&gt;0,Skills!I5/Skills!H5,1)+IF(Skills!H5&gt;0,MIN(Skills!I5,MAX(0,MAX(0,Inputs!$B$43-B747)-((R713-1)*IF(Inputs!$B$38="pvp",15,MAX(0.1,Skills!D5-IF(Skills!E5=TRUE,Inputs!$B$32,0))))))/Skills!H5,1)))/Inputs!$B$43),G713*Q713))*IF(Inputs!$B$38="pvp",1,(1+(Inputs!$B$21+Skills!Q5)/100)*(MIN(Skills!R5,Inputs!$B$37))),0)</f>
        <v/>
      </c>
    </row>
    <row r="714">
      <c r="A714">
        <f>Skills!A6</f>
        <v/>
      </c>
      <c r="B714">
        <f>Skills!B6</f>
        <v/>
      </c>
      <c r="C714">
        <f>Inputs!$B$3&gt;=63</f>
        <v/>
      </c>
      <c r="D714">
        <f>IF(Skills!C6=1,60+Inputs!$B$25+Inputs!$B$29,IF(Skills!C6=2,90+Inputs!$B$26+Inputs!$B$29,IF(Skills!C6=3,120+Inputs!$B$27+Inputs!$B$29,MAX(0,(Inputs!$B$3-100)*3)+Inputs!$B$28+Inputs!$B$29)))</f>
        <v/>
      </c>
      <c r="E714">
        <f>INDEX(FactorTable!$B$2:$Y$301, MATCH(ROUND(MIN(300,MAX(1,D714)),0), FactorTable!$A$2:$A$301,0), Skills!M6+1)</f>
        <v/>
      </c>
      <c r="F714">
        <f>IF(Skills!N6=TRUE,(Skills!L6/10)*(E714/1000),Skills!L6/10)+Skills!O6</f>
        <v/>
      </c>
      <c r="G714">
        <f>Skills!G6*IF(Skills!H6&gt;0,Skills!I6/Skills!H6,1)</f>
        <v/>
      </c>
      <c r="H714">
        <f>1-(1-Skills!J6/100)^Skills!K6</f>
        <v/>
      </c>
      <c r="I714" t="inlineStr">
        <is>
          <t>1</t>
        </is>
      </c>
      <c r="J714">
        <f>((Inputs!$B$6*(1+Inputs!$B$7/100))+(((Inputs!$B$12*(1+Inputs!$B$13/100))-(Inputs!$B$12*(1+Inputs!$B$13/100)))+0.25*(Inputs!$B$14-Inputs!$B$14))*(1+Inputs!$B$7/100))*(F714/100)</f>
        <v/>
      </c>
      <c r="K714">
        <f>J714*(1+((Inputs!$B$12*(1+Inputs!$B$13/100))*0.01+Inputs!$B$14*0.0025)/100)*(1+Inputs!$B$15/100)*(1+Inputs!$B$16/100)*(5000/(6000+Inputs!$B$42*(1-(Inputs!$B$19+0)/100)))*(1+(Inputs!$B$24+((C732=TRUE)*(F732-Calc!F24))+((C733=TRUE)*(F733-Calc!F25))+B746)/100)*(1+1.0*IF(C716=TRUE,F716,0)/100)*(1+(IF(Skills!A6="EMPOWERED_PIERCING_ARROW",Inputs!$B$17+((C730=TRUE)*(F730-Calc!F22)),(Inputs!$B$18+1)+((C735=TRUE)*(F735-Calc!F27))))/100)*((1+(((C721=TRUE)*F721)+((C722=TRUE)*IF(Inputs!$B$38="pvp",F722,(1-Summary!$B$55)*(F722)+Summary!$B$55*(0)))+((C723=TRUE)*F723*IF(AND(Inputs!$B$38&lt;&gt;"pvp",Inputs!$B$43&gt;0),(((R723-1)*(Skills!T15*(1+Inputs!$B$34/100))+MIN((Skills!T15*(1+Inputs!$B$34/100)),MAX(0,Inputs!$B$43-((R723-1)*Skills!D15))))/Inputs!$B$43),IF(Inputs!$B$38="pvp",MIN((Skills!T15*(1+Inputs!$B$34/100)),15)/15,(Skills!T15*(1+Inputs!$B$34/100))/Skills!D15)))+((C720=TRUE)*F720)+((C737=TRUE)*(F737-Calc!F29)))/100)*I714)</f>
        <v/>
      </c>
      <c r="L714">
        <f>K714*(MIN(Inputs!$B$22+((C731=TRUE)*(F731-Calc!F23)),Inputs!$B$23+((C736=TRUE)*(F736-Calc!F28)))/100+(Inputs!$B$23+((C736=TRUE)*(F736-Calc!F28)))/100)/2</f>
        <v/>
      </c>
      <c r="M714">
        <f>L714*(1+(Inputs!$B$10+0+B745)/100)</f>
        <v/>
      </c>
      <c r="N714">
        <f>L714*(1-MIN((Inputs!$B$9+((C727=TRUE)*(F727-Calc!F19))+B740),100)/100)+M714*(MIN((Inputs!$B$9+((C727=TRUE)*(F727-Calc!F19))+B740),100)/100)</f>
        <v/>
      </c>
      <c r="O714">
        <f>(1-Summary!$B$55)*T714+Summary!$B$55*V714</f>
        <v/>
      </c>
      <c r="P714">
        <f>IF(B750=0,0,O714/B750)</f>
        <v/>
      </c>
      <c r="Q714">
        <f>IFERROR(1/IF(Inputs!$B$38="pvp",15,MAX(0.1,Skills!D6-IF(Skills!E6=TRUE,Inputs!$B$32,0))),0)</f>
        <v/>
      </c>
      <c r="R714">
        <f>IF(AND(Inputs!$B$38&lt;&gt;"pvp",Inputs!$B$43&gt;0),IF(MAX(0,Inputs!$B$43-B747)&lt;=0,0,(INT(MAX(0,Inputs!$B$43-B747)/IF(Inputs!$B$38="pvp",15,MAX(0.1,Skills!D6-IF(Skills!E6=TRUE,Inputs!$B$32,0))))+1)),0)</f>
        <v/>
      </c>
      <c r="S714">
        <f>IFERROR((H714*N714*IF(AND(Inputs!$B$38&lt;&gt;"pvp",Inputs!$B$43&gt;0),((Skills!G6*((R714-1)*IF(Skills!H6&gt;0,Skills!I6/Skills!H6,1)+IF(Skills!H6&gt;0,MIN(Skills!I6,MAX(0,MAX(0,Inputs!$B$43-B747)-((R714-1)*IF(Inputs!$B$38="pvp",15,MAX(0.1,Skills!D6-IF(Skills!E6=TRUE,Inputs!$B$32,0))))))/Skills!H6,1)))/Inputs!$B$43),G714*Q714))/N714*IF(Inputs!$B$38="pvp",1,(1-Summary!$B$55)*1+Summary!$B$55*(MIN(Skills!R6,Inputs!$B$37))),0)</f>
        <v/>
      </c>
      <c r="T714">
        <f>IF(C714,(H714*N714*IF(AND(Inputs!$B$38&lt;&gt;"pvp",Inputs!$B$43&gt;0),((Skills!G6*((R714-1)*IF(Skills!H6&gt;0,Skills!I6/Skills!H6,1)+IF(Skills!H6&gt;0,MIN(Skills!I6,MAX(0,MAX(0,Inputs!$B$43-B747)-((R714-1)*IF(Inputs!$B$38="pvp",15,MAX(0.1,Skills!D6-IF(Skills!E6=TRUE,Inputs!$B$32,0))))))/Skills!H6,1)))/Inputs!$B$43),G714*Q714))*IF(Inputs!$B$38="pvp",1,1+(Inputs!$B$20+0+Skills!P6)/100),0)</f>
        <v/>
      </c>
      <c r="V714">
        <f>IF(C714,(H714*N714*IF(AND(Inputs!$B$38&lt;&gt;"pvp",Inputs!$B$43&gt;0),((Skills!G6*((R714-1)*IF(Skills!H6&gt;0,Skills!I6/Skills!H6,1)+IF(Skills!H6&gt;0,MIN(Skills!I6,MAX(0,MAX(0,Inputs!$B$43-B747)-((R714-1)*IF(Inputs!$B$38="pvp",15,MAX(0.1,Skills!D6-IF(Skills!E6=TRUE,Inputs!$B$32,0))))))/Skills!H6,1)))/Inputs!$B$43),G714*Q714))*IF(Inputs!$B$38="pvp",1,(1+(Inputs!$B$21+Skills!Q6)/100)*(MIN(Skills!R6,Inputs!$B$37))),0)</f>
        <v/>
      </c>
    </row>
    <row r="715">
      <c r="A715">
        <f>Skills!A7</f>
        <v/>
      </c>
      <c r="B715">
        <f>Skills!B7</f>
        <v/>
      </c>
      <c r="C715">
        <f>Inputs!$B$3&gt;=69</f>
        <v/>
      </c>
      <c r="D715">
        <f>IF(Skills!C7=1,60+Inputs!$B$25+Inputs!$B$29,IF(Skills!C7=2,90+Inputs!$B$26+Inputs!$B$29,IF(Skills!C7=3,120+Inputs!$B$27+Inputs!$B$29,MAX(0,(Inputs!$B$3-100)*3)+Inputs!$B$28+Inputs!$B$29)))</f>
        <v/>
      </c>
      <c r="E715">
        <f>INDEX(FactorTable!$B$2:$Y$301, MATCH(ROUND(MIN(300,MAX(1,D715)),0), FactorTable!$A$2:$A$301,0), Skills!M7+1)</f>
        <v/>
      </c>
      <c r="F715">
        <f>IF(Skills!N7=TRUE,(Skills!L7/10)*(E715/1000),Skills!L7/10)+Skills!O7</f>
        <v/>
      </c>
      <c r="G715">
        <f>Skills!G7*IF(Skills!H7&gt;0,Skills!I7/Skills!H7,1)</f>
        <v/>
      </c>
      <c r="H715">
        <f>1-(1-Skills!J7/100)^Skills!K7</f>
        <v/>
      </c>
      <c r="I715" t="inlineStr">
        <is>
          <t>1</t>
        </is>
      </c>
      <c r="J715">
        <f>((Inputs!$B$6*(1+Inputs!$B$7/100))+(((Inputs!$B$12*(1+Inputs!$B$13/100))-(Inputs!$B$12*(1+Inputs!$B$13/100)))+0.25*(Inputs!$B$14-Inputs!$B$14))*(1+Inputs!$B$7/100))*(F715/100)</f>
        <v/>
      </c>
      <c r="K715">
        <f>J715*(1+((Inputs!$B$12*(1+Inputs!$B$13/100))*0.01+Inputs!$B$14*0.0025)/100)*(1+Inputs!$B$15/100)*(1+Inputs!$B$16/100)*(5000/(6000+Inputs!$B$42*(1-(Inputs!$B$19+0)/100)))*(1+(Inputs!$B$24+((C732=TRUE)*(F732-Calc!F24))+((C733=TRUE)*(F733-Calc!F25))+B746)/100)*(1+1.2*IF(C716=TRUE,F716,0)/100)*(1+(IF(Skills!A7="EMPOWERED_PIERCING_ARROW",Inputs!$B$17+((C730=TRUE)*(F730-Calc!F22)),(Inputs!$B$18+1)+((C735=TRUE)*(F735-Calc!F27))))/100)*((1+(((C721=TRUE)*F721)+((C722=TRUE)*IF(Inputs!$B$38="pvp",F722,(1-Summary!$B$55)*(F722)+Summary!$B$55*(0)))+((C723=TRUE)*F723*IF(AND(Inputs!$B$38&lt;&gt;"pvp",Inputs!$B$43&gt;0),(((R723-1)*(Skills!T15*(1+Inputs!$B$34/100))+MIN((Skills!T15*(1+Inputs!$B$34/100)),MAX(0,Inputs!$B$43-((R723-1)*Skills!D15))))/Inputs!$B$43),IF(Inputs!$B$38="pvp",MIN((Skills!T15*(1+Inputs!$B$34/100)),15)/15,(Skills!T15*(1+Inputs!$B$34/100))/Skills!D15)))+((C720=TRUE)*F720)+((C737=TRUE)*(F737-Calc!F29)))/100)*I715)</f>
        <v/>
      </c>
      <c r="L715">
        <f>K715*(MIN(Inputs!$B$22+((C731=TRUE)*(F731-Calc!F23)),Inputs!$B$23+((C736=TRUE)*(F736-Calc!F28)))/100+(Inputs!$B$23+((C736=TRUE)*(F736-Calc!F28)))/100)/2</f>
        <v/>
      </c>
      <c r="M715">
        <f>L715*(1+(Inputs!$B$10+0+B745)/100)</f>
        <v/>
      </c>
      <c r="N715">
        <f>L715*(1-MIN((Inputs!$B$9+((C727=TRUE)*(F727-Calc!F19))+B740),100)/100)+M715*(MIN((Inputs!$B$9+((C727=TRUE)*(F727-Calc!F19))+B740),100)/100)</f>
        <v/>
      </c>
      <c r="O715">
        <f>(1-Summary!$B$55)*T715+Summary!$B$55*V715</f>
        <v/>
      </c>
      <c r="P715">
        <f>IF(B750=0,0,O715/B750)</f>
        <v/>
      </c>
      <c r="Q715">
        <f>IFERROR(1/IF(Inputs!$B$38="pvp",15,MAX(0.1,Skills!D7-IF(Skills!E7=TRUE,Inputs!$B$32,0))),0)</f>
        <v/>
      </c>
      <c r="R715">
        <f>IF(AND(Inputs!$B$38&lt;&gt;"pvp",Inputs!$B$43&gt;0),IF(MAX(0,Inputs!$B$43-B747)&lt;=0,0,(INT(MAX(0,Inputs!$B$43-B747)/IF(Inputs!$B$38="pvp",15,MAX(0.1,Skills!D7-IF(Skills!E7=TRUE,Inputs!$B$32,0))))+1)),0)</f>
        <v/>
      </c>
      <c r="S715">
        <f>IFERROR((H715*N715*IF(AND(Inputs!$B$38&lt;&gt;"pvp",Inputs!$B$43&gt;0),((Skills!G7*((R715-1)*IF(Skills!H7&gt;0,Skills!I7/Skills!H7,1)+IF(Skills!H7&gt;0,MIN(Skills!I7,MAX(0,MAX(0,Inputs!$B$43-B747)-((R715-1)*IF(Inputs!$B$38="pvp",15,MAX(0.1,Skills!D7-IF(Skills!E7=TRUE,Inputs!$B$32,0))))))/Skills!H7,1)))/Inputs!$B$43),G715*Q715))/N715*IF(Inputs!$B$38="pvp",1,(1-Summary!$B$55)*1+Summary!$B$55*(MIN(Skills!R7,Inputs!$B$37))),0)</f>
        <v/>
      </c>
      <c r="T715">
        <f>IF(C715,(H715*N715*IF(AND(Inputs!$B$38&lt;&gt;"pvp",Inputs!$B$43&gt;0),((Skills!G7*((R715-1)*IF(Skills!H7&gt;0,Skills!I7/Skills!H7,1)+IF(Skills!H7&gt;0,MIN(Skills!I7,MAX(0,MAX(0,Inputs!$B$43-B747)-((R715-1)*IF(Inputs!$B$38="pvp",15,MAX(0.1,Skills!D7-IF(Skills!E7=TRUE,Inputs!$B$32,0))))))/Skills!H7,1)))/Inputs!$B$43),G715*Q715))*IF(Inputs!$B$38="pvp",1,1+(Inputs!$B$20+0+Skills!P7)/100),0)</f>
        <v/>
      </c>
      <c r="V715">
        <f>IF(C715,(H715*N715*IF(AND(Inputs!$B$38&lt;&gt;"pvp",Inputs!$B$43&gt;0),((Skills!G7*((R715-1)*IF(Skills!H7&gt;0,Skills!I7/Skills!H7,1)+IF(Skills!H7&gt;0,MIN(Skills!I7,MAX(0,MAX(0,Inputs!$B$43-B747)-((R715-1)*IF(Inputs!$B$38="pvp",15,MAX(0.1,Skills!D7-IF(Skills!E7=TRUE,Inputs!$B$32,0))))))/Skills!H7,1)))/Inputs!$B$43),G715*Q715))*IF(Inputs!$B$38="pvp",1,(1+(Inputs!$B$21+Skills!Q7)/100)*(MIN(Skills!R7,Inputs!$B$37))),0)</f>
        <v/>
      </c>
    </row>
    <row r="716">
      <c r="A716">
        <f>Skills!A8</f>
        <v/>
      </c>
      <c r="B716">
        <f>Skills!B8</f>
        <v/>
      </c>
      <c r="C716">
        <f>Inputs!$B$3&gt;=100</f>
        <v/>
      </c>
      <c r="D716">
        <f>IF(Skills!C8=1,60+Inputs!$B$25+Inputs!$B$29,IF(Skills!C8=2,90+Inputs!$B$26+Inputs!$B$29,IF(Skills!C8=3,120+Inputs!$B$27+Inputs!$B$29,MAX(0,(Inputs!$B$3-100)*3)+Inputs!$B$28+Inputs!$B$29)))</f>
        <v/>
      </c>
      <c r="E716">
        <f>INDEX(FactorTable!$B$2:$Y$301, MATCH(ROUND(MIN(300,MAX(1,D716)),0), FactorTable!$A$2:$A$301,0), Skills!M8+1)</f>
        <v/>
      </c>
      <c r="F716">
        <f>IF(Skills!N8=TRUE,(Skills!L8/10)*(E716/1000),Skills!L8/10)+Skills!O8</f>
        <v/>
      </c>
      <c r="G716" t="inlineStr"/>
      <c r="H716" t="inlineStr"/>
      <c r="I716" t="inlineStr">
        <is>
          <t>1</t>
        </is>
      </c>
      <c r="J716" t="inlineStr"/>
      <c r="K716" t="inlineStr"/>
      <c r="L716" t="inlineStr"/>
      <c r="M716" t="inlineStr"/>
      <c r="N716" t="inlineStr"/>
      <c r="O716" t="inlineStr"/>
      <c r="P716" t="inlineStr"/>
      <c r="Q716" t="inlineStr"/>
      <c r="R716" t="inlineStr"/>
      <c r="S716" t="inlineStr"/>
      <c r="T716" t="inlineStr"/>
      <c r="V716" t="inlineStr"/>
    </row>
    <row r="717">
      <c r="A717">
        <f>Skills!A9</f>
        <v/>
      </c>
      <c r="B717">
        <f>Skills!B9</f>
        <v/>
      </c>
      <c r="C717">
        <f>Inputs!$B$3&gt;=103</f>
        <v/>
      </c>
      <c r="D717">
        <f>IF(Skills!C9=1,60+Inputs!$B$25+Inputs!$B$29,IF(Skills!C9=2,90+Inputs!$B$26+Inputs!$B$29,IF(Skills!C9=3,120+Inputs!$B$27+Inputs!$B$29,MAX(0,(Inputs!$B$3-100)*3)+Inputs!$B$28+Inputs!$B$29)))</f>
        <v/>
      </c>
      <c r="E717">
        <f>INDEX(FactorTable!$B$2:$Y$301, MATCH(ROUND(MIN(300,MAX(1,D717)),0), FactorTable!$A$2:$A$301,0), Skills!M9+1)</f>
        <v/>
      </c>
      <c r="F717">
        <f>IF(Skills!N9=TRUE,(Skills!L9/10)*(E717/1000),Skills!L9/10)+Skills!O9</f>
        <v/>
      </c>
      <c r="G717">
        <f>Skills!G9*IF(Skills!H9&gt;0,Skills!I9/Skills!H9,1)</f>
        <v/>
      </c>
      <c r="H717">
        <f>1-(1-Skills!J9/100)^Skills!K9</f>
        <v/>
      </c>
      <c r="I717" t="inlineStr">
        <is>
          <t>1</t>
        </is>
      </c>
      <c r="J717">
        <f>((Inputs!$B$6*(1+Inputs!$B$7/100))+(((Inputs!$B$12*(1+Inputs!$B$13/100))-(Inputs!$B$12*(1+Inputs!$B$13/100)))+0.25*(Inputs!$B$14-Inputs!$B$14))*(1+Inputs!$B$7/100))*(F717/100)</f>
        <v/>
      </c>
      <c r="K717">
        <f>J717*(1+((Inputs!$B$12*(1+Inputs!$B$13/100))*0.01+Inputs!$B$14*0.0025)/100)*(1+Inputs!$B$15/100)*(1+Inputs!$B$16/100)*(5000/(6000+Inputs!$B$42*(1-(Inputs!$B$19+0)/100)))*(1+(Inputs!$B$24+((C732=TRUE)*(F732-Calc!F24))+((C733=TRUE)*(F733-Calc!F25))+B746)/100)*(1+(IF(Skills!A9="EMPOWERED_PIERCING_ARROW",Inputs!$B$17+((C730=TRUE)*(F730-Calc!F22)),(Inputs!$B$18+1)+((C735=TRUE)*(F735-Calc!F27))))/100)*((1+(((C721=TRUE)*F721)+((C722=TRUE)*IF(Inputs!$B$38="pvp",F722,(1-Summary!$B$55)*(F722)+Summary!$B$55*(0)))+((C723=TRUE)*F723*IF(AND(Inputs!$B$38&lt;&gt;"pvp",Inputs!$B$43&gt;0),(((R723-1)*(Skills!T15*(1+Inputs!$B$34/100))+MIN((Skills!T15*(1+Inputs!$B$34/100)),MAX(0,Inputs!$B$43-((R723-1)*Skills!D15))))/Inputs!$B$43),IF(Inputs!$B$38="pvp",MIN((Skills!T15*(1+Inputs!$B$34/100)),15)/15,(Skills!T15*(1+Inputs!$B$34/100))/Skills!D15)))+((C720=TRUE)*F720)+((C737=TRUE)*(F737-Calc!F29)))/100)*I717)</f>
        <v/>
      </c>
      <c r="L717">
        <f>K717*(MIN(Inputs!$B$22+((C731=TRUE)*(F731-Calc!F23)),Inputs!$B$23+((C736=TRUE)*(F736-Calc!F28)))/100+(Inputs!$B$23+((C736=TRUE)*(F736-Calc!F28)))/100)/2</f>
        <v/>
      </c>
      <c r="M717">
        <f>L717*(1+(Inputs!$B$10+0+B745)/100)</f>
        <v/>
      </c>
      <c r="N717">
        <f>L717*(1-MIN((Inputs!$B$9+((C727=TRUE)*(F727-Calc!F19))+B740),100)/100)+M717*(MIN((Inputs!$B$9+((C727=TRUE)*(F727-Calc!F19))+B740),100)/100)</f>
        <v/>
      </c>
      <c r="O717">
        <f>(1-Summary!$B$55)*T717+Summary!$B$55*V717</f>
        <v/>
      </c>
      <c r="P717">
        <f>IF(B750=0,0,O717/B750)</f>
        <v/>
      </c>
      <c r="Q717">
        <f>IFERROR(1/IF(Inputs!$B$38="pvp",15,MAX(0.1,Skills!D9-IF(Skills!E9=TRUE,Inputs!$B$32,0))),0)</f>
        <v/>
      </c>
      <c r="R717">
        <f>IF(AND(Inputs!$B$38&lt;&gt;"pvp",Inputs!$B$43&gt;0),IF(MAX(0,Inputs!$B$43-B747)&lt;=0,0,(INT(MAX(0,Inputs!$B$43-B747)/IF(Inputs!$B$38="pvp",15,MAX(0.1,Skills!D9-IF(Skills!E9=TRUE,Inputs!$B$32,0))))+1)),0)</f>
        <v/>
      </c>
      <c r="S717">
        <f>IFERROR((H717*N717*IF(AND(Inputs!$B$38&lt;&gt;"pvp",Inputs!$B$43&gt;0),((Skills!G9*((R717-1)*IF(Skills!H9&gt;0,Skills!I9/Skills!H9,1)+IF(Skills!H9&gt;0,MIN(Skills!I9,MAX(0,MAX(0,Inputs!$B$43-B747)-((R717-1)*IF(Inputs!$B$38="pvp",15,MAX(0.1,Skills!D9-IF(Skills!E9=TRUE,Inputs!$B$32,0))))))/Skills!H9,1)))/Inputs!$B$43),G717*Q717))/N717*IF(Inputs!$B$38="pvp",1,(1-Summary!$B$55)*1+Summary!$B$55*(MIN(Skills!R9,Inputs!$B$37))),0)</f>
        <v/>
      </c>
      <c r="T717">
        <f>IF(C717,(H717*N717*IF(AND(Inputs!$B$38&lt;&gt;"pvp",Inputs!$B$43&gt;0),((Skills!G9*((R717-1)*IF(Skills!H9&gt;0,Skills!I9/Skills!H9,1)+IF(Skills!H9&gt;0,MIN(Skills!I9,MAX(0,MAX(0,Inputs!$B$43-B747)-((R717-1)*IF(Inputs!$B$38="pvp",15,MAX(0.1,Skills!D9-IF(Skills!E9=TRUE,Inputs!$B$32,0))))))/Skills!H9,1)))/Inputs!$B$43),G717*Q717))*IF(Inputs!$B$38="pvp",1,1+(Inputs!$B$20+0+Skills!P9)/100),0)</f>
        <v/>
      </c>
      <c r="V717">
        <f>IF(C717,(H717*N717*IF(AND(Inputs!$B$38&lt;&gt;"pvp",Inputs!$B$43&gt;0),((Skills!G9*((R717-1)*IF(Skills!H9&gt;0,Skills!I9/Skills!H9,1)+IF(Skills!H9&gt;0,MIN(Skills!I9,MAX(0,MAX(0,Inputs!$B$43-B747)-((R717-1)*IF(Inputs!$B$38="pvp",15,MAX(0.1,Skills!D9-IF(Skills!E9=TRUE,Inputs!$B$32,0))))))/Skills!H9,1)))/Inputs!$B$43),G717*Q717))*IF(Inputs!$B$38="pvp",1,(1+(Inputs!$B$21+Skills!Q9)/100)*(MIN(Skills!R9,Inputs!$B$37))),0)</f>
        <v/>
      </c>
    </row>
    <row r="718">
      <c r="A718">
        <f>Skills!A10</f>
        <v/>
      </c>
      <c r="B718">
        <f>Skills!B10</f>
        <v/>
      </c>
      <c r="C718">
        <f>Inputs!$B$3&gt;=107</f>
        <v/>
      </c>
      <c r="D718">
        <f>IF(Skills!C10=1,60+Inputs!$B$25+Inputs!$B$29,IF(Skills!C10=2,90+Inputs!$B$26+Inputs!$B$29,IF(Skills!C10=3,120+Inputs!$B$27+Inputs!$B$29,MAX(0,(Inputs!$B$3-100)*3)+Inputs!$B$28+Inputs!$B$29)))</f>
        <v/>
      </c>
      <c r="E718">
        <f>INDEX(FactorTable!$B$2:$Y$301, MATCH(ROUND(MIN(300,MAX(1,D718)),0), FactorTable!$A$2:$A$301,0), Skills!M10+1)</f>
        <v/>
      </c>
      <c r="F718">
        <f>IF(Skills!N10=TRUE,(Skills!L10/10)*(E718/1000),Skills!L10/10)+Skills!O10</f>
        <v/>
      </c>
      <c r="G718">
        <f>Skills!G10*IF(Skills!H10&gt;0,Skills!I10/Skills!H10,1)</f>
        <v/>
      </c>
      <c r="H718">
        <f>1-(1-Skills!J10/100)^Skills!K10</f>
        <v/>
      </c>
      <c r="I718" t="inlineStr">
        <is>
          <t>1</t>
        </is>
      </c>
      <c r="J718">
        <f>((Inputs!$B$6*(1+Inputs!$B$7/100))+(((Inputs!$B$12*(1+Inputs!$B$13/100))-(Inputs!$B$12*(1+Inputs!$B$13/100)))+0.25*(Inputs!$B$14-Inputs!$B$14))*(1+Inputs!$B$7/100))*(F718/100)</f>
        <v/>
      </c>
      <c r="K718">
        <f>J718*(1+((Inputs!$B$12*(1+Inputs!$B$13/100))*0.01+Inputs!$B$14*0.0025)/100)*(1+Inputs!$B$15/100)*(1+Inputs!$B$16/100)*(5000/(6000+Inputs!$B$42*(1-(Inputs!$B$19+0)/100)))*(1+(Inputs!$B$24+((C732=TRUE)*(F732-Calc!F24))+((C733=TRUE)*(F733-Calc!F25))+B746)/100)*(1+(IF(Skills!A10="EMPOWERED_PIERCING_ARROW",Inputs!$B$17+((C730=TRUE)*(F730-Calc!F22)),(Inputs!$B$18+1)+((C735=TRUE)*(F735-Calc!F27))))/100)*((1+(((C721=TRUE)*F721)+((C722=TRUE)*IF(Inputs!$B$38="pvp",F722,(1-Summary!$B$55)*(F722)+Summary!$B$55*(0)))+((C723=TRUE)*F723*IF(AND(Inputs!$B$38&lt;&gt;"pvp",Inputs!$B$43&gt;0),(((R723-1)*(Skills!T15*(1+Inputs!$B$34/100))+MIN((Skills!T15*(1+Inputs!$B$34/100)),MAX(0,Inputs!$B$43-((R723-1)*Skills!D15))))/Inputs!$B$43),IF(Inputs!$B$38="pvp",MIN((Skills!T15*(1+Inputs!$B$34/100)),15)/15,(Skills!T15*(1+Inputs!$B$34/100))/Skills!D15)))+((C720=TRUE)*F720)+((C737=TRUE)*(F737-Calc!F29)))/100)*I718)</f>
        <v/>
      </c>
      <c r="L718">
        <f>K718*(MIN(Inputs!$B$22+((C731=TRUE)*(F731-Calc!F23)),Inputs!$B$23+((C736=TRUE)*(F736-Calc!F28)))/100+(Inputs!$B$23+((C736=TRUE)*(F736-Calc!F28)))/100)/2</f>
        <v/>
      </c>
      <c r="M718">
        <f>L718*(1+(Inputs!$B$10+0+B745)/100)</f>
        <v/>
      </c>
      <c r="N718">
        <f>L718*(1-MIN((Inputs!$B$9+((C727=TRUE)*(F727-Calc!F19))+B740),100)/100)+M718*(MIN((Inputs!$B$9+((C727=TRUE)*(F727-Calc!F19))+B740),100)/100)</f>
        <v/>
      </c>
      <c r="O718">
        <f>(1-Summary!$B$55)*T718+Summary!$B$55*V718</f>
        <v/>
      </c>
      <c r="P718">
        <f>IF(B750=0,0,O718/B750)</f>
        <v/>
      </c>
      <c r="Q718" t="n">
        <v>0</v>
      </c>
      <c r="R718" t="n">
        <v>0</v>
      </c>
      <c r="S718" t="n">
        <v>0</v>
      </c>
      <c r="T718">
        <f>IF(C718,(0.15*SUMPRODUCT((Skills!U2:U29=TRUE)*(C710:C737=TRUE)*S710:S737)*Skills!G10*N718)*IF(Inputs!$B$38="pvp",1,1+(Inputs!$B$20+0+Skills!P10)/100),0)</f>
        <v/>
      </c>
      <c r="V718">
        <f>IF(C718,(0.15*SUMPRODUCT((Skills!U2:U29=TRUE)*(C710:C737=TRUE)*S710:S737)*Skills!G10*N718)*IF(Inputs!$B$38="pvp",1,(1+(Inputs!$B$21+Skills!Q10)/100)*(MIN(Skills!R10,Inputs!$B$37))),0)</f>
        <v/>
      </c>
    </row>
    <row r="719">
      <c r="A719">
        <f>Skills!A11</f>
        <v/>
      </c>
      <c r="B719">
        <f>Skills!B11</f>
        <v/>
      </c>
      <c r="C719">
        <f>Inputs!$B$3&gt;=110</f>
        <v/>
      </c>
      <c r="D719">
        <f>IF(Skills!C11=1,60+Inputs!$B$25+Inputs!$B$29,IF(Skills!C11=2,90+Inputs!$B$26+Inputs!$B$29,IF(Skills!C11=3,120+Inputs!$B$27+Inputs!$B$29,MAX(0,(Inputs!$B$3-100)*3)+Inputs!$B$28+Inputs!$B$29)))</f>
        <v/>
      </c>
      <c r="E719">
        <f>INDEX(FactorTable!$B$2:$Y$301, MATCH(ROUND(MIN(300,MAX(1,D719)),0), FactorTable!$A$2:$A$301,0), Skills!M11+1)</f>
        <v/>
      </c>
      <c r="F719">
        <f>IF(Skills!N11=TRUE,(Skills!L11/10)*(E719/1000),Skills!L11/10)+Skills!O11</f>
        <v/>
      </c>
      <c r="G719">
        <f>Skills!G11*IF(Skills!H11&gt;0,Skills!I11/Skills!H11,1)</f>
        <v/>
      </c>
      <c r="H719">
        <f>1-(1-Skills!J11/100)^Skills!K11</f>
        <v/>
      </c>
      <c r="I719" t="inlineStr">
        <is>
          <t>1</t>
        </is>
      </c>
      <c r="J719">
        <f>((Inputs!$B$6*(1+Inputs!$B$7/100))+(((Inputs!$B$12*(1+Inputs!$B$13/100))-(Inputs!$B$12*(1+Inputs!$B$13/100)))+0.25*(Inputs!$B$14-Inputs!$B$14))*(1+Inputs!$B$7/100))*(F719/100)</f>
        <v/>
      </c>
      <c r="K719">
        <f>J719*(1+((Inputs!$B$12*(1+Inputs!$B$13/100))*0.01+Inputs!$B$14*0.0025)/100)*(1+Inputs!$B$15/100)*(1+Inputs!$B$16/100)*(5000/(6000+Inputs!$B$42*(1-(Inputs!$B$19+0)/100)))*(1+(Inputs!$B$24+((C732=TRUE)*(F732-Calc!F24))+((C733=TRUE)*(F733-Calc!F25))+B746)/100)*(1+(IF(Skills!A11="EMPOWERED_PIERCING_ARROW",Inputs!$B$17+((C730=TRUE)*(F730-Calc!F22)),(Inputs!$B$18+1)+((C735=TRUE)*(F735-Calc!F27))))/100)*((1+(((C721=TRUE)*F721)+((C722=TRUE)*IF(Inputs!$B$38="pvp",F722,(1-Summary!$B$55)*(F722)+Summary!$B$55*(0)))+((C723=TRUE)*F723*IF(AND(Inputs!$B$38&lt;&gt;"pvp",Inputs!$B$43&gt;0),(((R723-1)*(Skills!T15*(1+Inputs!$B$34/100))+MIN((Skills!T15*(1+Inputs!$B$34/100)),MAX(0,Inputs!$B$43-((R723-1)*Skills!D15))))/Inputs!$B$43),IF(Inputs!$B$38="pvp",MIN((Skills!T15*(1+Inputs!$B$34/100)),15)/15,(Skills!T15*(1+Inputs!$B$34/100))/Skills!D15)))+((C720=TRUE)*F720)+((C737=TRUE)*(F737-Calc!F29)))/100)*I719)</f>
        <v/>
      </c>
      <c r="L719">
        <f>K719*(MIN(Inputs!$B$22+((C731=TRUE)*(F731-Calc!F23)),Inputs!$B$23+((C736=TRUE)*(F736-Calc!F28)))/100+(Inputs!$B$23+((C736=TRUE)*(F736-Calc!F28)))/100)/2</f>
        <v/>
      </c>
      <c r="M719">
        <f>L719*(1+(Inputs!$B$10+0+B745)/100)</f>
        <v/>
      </c>
      <c r="N719">
        <f>L719*(1-MIN((Inputs!$B$9+((C727=TRUE)*(F727-Calc!F19))+B740),100)/100)+M719*(MIN((Inputs!$B$9+((C727=TRUE)*(F727-Calc!F19))+B740),100)/100)</f>
        <v/>
      </c>
      <c r="O719">
        <f>(1-Summary!$B$55)*T719+Summary!$B$55*V719</f>
        <v/>
      </c>
      <c r="P719">
        <f>IF(B750=0,0,O719/B750)</f>
        <v/>
      </c>
      <c r="Q719">
        <f>IFERROR(1/IF(Inputs!$B$38="pvp",15,MAX(0.1,Skills!D11-IF(Skills!E11=TRUE,Inputs!$B$32,0))),0)</f>
        <v/>
      </c>
      <c r="R719">
        <f>IF(AND(Inputs!$B$38&lt;&gt;"pvp",Inputs!$B$43&gt;0),IF(MAX(0,Inputs!$B$43-B747)&lt;=0,0,(INT(MAX(0,Inputs!$B$43-B747)/IF(Inputs!$B$38="pvp",15,MAX(0.1,Skills!D11-IF(Skills!E11=TRUE,Inputs!$B$32,0))))+1)),0)</f>
        <v/>
      </c>
      <c r="S719">
        <f>IFERROR((H719*N719*IF(AND(Inputs!$B$38&lt;&gt;"pvp",Inputs!$B$43&gt;0),((Skills!G11*((R719-1)*IF(Skills!H11&gt;0,Skills!I11/Skills!H11,1)+IF(Skills!H11&gt;0,MIN(Skills!I11,MAX(0,MAX(0,Inputs!$B$43-B747)-((R719-1)*IF(Inputs!$B$38="pvp",15,MAX(0.1,Skills!D11-IF(Skills!E11=TRUE,Inputs!$B$32,0))))))/Skills!H11,1)))/Inputs!$B$43),G719*Q719))/N719*IF(Inputs!$B$38="pvp",1,(1-Summary!$B$55)*1+Summary!$B$55*(MIN(Skills!R11,Inputs!$B$37))),0)</f>
        <v/>
      </c>
      <c r="T719">
        <f>IF(C719,(H719*N719*IF(AND(Inputs!$B$38&lt;&gt;"pvp",Inputs!$B$43&gt;0),((Skills!G11*((R719-1)*IF(Skills!H11&gt;0,Skills!I11/Skills!H11,1)+IF(Skills!H11&gt;0,MIN(Skills!I11,MAX(0,MAX(0,Inputs!$B$43-B747)-((R719-1)*IF(Inputs!$B$38="pvp",15,MAX(0.1,Skills!D11-IF(Skills!E11=TRUE,Inputs!$B$32,0))))))/Skills!H11,1)))/Inputs!$B$43),G719*Q719))*IF(Inputs!$B$38="pvp",1,1+(Inputs!$B$20+0+Skills!P11)/100),0)</f>
        <v/>
      </c>
      <c r="V719">
        <f>IF(C719,(H719*N719*IF(AND(Inputs!$B$38&lt;&gt;"pvp",Inputs!$B$43&gt;0),((Skills!G11*((R719-1)*IF(Skills!H11&gt;0,Skills!I11/Skills!H11,1)+IF(Skills!H11&gt;0,MIN(Skills!I11,MAX(0,MAX(0,Inputs!$B$43-B747)-((R719-1)*IF(Inputs!$B$38="pvp",15,MAX(0.1,Skills!D11-IF(Skills!E11=TRUE,Inputs!$B$32,0))))))/Skills!H11,1)))/Inputs!$B$43),G719*Q719))*IF(Inputs!$B$38="pvp",1,(1+(Inputs!$B$21+Skills!Q11)/100)*(MIN(Skills!R11,Inputs!$B$37))),0)</f>
        <v/>
      </c>
    </row>
    <row r="720">
      <c r="A720">
        <f>Skills!A12</f>
        <v/>
      </c>
      <c r="B720">
        <f>Skills!B12</f>
        <v/>
      </c>
      <c r="C720">
        <f>Inputs!$B$3&gt;=60</f>
        <v/>
      </c>
      <c r="D720">
        <f>IF(Skills!C12=1,60+Inputs!$B$25+Inputs!$B$29,IF(Skills!C12=2,90+Inputs!$B$26+Inputs!$B$29,IF(Skills!C12=3,120+Inputs!$B$27+Inputs!$B$29,MAX(0,(Inputs!$B$3-100)*3)+Inputs!$B$28+Inputs!$B$29)))</f>
        <v/>
      </c>
      <c r="E720">
        <f>INDEX(FactorTable!$B$2:$Y$301, MATCH(ROUND(MIN(300,MAX(1,D720)),0), FactorTable!$A$2:$A$301,0), Skills!M12+1)</f>
        <v/>
      </c>
      <c r="F720">
        <f>IF(Skills!N12=TRUE,(Skills!L12/10)*(E720/1000),Skills!L12/10)+Skills!O12</f>
        <v/>
      </c>
      <c r="G720">
        <f>Skills!G12*IF(Skills!H12&gt;0,Skills!I12/Skills!H12,1)</f>
        <v/>
      </c>
      <c r="H720">
        <f>1-(1-Skills!J12/100)^Skills!K12</f>
        <v/>
      </c>
      <c r="I720" t="inlineStr">
        <is>
          <t>1</t>
        </is>
      </c>
      <c r="J720" t="inlineStr"/>
      <c r="K720" t="inlineStr"/>
      <c r="L720" t="inlineStr"/>
      <c r="M720" t="inlineStr"/>
      <c r="N720" t="inlineStr"/>
      <c r="O720">
        <f>(1-Summary!$B$55)*T720+Summary!$B$55*V720</f>
        <v/>
      </c>
      <c r="P720">
        <f>IF(B750=0,0,O720/B750)</f>
        <v/>
      </c>
      <c r="Q720" t="n">
        <v>0</v>
      </c>
      <c r="R720" t="n">
        <v>0</v>
      </c>
      <c r="S720" t="n">
        <v>0</v>
      </c>
      <c r="T720" t="n">
        <v>0</v>
      </c>
      <c r="V720" t="n">
        <v>0</v>
      </c>
    </row>
    <row r="721">
      <c r="A721">
        <f>Skills!A13</f>
        <v/>
      </c>
      <c r="B721">
        <f>Skills!B13</f>
        <v/>
      </c>
      <c r="C721">
        <f>Inputs!$B$3&gt;=74</f>
        <v/>
      </c>
      <c r="D721">
        <f>IF(Skills!C13=1,60+Inputs!$B$25+Inputs!$B$29,IF(Skills!C13=2,90+Inputs!$B$26+Inputs!$B$29,IF(Skills!C13=3,120+Inputs!$B$27+Inputs!$B$29,MAX(0,(Inputs!$B$3-100)*3)+Inputs!$B$28+Inputs!$B$29)))</f>
        <v/>
      </c>
      <c r="E721">
        <f>INDEX(FactorTable!$B$2:$Y$301, MATCH(ROUND(MIN(300,MAX(1,D721)),0), FactorTable!$A$2:$A$301,0), Skills!M13+1)</f>
        <v/>
      </c>
      <c r="F721">
        <f>IF(Skills!N13=TRUE,(Skills!L13/10)*(E721/1000),Skills!L13/10)+Skills!O13</f>
        <v/>
      </c>
      <c r="G721">
        <f>Skills!G13*IF(Skills!H13&gt;0,Skills!I13/Skills!H13,1)</f>
        <v/>
      </c>
      <c r="H721">
        <f>1-(1-Skills!J13/100)^Skills!K13</f>
        <v/>
      </c>
      <c r="I721" t="inlineStr">
        <is>
          <t>1</t>
        </is>
      </c>
      <c r="J721" t="inlineStr"/>
      <c r="K721" t="inlineStr"/>
      <c r="L721" t="inlineStr"/>
      <c r="M721" t="inlineStr"/>
      <c r="N721" t="inlineStr"/>
      <c r="O721">
        <f>(1-Summary!$B$55)*T721+Summary!$B$55*V721</f>
        <v/>
      </c>
      <c r="P721">
        <f>IF(B750=0,0,O721/B750)</f>
        <v/>
      </c>
      <c r="Q721" t="n">
        <v>0</v>
      </c>
      <c r="R721" t="n">
        <v>0</v>
      </c>
      <c r="S721" t="n">
        <v>0</v>
      </c>
      <c r="T721" t="n">
        <v>0</v>
      </c>
      <c r="V721" t="n">
        <v>0</v>
      </c>
    </row>
    <row r="722">
      <c r="A722">
        <f>Skills!A14</f>
        <v/>
      </c>
      <c r="B722">
        <f>Skills!B14</f>
        <v/>
      </c>
      <c r="C722">
        <f>Inputs!$B$3&gt;=74</f>
        <v/>
      </c>
      <c r="D722">
        <f>IF(Skills!C14=1,60+Inputs!$B$25+Inputs!$B$29,IF(Skills!C14=2,90+Inputs!$B$26+Inputs!$B$29,IF(Skills!C14=3,120+Inputs!$B$27+Inputs!$B$29,MAX(0,(Inputs!$B$3-100)*3)+Inputs!$B$28+Inputs!$B$29)))</f>
        <v/>
      </c>
      <c r="E722">
        <f>INDEX(FactorTable!$B$2:$Y$301, MATCH(ROUND(MIN(300,MAX(1,D722)),0), FactorTable!$A$2:$A$301,0), Skills!M14+1)</f>
        <v/>
      </c>
      <c r="F722">
        <f>IF(Skills!N14=TRUE,(Skills!L14/10)*(E722/1000),Skills!L14/10)+Skills!O14</f>
        <v/>
      </c>
      <c r="G722">
        <f>Skills!G14*IF(Skills!H14&gt;0,Skills!I14/Skills!H14,1)</f>
        <v/>
      </c>
      <c r="H722">
        <f>1-(1-Skills!J14/100)^Skills!K14</f>
        <v/>
      </c>
      <c r="I722" t="inlineStr">
        <is>
          <t>1</t>
        </is>
      </c>
      <c r="J722" t="inlineStr"/>
      <c r="K722" t="inlineStr"/>
      <c r="L722" t="inlineStr"/>
      <c r="M722" t="inlineStr"/>
      <c r="N722" t="inlineStr"/>
      <c r="O722">
        <f>(1-Summary!$B$55)*T722+Summary!$B$55*V722</f>
        <v/>
      </c>
      <c r="P722">
        <f>IF(B750=0,0,O722/B750)</f>
        <v/>
      </c>
      <c r="Q722" t="n">
        <v>0</v>
      </c>
      <c r="R722" t="n">
        <v>0</v>
      </c>
      <c r="S722" t="n">
        <v>0</v>
      </c>
      <c r="T722" t="n">
        <v>0</v>
      </c>
      <c r="V722" t="n">
        <v>0</v>
      </c>
    </row>
    <row r="723">
      <c r="A723">
        <f>Skills!A15</f>
        <v/>
      </c>
      <c r="B723">
        <f>Skills!B15</f>
        <v/>
      </c>
      <c r="C723">
        <f>Inputs!$B$3&gt;=117</f>
        <v/>
      </c>
      <c r="D723">
        <f>IF(Skills!C15=1,60+Inputs!$B$25+Inputs!$B$29,IF(Skills!C15=2,90+Inputs!$B$26+Inputs!$B$29,IF(Skills!C15=3,120+Inputs!$B$27+Inputs!$B$29,MAX(0,(Inputs!$B$3-100)*3)+Inputs!$B$28+Inputs!$B$29)))</f>
        <v/>
      </c>
      <c r="E723">
        <f>INDEX(FactorTable!$B$2:$Y$301, MATCH(ROUND(MIN(300,MAX(1,D723)),0), FactorTable!$A$2:$A$301,0), Skills!M15+1)</f>
        <v/>
      </c>
      <c r="F723">
        <f>IF(Skills!N15=TRUE,(Skills!L15/10)*(E723/1000),Skills!L15/10)+Skills!O15</f>
        <v/>
      </c>
      <c r="G723">
        <f>Skills!G15*IF(Skills!H15&gt;0,Skills!I15/Skills!H15,1)</f>
        <v/>
      </c>
      <c r="H723">
        <f>1-(1-Skills!J15/100)^Skills!K15</f>
        <v/>
      </c>
      <c r="I723" t="inlineStr">
        <is>
          <t>1</t>
        </is>
      </c>
      <c r="J723" t="inlineStr"/>
      <c r="K723" t="inlineStr"/>
      <c r="L723" t="inlineStr"/>
      <c r="M723" t="inlineStr"/>
      <c r="N723" t="inlineStr"/>
      <c r="O723">
        <f>(1-Summary!$B$55)*T723+Summary!$B$55*V723</f>
        <v/>
      </c>
      <c r="P723">
        <f>IF(B750=0,0,O723/B750)</f>
        <v/>
      </c>
      <c r="Q723">
        <f>IFERROR(1/IF(Inputs!$B$38="pvp",15,MAX(0.1,Skills!D15-IF(Skills!E15=TRUE,Inputs!$B$32,0))),0)</f>
        <v/>
      </c>
      <c r="R723">
        <f>IF(AND(Inputs!$B$38&lt;&gt;"pvp",Inputs!$B$43&gt;0),IF(Inputs!$B$43&lt;=0,0,(INT(Inputs!$B$43/IF(Inputs!$B$38="pvp",15,MAX(0.1,Skills!D15-IF(Skills!E15=TRUE,Inputs!$B$32,0))))+1)),0)</f>
        <v/>
      </c>
      <c r="S723" t="n">
        <v>0</v>
      </c>
      <c r="T723" t="n">
        <v>0</v>
      </c>
      <c r="V723" t="n">
        <v>0</v>
      </c>
    </row>
    <row r="724">
      <c r="A724">
        <f>Skills!A16</f>
        <v/>
      </c>
      <c r="B724">
        <f>Skills!B16</f>
        <v/>
      </c>
      <c r="C724">
        <f>Inputs!$B$3&gt;=115</f>
        <v/>
      </c>
      <c r="D724">
        <f>IF(Skills!C16=1,60+Inputs!$B$25+Inputs!$B$29,IF(Skills!C16=2,90+Inputs!$B$26+Inputs!$B$29,IF(Skills!C16=3,120+Inputs!$B$27+Inputs!$B$29,MAX(0,(Inputs!$B$3-100)*3)+Inputs!$B$28+Inputs!$B$29)))</f>
        <v/>
      </c>
      <c r="E724">
        <f>INDEX(FactorTable!$B$2:$Y$301, MATCH(ROUND(MIN(300,MAX(1,D724)),0), FactorTable!$A$2:$A$301,0), Skills!M16+1)</f>
        <v/>
      </c>
      <c r="F724">
        <f>IF(Skills!N16=TRUE,(Skills!L16/10)*(E724/1000),Skills!L16/10)+Skills!O16</f>
        <v/>
      </c>
      <c r="G724">
        <f>Skills!G16*IF(Skills!H16&gt;0,Skills!I16/Skills!H16,1)</f>
        <v/>
      </c>
      <c r="H724">
        <f>1-(1-Skills!J16/100)^Skills!K16</f>
        <v/>
      </c>
      <c r="I724" t="inlineStr">
        <is>
          <t>1</t>
        </is>
      </c>
      <c r="J724" t="inlineStr"/>
      <c r="K724" t="inlineStr"/>
      <c r="L724" t="inlineStr"/>
      <c r="M724" t="inlineStr"/>
      <c r="N724" t="inlineStr"/>
      <c r="O724">
        <f>(1-Summary!$B$55)*T724+Summary!$B$55*V724</f>
        <v/>
      </c>
      <c r="P724">
        <f>IF(B750=0,0,O724/B750)</f>
        <v/>
      </c>
      <c r="Q724">
        <f>IFERROR(1/IF(Inputs!$B$38="pvp",15,MAX(0.1,Skills!D16-IF(Skills!E16=TRUE,Inputs!$B$32,0))),0)</f>
        <v/>
      </c>
      <c r="R724">
        <f>IF(AND(Inputs!$B$38&lt;&gt;"pvp",Inputs!$B$43&gt;0),IF(Inputs!$B$43&lt;=0,0,(INT(Inputs!$B$43/IF(Inputs!$B$38="pvp",15,MAX(0.1,Skills!D16-IF(Skills!E16=TRUE,Inputs!$B$32,0))))+1)),0)</f>
        <v/>
      </c>
      <c r="S724" t="n">
        <v>0</v>
      </c>
      <c r="T724" t="n">
        <v>0</v>
      </c>
      <c r="V724" t="n">
        <v>0</v>
      </c>
    </row>
    <row r="725">
      <c r="A725">
        <f>Skills!A17</f>
        <v/>
      </c>
      <c r="B725">
        <f>Skills!B17</f>
        <v/>
      </c>
      <c r="C725">
        <f>Inputs!$B$3&gt;=72</f>
        <v/>
      </c>
      <c r="D725">
        <f>IF(Skills!C17=1,60+Inputs!$B$25+Inputs!$B$29,IF(Skills!C17=2,90+Inputs!$B$26+Inputs!$B$29,IF(Skills!C17=3,120+Inputs!$B$27+Inputs!$B$29,MAX(0,(Inputs!$B$3-100)*3)+Inputs!$B$28+Inputs!$B$29)))</f>
        <v/>
      </c>
      <c r="E725">
        <f>INDEX(FactorTable!$B$2:$Y$301, MATCH(ROUND(MIN(300,MAX(1,D725)),0), FactorTable!$A$2:$A$301,0), Skills!M17+1)</f>
        <v/>
      </c>
      <c r="F725">
        <f>IF(Skills!N17=TRUE,(Skills!L17/10)*(E725/1000),Skills!L17/10)+Skills!O17</f>
        <v/>
      </c>
      <c r="G725">
        <f>Skills!G17*IF(Skills!H17&gt;0,Skills!I17/Skills!H17,1)</f>
        <v/>
      </c>
      <c r="H725">
        <f>1-(1-Skills!J17/100)^Skills!K17</f>
        <v/>
      </c>
      <c r="I725" t="inlineStr">
        <is>
          <t>1</t>
        </is>
      </c>
      <c r="J725" t="inlineStr"/>
      <c r="K725" t="inlineStr"/>
      <c r="L725" t="inlineStr"/>
      <c r="M725" t="inlineStr"/>
      <c r="N725" t="inlineStr"/>
      <c r="O725">
        <f>(1-Summary!$B$55)*T725+Summary!$B$55*V725</f>
        <v/>
      </c>
      <c r="P725">
        <f>IF(B750=0,0,O725/B750)</f>
        <v/>
      </c>
      <c r="Q725" t="n">
        <v>0</v>
      </c>
      <c r="R725" t="n">
        <v>0</v>
      </c>
      <c r="S725" t="n">
        <v>0</v>
      </c>
      <c r="T725" t="n">
        <v>0</v>
      </c>
      <c r="V725" t="n">
        <v>0</v>
      </c>
    </row>
    <row r="726">
      <c r="A726">
        <f>Skills!A18</f>
        <v/>
      </c>
      <c r="B726">
        <f>Skills!B18</f>
        <v/>
      </c>
      <c r="C726">
        <f>TRUE</f>
        <v/>
      </c>
      <c r="D726">
        <f>IF(Skills!C18=1,60+Inputs!$B$25+Inputs!$B$29,IF(Skills!C18=2,90+Inputs!$B$26+Inputs!$B$29,IF(Skills!C18=3,120+Inputs!$B$27+Inputs!$B$29,MAX(0,(Inputs!$B$3-100)*3)+Inputs!$B$28+Inputs!$B$29)))</f>
        <v/>
      </c>
      <c r="E726">
        <f>INDEX(FactorTable!$B$2:$Y$301, MATCH(ROUND(MIN(300,MAX(1,D726)),0), FactorTable!$A$2:$A$301,0), Skills!M18+1)</f>
        <v/>
      </c>
      <c r="F726">
        <f>IF(Skills!N18=TRUE,(Skills!L18/10)*(E726/1000),Skills!L18/10)+Skills!O18</f>
        <v/>
      </c>
      <c r="G726">
        <f>Skills!G18*IF(Skills!H18&gt;0,Skills!I18/Skills!H18,1)</f>
        <v/>
      </c>
      <c r="H726">
        <f>1-(1-Skills!J18/100)^Skills!K18</f>
        <v/>
      </c>
      <c r="I726" t="inlineStr">
        <is>
          <t>1</t>
        </is>
      </c>
      <c r="J726" t="inlineStr"/>
      <c r="K726" t="inlineStr"/>
      <c r="L726" t="inlineStr"/>
      <c r="M726" t="inlineStr"/>
      <c r="N726" t="inlineStr"/>
      <c r="O726">
        <f>(1-Summary!$B$55)*T726+Summary!$B$55*V726</f>
        <v/>
      </c>
      <c r="P726">
        <f>IF(B750=0,0,O726/B750)</f>
        <v/>
      </c>
      <c r="Q726">
        <f>IFERROR(1/IF(Inputs!$B$38="pvp",15,MAX(0.1,Skills!D18-IF(Skills!E18=TRUE,Inputs!$B$32,0))),0)</f>
        <v/>
      </c>
      <c r="R726">
        <f>IF(AND(Inputs!$B$38&lt;&gt;"pvp",Inputs!$B$43&gt;0),IF(Inputs!$B$43&lt;=0,0,(INT(Inputs!$B$43/IF(Inputs!$B$38="pvp",15,MAX(0.1,Skills!D18-IF(Skills!E18=TRUE,Inputs!$B$32,0))))+1)),0)</f>
        <v/>
      </c>
      <c r="S726" t="n">
        <v>0</v>
      </c>
      <c r="T726" t="n">
        <v>0</v>
      </c>
      <c r="V726" t="n">
        <v>0</v>
      </c>
    </row>
    <row r="727">
      <c r="A727">
        <f>Skills!A19</f>
        <v/>
      </c>
      <c r="B727">
        <f>Skills!B19</f>
        <v/>
      </c>
      <c r="C727">
        <f>Inputs!$B$3&gt;=15</f>
        <v/>
      </c>
      <c r="D727">
        <f>IF(Skills!C19=1,60+Inputs!$B$25+Inputs!$B$29,IF(Skills!C19=2,90+Inputs!$B$26+Inputs!$B$29,IF(Skills!C19=3,120+Inputs!$B$27+Inputs!$B$29,MAX(0,(Inputs!$B$3-100)*3)+Inputs!$B$28+Inputs!$B$29)))</f>
        <v/>
      </c>
      <c r="E727">
        <f>INDEX(FactorTable!$B$2:$Y$301, MATCH(ROUND(MIN(300,MAX(1,D727)),0), FactorTable!$A$2:$A$301,0), Skills!M19+1)</f>
        <v/>
      </c>
      <c r="F727">
        <f>IF(Skills!N19=TRUE,(Skills!L19/10)*(E727/1000),Skills!L19/10)+Skills!O19</f>
        <v/>
      </c>
      <c r="G727">
        <f>Skills!G19*IF(Skills!H19&gt;0,Skills!I19/Skills!H19,1)</f>
        <v/>
      </c>
      <c r="H727">
        <f>1-(1-Skills!J19/100)^Skills!K19</f>
        <v/>
      </c>
      <c r="I727" t="inlineStr">
        <is>
          <t>1</t>
        </is>
      </c>
      <c r="J727" t="inlineStr"/>
      <c r="K727" t="inlineStr"/>
      <c r="L727" t="inlineStr"/>
      <c r="M727" t="inlineStr"/>
      <c r="N727" t="inlineStr"/>
      <c r="O727">
        <f>(1-Summary!$B$55)*T727+Summary!$B$55*V727</f>
        <v/>
      </c>
      <c r="P727">
        <f>IF(B750=0,0,O727/B750)</f>
        <v/>
      </c>
      <c r="Q727" t="n">
        <v>0</v>
      </c>
      <c r="R727" t="n">
        <v>0</v>
      </c>
      <c r="S727" t="n">
        <v>0</v>
      </c>
      <c r="T727" t="n">
        <v>0</v>
      </c>
      <c r="V727" t="n">
        <v>0</v>
      </c>
    </row>
    <row r="728">
      <c r="A728">
        <f>Skills!A20</f>
        <v/>
      </c>
      <c r="B728">
        <f>Skills!B20</f>
        <v/>
      </c>
      <c r="C728">
        <f>Inputs!$B$3&gt;=10</f>
        <v/>
      </c>
      <c r="D728">
        <f>IF(Skills!C20=1,60+Inputs!$B$25+Inputs!$B$29,IF(Skills!C20=2,90+Inputs!$B$26+Inputs!$B$29,IF(Skills!C20=3,120+Inputs!$B$27+Inputs!$B$29,MAX(0,(Inputs!$B$3-100)*3)+Inputs!$B$28+Inputs!$B$29)))</f>
        <v/>
      </c>
      <c r="E728">
        <f>INDEX(FactorTable!$B$2:$Y$301, MATCH(ROUND(MIN(300,MAX(1,D728)),0), FactorTable!$A$2:$A$301,0), Skills!M20+1)</f>
        <v/>
      </c>
      <c r="F728">
        <f>IF(Skills!N20=TRUE,(Skills!L20/10)*(E728/1000),Skills!L20/10)+Skills!O20</f>
        <v/>
      </c>
      <c r="G728">
        <f>Skills!G20*IF(Skills!H20&gt;0,Skills!I20/Skills!H20,1)</f>
        <v/>
      </c>
      <c r="H728">
        <f>1-(1-Skills!J20/100)^Skills!K20</f>
        <v/>
      </c>
      <c r="I728" t="inlineStr">
        <is>
          <t>1</t>
        </is>
      </c>
      <c r="J728" t="inlineStr"/>
      <c r="K728" t="inlineStr"/>
      <c r="L728" t="inlineStr"/>
      <c r="M728" t="inlineStr"/>
      <c r="N728" t="inlineStr"/>
      <c r="O728">
        <f>(1-Summary!$B$55)*T728+Summary!$B$55*V728</f>
        <v/>
      </c>
      <c r="P728">
        <f>IF(B750=0,0,O728/B750)</f>
        <v/>
      </c>
      <c r="Q728" t="n">
        <v>0</v>
      </c>
      <c r="R728" t="n">
        <v>0</v>
      </c>
      <c r="S728" t="n">
        <v>0</v>
      </c>
      <c r="T728" t="n">
        <v>0</v>
      </c>
      <c r="V728" t="n">
        <v>0</v>
      </c>
    </row>
    <row r="729">
      <c r="A729">
        <f>Skills!A21</f>
        <v/>
      </c>
      <c r="B729">
        <f>Skills!B21</f>
        <v/>
      </c>
      <c r="C729">
        <f>Inputs!$B$3&gt;=33</f>
        <v/>
      </c>
      <c r="D729">
        <f>IF(Skills!C21=1,60+Inputs!$B$25+Inputs!$B$29,IF(Skills!C21=2,90+Inputs!$B$26+Inputs!$B$29,IF(Skills!C21=3,120+Inputs!$B$27+Inputs!$B$29,MAX(0,(Inputs!$B$3-100)*3)+Inputs!$B$28+Inputs!$B$29)))</f>
        <v/>
      </c>
      <c r="E729">
        <f>INDEX(FactorTable!$B$2:$Y$301, MATCH(ROUND(MIN(300,MAX(1,D729)),0), FactorTable!$A$2:$A$301,0), Skills!M21+1)</f>
        <v/>
      </c>
      <c r="F729">
        <f>IF(Skills!N21=TRUE,(Skills!L21/10)*(E729/1000),Skills!L21/10)+Skills!O21</f>
        <v/>
      </c>
      <c r="G729">
        <f>Skills!G21*IF(Skills!H21&gt;0,Skills!I21/Skills!H21,1)</f>
        <v/>
      </c>
      <c r="H729">
        <f>1-(1-Skills!J21/100)^Skills!K21</f>
        <v/>
      </c>
      <c r="I729" t="inlineStr">
        <is>
          <t>1</t>
        </is>
      </c>
      <c r="J729" t="inlineStr"/>
      <c r="K729" t="inlineStr"/>
      <c r="L729" t="inlineStr"/>
      <c r="M729" t="inlineStr"/>
      <c r="N729" t="inlineStr"/>
      <c r="O729">
        <f>(1-Summary!$B$55)*T729+Summary!$B$55*V729</f>
        <v/>
      </c>
      <c r="P729">
        <f>IF(B750=0,0,O729/B750)</f>
        <v/>
      </c>
      <c r="Q729" t="n">
        <v>0</v>
      </c>
      <c r="R729" t="n">
        <v>0</v>
      </c>
      <c r="S729" t="n">
        <v>0</v>
      </c>
      <c r="T729" t="n">
        <v>0</v>
      </c>
      <c r="V729" t="n">
        <v>0</v>
      </c>
    </row>
    <row r="730">
      <c r="A730">
        <f>Skills!A22</f>
        <v/>
      </c>
      <c r="B730">
        <f>Skills!B22</f>
        <v/>
      </c>
      <c r="C730">
        <f>Inputs!$B$3&gt;=38</f>
        <v/>
      </c>
      <c r="D730">
        <f>IF(Skills!C22=1,60+Inputs!$B$25+Inputs!$B$29,IF(Skills!C22=2,90+Inputs!$B$26+Inputs!$B$29,IF(Skills!C22=3,120+Inputs!$B$27+Inputs!$B$29,MAX(0,(Inputs!$B$3-100)*3)+Inputs!$B$28+Inputs!$B$29)))</f>
        <v/>
      </c>
      <c r="E730">
        <f>INDEX(FactorTable!$B$2:$Y$301, MATCH(ROUND(MIN(300,MAX(1,D730)),0), FactorTable!$A$2:$A$301,0), Skills!M22+1)</f>
        <v/>
      </c>
      <c r="F730">
        <f>IF(Skills!N22=TRUE,(Skills!L22/10)*(E730/1000),Skills!L22/10)+Skills!O22</f>
        <v/>
      </c>
      <c r="G730">
        <f>Skills!G22*IF(Skills!H22&gt;0,Skills!I22/Skills!H22,1)</f>
        <v/>
      </c>
      <c r="H730">
        <f>1-(1-Skills!J22/100)^Skills!K22</f>
        <v/>
      </c>
      <c r="I730" t="inlineStr">
        <is>
          <t>1</t>
        </is>
      </c>
      <c r="J730" t="inlineStr"/>
      <c r="K730" t="inlineStr"/>
      <c r="L730" t="inlineStr"/>
      <c r="M730" t="inlineStr"/>
      <c r="N730" t="inlineStr"/>
      <c r="O730">
        <f>(1-Summary!$B$55)*T730+Summary!$B$55*V730</f>
        <v/>
      </c>
      <c r="P730">
        <f>IF(B750=0,0,O730/B750)</f>
        <v/>
      </c>
      <c r="Q730" t="n">
        <v>0</v>
      </c>
      <c r="R730" t="n">
        <v>0</v>
      </c>
      <c r="S730" t="n">
        <v>0</v>
      </c>
      <c r="T730" t="n">
        <v>0</v>
      </c>
      <c r="V730" t="n">
        <v>0</v>
      </c>
    </row>
    <row r="731">
      <c r="A731">
        <f>Skills!A23</f>
        <v/>
      </c>
      <c r="B731">
        <f>Skills!B23</f>
        <v/>
      </c>
      <c r="C731">
        <f>Inputs!$B$3&gt;=43</f>
        <v/>
      </c>
      <c r="D731">
        <f>IF(Skills!C23=1,60+Inputs!$B$25+Inputs!$B$29,IF(Skills!C23=2,90+Inputs!$B$26+Inputs!$B$29,IF(Skills!C23=3,120+Inputs!$B$27+Inputs!$B$29,MAX(0,(Inputs!$B$3-100)*3)+Inputs!$B$28+Inputs!$B$29)))</f>
        <v/>
      </c>
      <c r="E731">
        <f>INDEX(FactorTable!$B$2:$Y$301, MATCH(ROUND(MIN(300,MAX(1,D731)),0), FactorTable!$A$2:$A$301,0), Skills!M23+1)</f>
        <v/>
      </c>
      <c r="F731">
        <f>IF(Skills!N23=TRUE,(Skills!L23/10)*(E731/1000),Skills!L23/10)+Skills!O23</f>
        <v/>
      </c>
      <c r="G731">
        <f>Skills!G23*IF(Skills!H23&gt;0,Skills!I23/Skills!H23,1)</f>
        <v/>
      </c>
      <c r="H731">
        <f>1-(1-Skills!J23/100)^Skills!K23</f>
        <v/>
      </c>
      <c r="I731" t="inlineStr">
        <is>
          <t>1</t>
        </is>
      </c>
      <c r="J731" t="inlineStr"/>
      <c r="K731" t="inlineStr"/>
      <c r="L731" t="inlineStr"/>
      <c r="M731" t="inlineStr"/>
      <c r="N731" t="inlineStr"/>
      <c r="O731">
        <f>(1-Summary!$B$55)*T731+Summary!$B$55*V731</f>
        <v/>
      </c>
      <c r="P731">
        <f>IF(B750=0,0,O731/B750)</f>
        <v/>
      </c>
      <c r="Q731" t="n">
        <v>0</v>
      </c>
      <c r="R731" t="n">
        <v>0</v>
      </c>
      <c r="S731" t="n">
        <v>0</v>
      </c>
      <c r="T731" t="n">
        <v>0</v>
      </c>
      <c r="V731" t="n">
        <v>0</v>
      </c>
    </row>
    <row r="732">
      <c r="A732">
        <f>Skills!A24</f>
        <v/>
      </c>
      <c r="B732">
        <f>Skills!B24</f>
        <v/>
      </c>
      <c r="C732">
        <f>Inputs!$B$3&gt;=75</f>
        <v/>
      </c>
      <c r="D732">
        <f>IF(Skills!C24=1,60+Inputs!$B$25+Inputs!$B$29,IF(Skills!C24=2,90+Inputs!$B$26+Inputs!$B$29,IF(Skills!C24=3,120+Inputs!$B$27+Inputs!$B$29,MAX(0,(Inputs!$B$3-100)*3)+Inputs!$B$28+Inputs!$B$29)))</f>
        <v/>
      </c>
      <c r="E732">
        <f>INDEX(FactorTable!$B$2:$Y$301, MATCH(ROUND(MIN(300,MAX(1,D732)),0), FactorTable!$A$2:$A$301,0), Skills!M24+1)</f>
        <v/>
      </c>
      <c r="F732">
        <f>IF(Skills!N24=TRUE,(Skills!L24/10)*(E732/1000),Skills!L24/10)+Skills!O24</f>
        <v/>
      </c>
      <c r="G732">
        <f>Skills!G24*IF(Skills!H24&gt;0,Skills!I24/Skills!H24,1)</f>
        <v/>
      </c>
      <c r="H732">
        <f>1-(1-Skills!J24/100)^Skills!K24</f>
        <v/>
      </c>
      <c r="I732" t="inlineStr">
        <is>
          <t>1</t>
        </is>
      </c>
      <c r="J732" t="inlineStr"/>
      <c r="K732" t="inlineStr"/>
      <c r="L732" t="inlineStr"/>
      <c r="M732" t="inlineStr"/>
      <c r="N732" t="inlineStr"/>
      <c r="O732">
        <f>(1-Summary!$B$55)*T732+Summary!$B$55*V732</f>
        <v/>
      </c>
      <c r="P732">
        <f>IF(B750=0,0,O732/B750)</f>
        <v/>
      </c>
      <c r="Q732" t="n">
        <v>0</v>
      </c>
      <c r="R732" t="n">
        <v>0</v>
      </c>
      <c r="S732" t="n">
        <v>0</v>
      </c>
      <c r="T732" t="n">
        <v>0</v>
      </c>
      <c r="V732" t="n">
        <v>0</v>
      </c>
    </row>
    <row r="733">
      <c r="A733">
        <f>Skills!A25</f>
        <v/>
      </c>
      <c r="B733">
        <f>Skills!B25</f>
        <v/>
      </c>
      <c r="C733">
        <f>Inputs!$B$3&gt;=125</f>
        <v/>
      </c>
      <c r="D733">
        <f>IF(Skills!C25=1,60+Inputs!$B$25+Inputs!$B$29,IF(Skills!C25=2,90+Inputs!$B$26+Inputs!$B$29,IF(Skills!C25=3,120+Inputs!$B$27+Inputs!$B$29,MAX(0,(Inputs!$B$3-100)*3)+Inputs!$B$28+Inputs!$B$29)))</f>
        <v/>
      </c>
      <c r="E733">
        <f>INDEX(FactorTable!$B$2:$Y$301, MATCH(ROUND(MIN(300,MAX(1,D733)),0), FactorTable!$A$2:$A$301,0), Skills!M25+1)</f>
        <v/>
      </c>
      <c r="F733">
        <f>IF(Skills!N25=TRUE,(Skills!L25/10)*(E733/1000),Skills!L25/10)+Skills!O25</f>
        <v/>
      </c>
      <c r="G733">
        <f>Skills!G25*IF(Skills!H25&gt;0,Skills!I25/Skills!H25,1)</f>
        <v/>
      </c>
      <c r="H733">
        <f>1-(1-Skills!J25/100)^Skills!K25</f>
        <v/>
      </c>
      <c r="I733" t="inlineStr">
        <is>
          <t>1</t>
        </is>
      </c>
      <c r="J733" t="inlineStr"/>
      <c r="K733" t="inlineStr"/>
      <c r="L733" t="inlineStr"/>
      <c r="M733" t="inlineStr"/>
      <c r="N733" t="inlineStr"/>
      <c r="O733">
        <f>(1-Summary!$B$55)*T733+Summary!$B$55*V733</f>
        <v/>
      </c>
      <c r="P733">
        <f>IF(B750=0,0,O733/B750)</f>
        <v/>
      </c>
      <c r="Q733" t="n">
        <v>0</v>
      </c>
      <c r="R733" t="n">
        <v>0</v>
      </c>
      <c r="S733" t="n">
        <v>0</v>
      </c>
      <c r="T733" t="n">
        <v>0</v>
      </c>
      <c r="V733" t="n">
        <v>0</v>
      </c>
    </row>
    <row r="734">
      <c r="A734">
        <f>Skills!A26</f>
        <v/>
      </c>
      <c r="B734">
        <f>Skills!B26</f>
        <v/>
      </c>
      <c r="C734">
        <f>Inputs!$B$3&gt;=125</f>
        <v/>
      </c>
      <c r="D734">
        <f>IF(Skills!C26=1,60+Inputs!$B$25+Inputs!$B$29,IF(Skills!C26=2,90+Inputs!$B$26+Inputs!$B$29,IF(Skills!C26=3,120+Inputs!$B$27+Inputs!$B$29,MAX(0,(Inputs!$B$3-100)*3)+Inputs!$B$28+Inputs!$B$29)))</f>
        <v/>
      </c>
      <c r="E734">
        <f>INDEX(FactorTable!$B$2:$Y$301, MATCH(ROUND(MIN(300,MAX(1,D734)),0), FactorTable!$A$2:$A$301,0), Skills!M26+1)</f>
        <v/>
      </c>
      <c r="F734">
        <f>IF(Skills!N26=TRUE,(Skills!L26/10)*(E734/1000),Skills!L26/10)+Skills!O26</f>
        <v/>
      </c>
      <c r="G734">
        <f>Skills!G26*IF(Skills!H26&gt;0,Skills!I26/Skills!H26,1)</f>
        <v/>
      </c>
      <c r="H734">
        <f>1-(1-Skills!J26/100)^Skills!K26</f>
        <v/>
      </c>
      <c r="I734" t="inlineStr">
        <is>
          <t>1</t>
        </is>
      </c>
      <c r="J734" t="inlineStr"/>
      <c r="K734" t="inlineStr"/>
      <c r="L734" t="inlineStr"/>
      <c r="M734" t="inlineStr"/>
      <c r="N734" t="inlineStr"/>
      <c r="O734">
        <f>(1-Summary!$B$55)*T734+Summary!$B$55*V734</f>
        <v/>
      </c>
      <c r="P734">
        <f>IF(B750=0,0,O734/B750)</f>
        <v/>
      </c>
      <c r="Q734" t="n">
        <v>0</v>
      </c>
      <c r="R734" t="n">
        <v>0</v>
      </c>
      <c r="S734" t="n">
        <v>0</v>
      </c>
      <c r="T734" t="n">
        <v>0</v>
      </c>
      <c r="V734" t="n">
        <v>0</v>
      </c>
    </row>
    <row r="735">
      <c r="A735">
        <f>Skills!A27</f>
        <v/>
      </c>
      <c r="B735">
        <f>Skills!B27</f>
        <v/>
      </c>
      <c r="C735">
        <f>Inputs!$B$3&gt;=120</f>
        <v/>
      </c>
      <c r="D735">
        <f>IF(Skills!C27=1,60+Inputs!$B$25+Inputs!$B$29,IF(Skills!C27=2,90+Inputs!$B$26+Inputs!$B$29,IF(Skills!C27=3,120+Inputs!$B$27+Inputs!$B$29,MAX(0,(Inputs!$B$3-100)*3)+Inputs!$B$28+Inputs!$B$29)))</f>
        <v/>
      </c>
      <c r="E735">
        <f>INDEX(FactorTable!$B$2:$Y$301, MATCH(ROUND(MIN(300,MAX(1,D735)),0), FactorTable!$A$2:$A$301,0), Skills!M27+1)</f>
        <v/>
      </c>
      <c r="F735">
        <f>IF(Skills!N27=TRUE,(Skills!L27/10)*(E735/1000),Skills!L27/10)+Skills!O27</f>
        <v/>
      </c>
      <c r="G735">
        <f>Skills!G27*IF(Skills!H27&gt;0,Skills!I27/Skills!H27,1)</f>
        <v/>
      </c>
      <c r="H735">
        <f>1-(1-Skills!J27/100)^Skills!K27</f>
        <v/>
      </c>
      <c r="I735" t="inlineStr">
        <is>
          <t>1</t>
        </is>
      </c>
      <c r="J735" t="inlineStr"/>
      <c r="K735" t="inlineStr"/>
      <c r="L735" t="inlineStr"/>
      <c r="M735" t="inlineStr"/>
      <c r="N735" t="inlineStr"/>
      <c r="O735">
        <f>(1-Summary!$B$55)*T735+Summary!$B$55*V735</f>
        <v/>
      </c>
      <c r="P735">
        <f>IF(B750=0,0,O735/B750)</f>
        <v/>
      </c>
      <c r="Q735" t="n">
        <v>0</v>
      </c>
      <c r="R735" t="n">
        <v>0</v>
      </c>
      <c r="S735" t="n">
        <v>0</v>
      </c>
      <c r="T735" t="n">
        <v>0</v>
      </c>
      <c r="V735" t="n">
        <v>0</v>
      </c>
    </row>
    <row r="736">
      <c r="A736">
        <f>Skills!A28</f>
        <v/>
      </c>
      <c r="B736">
        <f>Skills!B28</f>
        <v/>
      </c>
      <c r="C736">
        <f>Inputs!$B$3&gt;=120</f>
        <v/>
      </c>
      <c r="D736">
        <f>IF(Skills!C28=1,60+Inputs!$B$25+Inputs!$B$29,IF(Skills!C28=2,90+Inputs!$B$26+Inputs!$B$29,IF(Skills!C28=3,120+Inputs!$B$27+Inputs!$B$29,MAX(0,(Inputs!$B$3-100)*3)+Inputs!$B$28+Inputs!$B$29)))</f>
        <v/>
      </c>
      <c r="E736">
        <f>INDEX(FactorTable!$B$2:$Y$301, MATCH(ROUND(MIN(300,MAX(1,D736)),0), FactorTable!$A$2:$A$301,0), Skills!M28+1)</f>
        <v/>
      </c>
      <c r="F736">
        <f>IF(Skills!N28=TRUE,(Skills!L28/10)*(E736/1000),Skills!L28/10)+Skills!O28</f>
        <v/>
      </c>
      <c r="G736">
        <f>Skills!G28*IF(Skills!H28&gt;0,Skills!I28/Skills!H28,1)</f>
        <v/>
      </c>
      <c r="H736">
        <f>1-(1-Skills!J28/100)^Skills!K28</f>
        <v/>
      </c>
      <c r="I736" t="inlineStr">
        <is>
          <t>1</t>
        </is>
      </c>
      <c r="J736" t="inlineStr"/>
      <c r="K736" t="inlineStr"/>
      <c r="L736" t="inlineStr"/>
      <c r="M736" t="inlineStr"/>
      <c r="N736" t="inlineStr"/>
      <c r="O736">
        <f>(1-Summary!$B$55)*T736+Summary!$B$55*V736</f>
        <v/>
      </c>
      <c r="P736">
        <f>IF(B750=0,0,O736/B750)</f>
        <v/>
      </c>
      <c r="Q736" t="n">
        <v>0</v>
      </c>
      <c r="R736" t="n">
        <v>0</v>
      </c>
      <c r="S736" t="n">
        <v>0</v>
      </c>
      <c r="T736" t="n">
        <v>0</v>
      </c>
      <c r="V736" t="n">
        <v>0</v>
      </c>
    </row>
    <row r="737">
      <c r="A737">
        <f>Skills!A29</f>
        <v/>
      </c>
      <c r="B737">
        <f>Skills!B29</f>
        <v/>
      </c>
      <c r="C737">
        <f>Inputs!$B$3&gt;=45</f>
        <v/>
      </c>
      <c r="D737">
        <f>IF(Skills!C29=1,60+Inputs!$B$25+Inputs!$B$29,IF(Skills!C29=2,90+Inputs!$B$26+Inputs!$B$29,IF(Skills!C29=3,120+Inputs!$B$27+Inputs!$B$29,MAX(0,(Inputs!$B$3-100)*3)+Inputs!$B$28+Inputs!$B$29)))</f>
        <v/>
      </c>
      <c r="E737">
        <f>INDEX(FactorTable!$B$2:$Y$301, MATCH(ROUND(MIN(300,MAX(1,D737)),0), FactorTable!$A$2:$A$301,0), Skills!M29+1)</f>
        <v/>
      </c>
      <c r="F737">
        <f>IF(Skills!N29=TRUE,(Skills!L29/10)*(E737/1000),Skills!L29/10)+Skills!O29</f>
        <v/>
      </c>
      <c r="G737">
        <f>Skills!G29*IF(Skills!H29&gt;0,Skills!I29/Skills!H29,1)</f>
        <v/>
      </c>
      <c r="H737">
        <f>1-(1-Skills!J29/100)^Skills!K29</f>
        <v/>
      </c>
      <c r="I737" t="inlineStr">
        <is>
          <t>1</t>
        </is>
      </c>
      <c r="J737" t="inlineStr"/>
      <c r="K737" t="inlineStr"/>
      <c r="L737" t="inlineStr"/>
      <c r="M737" t="inlineStr"/>
      <c r="N737" t="inlineStr"/>
      <c r="O737">
        <f>(1-Summary!$B$55)*T737+Summary!$B$55*V737</f>
        <v/>
      </c>
      <c r="P737">
        <f>IF(B750=0,0,O737/B750)</f>
        <v/>
      </c>
      <c r="Q737" t="n">
        <v>0</v>
      </c>
      <c r="R737" t="n">
        <v>0</v>
      </c>
      <c r="S737" t="n">
        <v>0</v>
      </c>
      <c r="T737" t="n">
        <v>0</v>
      </c>
      <c r="V737" t="n">
        <v>0</v>
      </c>
    </row>
    <row r="739">
      <c r="A739" t="inlineStr">
        <is>
          <t>Attack% Bucket Multiplier</t>
        </is>
      </c>
      <c r="B739">
        <f>(1+(((C721=TRUE)*F721)+((C722=TRUE)*IF(Inputs!$B$38="pvp",F722,(1-Summary!$B$55)*(F722)+Summary!$B$55*(0)))+((C723=TRUE)*F723*IF(AND(Inputs!$B$38&lt;&gt;"pvp",Inputs!$B$43&gt;0),(((R723-1)*(Skills!T15*(1+Inputs!$B$34/100))+MIN((Skills!T15*(1+Inputs!$B$34/100)),MAX(0,Inputs!$B$43-((R723-1)*Skills!D15))))/Inputs!$B$43),IF(Inputs!$B$38="pvp",MIN((Skills!T15*(1+Inputs!$B$34/100)),15)/15,(Skills!T15*(1+Inputs!$B$34/100))/Skills!D15)))+((C720=TRUE)*F720)+((C737=TRUE)*(F737-Calc!F29)))/100)</f>
        <v/>
      </c>
    </row>
    <row r="740">
      <c r="A740" t="inlineStr">
        <is>
          <t>Global Crit Rate Bonus %</t>
        </is>
      </c>
      <c r="B740">
        <f>(C724=TRUE)*20*IF(AND(Inputs!$B$38&lt;&gt;"pvp",Inputs!$B$43&gt;0),(((R724-1)*(Skills!T16*(1+Inputs!$B$34/100))+MIN((Skills!T16*(1+Inputs!$B$34/100)),MAX(0,Inputs!$B$43-((R724-1)*Skills!D16))))/Inputs!$B$43),IF(Inputs!$B$38="pvp",MIN((Skills!T16*(1+Inputs!$B$34/100)),15)/15,(Skills!T16*(1+Inputs!$B$34/100))/Skills!D16))</f>
        <v/>
      </c>
    </row>
    <row r="741">
      <c r="A741" t="inlineStr">
        <is>
          <t>Attack Speed Buff Bonus %</t>
        </is>
      </c>
      <c r="B741">
        <f>((C726=TRUE)*F726*IF(AND(Inputs!$B$38&lt;&gt;"pvp",Inputs!$B$43&gt;0),(((R726-1)*(Skills!T18*(1+Inputs!$B$34/100))+MIN((Skills!T18*(1+Inputs!$B$34/100)),MAX(0,Inputs!$B$43-((R726-1)*Skills!D18))))/Inputs!$B$43),IF(Inputs!$B$38="pvp",MIN((Skills!T18*(1+Inputs!$B$34/100)),15)/15,(Skills!T18*(1+Inputs!$B$34/100))/Skills!D18)))</f>
        <v/>
      </c>
    </row>
    <row r="742">
      <c r="A742" t="inlineStr">
        <is>
          <t>Actions Per Second</t>
        </is>
      </c>
      <c r="B742">
        <f>1+MIN(150,150*(1-(1-(Inputs!$B$11+((C728=TRUE)*(F728-Calc!F20))+((C729=TRUE)*(F729-Calc!F21)))/150)*(1-B741/150)))/100</f>
        <v/>
      </c>
    </row>
    <row r="743">
      <c r="A743" t="inlineStr">
        <is>
          <t>Skill + Buff Cast Rate</t>
        </is>
      </c>
      <c r="B743">
        <f>IF(AND(Inputs!$B$38&lt;&gt;"pvp",Inputs!$B$43&gt;0),SUMPRODUCT((Skills!E2:E29=TRUE)*(C710:C737=TRUE)*R710:R737*Skills!F2:F29)/Inputs!$B$43,SUMPRODUCT((Skills!E2:E29=TRUE)*(C710:C737=TRUE)*Q710:Q737*Skills!F2:F29))</f>
        <v/>
      </c>
    </row>
    <row r="744">
      <c r="A744" t="inlineStr">
        <is>
          <t>Empowered Piercing Arrow Casts Per Second</t>
        </is>
      </c>
      <c r="B744">
        <f>MAX(0,B742-B743)</f>
        <v/>
      </c>
    </row>
    <row r="745">
      <c r="A745" t="inlineStr">
        <is>
          <t>Global Critical Damage Bonus % (Sharp Eyes)</t>
        </is>
      </c>
      <c r="B745">
        <f>(C724=TRUE)*F724*IF(AND(Inputs!$B$38&lt;&gt;"pvp",Inputs!$B$43&gt;0),(((R724-1)*(Skills!T16*(1+Inputs!$B$34/100))+MIN((Skills!T16*(1+Inputs!$B$34/100)),MAX(0,Inputs!$B$43-((R724-1)*Skills!D16))))/Inputs!$B$43),IF(Inputs!$B$38="pvp",MIN((Skills!T16*(1+Inputs!$B$34/100)),15)/15,(Skills!T16*(1+Inputs!$B$34/100))/Skills!D16))</f>
        <v/>
      </c>
    </row>
    <row r="746">
      <c r="A746" t="inlineStr">
        <is>
          <t>Global Final Damage Bonus % (Mortal Blow + Last Man Standing conditional half)</t>
        </is>
      </c>
      <c r="B746">
        <f>(C725=TRUE)*F725+((C734=TRUE)*IF(Inputs!$B$38="pvp",F734,(1-Summary!$B$55)*(F734)+Summary!$B$55*(0)))</f>
        <v/>
      </c>
    </row>
    <row r="747">
      <c r="A747" t="inlineStr">
        <is>
          <t>Buff-Casting Startup Delay (s, fixed-duration only)</t>
        </is>
      </c>
      <c r="B747">
        <f>IF(AND(Inputs!$B$38&lt;&gt;"pvp",Inputs!$B$43&gt;0),SUMPRODUCT((Skills!T2:T29&gt;0)*(Skills!E2:E29=TRUE)*(C710:C737=TRUE))/B742,0)</f>
        <v/>
      </c>
    </row>
    <row r="748">
      <c r="A748" t="inlineStr">
        <is>
          <t>Boss-Only Total DPS (this block's swept value)</t>
        </is>
      </c>
      <c r="B748">
        <f>SUM(T710:T737)</f>
        <v/>
      </c>
    </row>
    <row r="749">
      <c r="A749" t="inlineStr">
        <is>
          <t>Normal-Only Total DPS (this block's swept value)</t>
        </is>
      </c>
      <c r="B749">
        <f>SUM(V710:V737)</f>
        <v/>
      </c>
    </row>
    <row r="750">
      <c r="A750" s="5" t="inlineStr">
        <is>
          <t>TOTAL DPS</t>
        </is>
      </c>
      <c r="B750" s="5">
        <f>SUM(O710:O737)</f>
        <v/>
      </c>
    </row>
    <row r="753">
      <c r="A753" s="5" t="inlineStr">
        <is>
          <t>Stat: Skill Level Bonus — 1st Job</t>
        </is>
      </c>
    </row>
    <row r="754">
      <c r="A754" s="9" t="inlineStr">
        <is>
          <t>Key</t>
        </is>
      </c>
      <c r="B754" s="9" t="inlineStr">
        <is>
          <t>Name</t>
        </is>
      </c>
      <c r="C754" s="9" t="inlineStr">
        <is>
          <t>Unlocked</t>
        </is>
      </c>
      <c r="D754" s="9" t="inlineStr">
        <is>
          <t>InputLevel</t>
        </is>
      </c>
      <c r="E754" s="9" t="inlineStr">
        <is>
          <t>Factor</t>
        </is>
      </c>
      <c r="F754" s="9" t="inlineStr">
        <is>
          <t>CoefficientPercent</t>
        </is>
      </c>
      <c r="G754" s="9" t="inlineStr">
        <is>
          <t>EffectiveHits</t>
        </is>
      </c>
      <c r="H754" s="9" t="inlineStr">
        <is>
          <t>ProcProbability</t>
        </is>
      </c>
      <c r="I754" s="9" t="inlineStr">
        <is>
          <t>MapleHeroMultiplier</t>
        </is>
      </c>
      <c r="J754" s="9" t="inlineStr">
        <is>
          <t>BaseDamage</t>
        </is>
      </c>
      <c r="K754" s="9" t="inlineStr">
        <is>
          <t>BaseHitDamage</t>
        </is>
      </c>
      <c r="L754" s="9" t="inlineStr">
        <is>
          <t>NonCritAvg</t>
        </is>
      </c>
      <c r="M754" s="9" t="inlineStr">
        <is>
          <t>CritAvg</t>
        </is>
      </c>
      <c r="N754" s="9" t="inlineStr">
        <is>
          <t>ExpectedDamage(perHit)</t>
        </is>
      </c>
      <c r="O754" s="9" t="inlineStr">
        <is>
          <t>DPS</t>
        </is>
      </c>
      <c r="P754" s="9" t="inlineStr">
        <is>
          <t>% of Total</t>
        </is>
      </c>
      <c r="Q754" s="9" t="inlineStr">
        <is>
          <t>InvCooldown</t>
        </is>
      </c>
      <c r="R754" s="9" t="inlineStr">
        <is>
          <t>CastsInFight</t>
        </is>
      </c>
      <c r="S754" s="9"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((Inputs!$B$6*(1+Inputs!$B$7/100))+(((Inputs!$B$12*(1+Inputs!$B$13/100))-(Inputs!$B$12*(1+Inputs!$B$13/100)))+0.25*(Inputs!$B$14-Inputs!$B$14))*(1+Inputs!$B$7/100))*(F755/100)</f>
        <v/>
      </c>
      <c r="K755">
        <f>J755*(1+((Inputs!$B$12*(1+Inputs!$B$13/100))*0.01+Inputs!$B$14*0.0025)/100)*(1+Inputs!$B$15/100)*(1+Inputs!$B$16/100)*(5000/(6000+Inputs!$B$42*(1-(Inputs!$B$19+0)/100)))*(1+(Inputs!$B$24+((C777=TRUE)*(F777-Calc!F24))+((C778=TRUE)*(F778-Calc!F25))+B791)/100)*(1+(IF(Skills!A2="EMPOWERED_PIERCING_ARROW",Inputs!$B$17+((C775=TRUE)*(F775-Calc!F22)),Inputs!$B$18+((C780=TRUE)*(F780-Calc!F27))))/100)*((1+(((C766=TRUE)*F766)+((C767=TRUE)*IF(Inputs!$B$38="pvp",F767,(1-Summary!$B$55)*(F767)+Summary!$B$55*(0)))+((C768=TRUE)*F768*IF(AND(Inputs!$B$38&lt;&gt;"pvp",Inputs!$B$43&gt;0),(((R768-1)*(Skills!T15*(1+Inputs!$B$34/100))+MIN((Skills!T15*(1+Inputs!$B$34/100)),MAX(0,Inputs!$B$43-((R768-1)*Skills!D15))))/Inputs!$B$43),IF(Inputs!$B$38="pvp",MIN((Skills!T15*(1+Inputs!$B$34/100)),15)/15,(Skills!T15*(1+Inputs!$B$34/100))/Skills!D15)))+((C765=TRUE)*F765)+((C782=TRUE)*(F782-Calc!F29)))/100)*I755)</f>
        <v/>
      </c>
      <c r="L755">
        <f>K755*(MIN(Inputs!$B$22+((C776=TRUE)*(F776-Calc!F23)),Inputs!$B$23+((C781=TRUE)*(F781-Calc!F28)))/100+(Inputs!$B$23+((C781=TRUE)*(F781-Calc!F28)))/100)/2</f>
        <v/>
      </c>
      <c r="M755">
        <f>L755*(1+(Inputs!$B$10+0+B790)/100)</f>
        <v/>
      </c>
      <c r="N755">
        <f>L755*(1-MIN((Inputs!$B$9+((C772=TRUE)*(F772-Calc!F19))+B785),100)/100)+M755*(MIN((Inputs!$B$9+((C772=TRUE)*(F772-Calc!F19))+B785),100)/100)</f>
        <v/>
      </c>
      <c r="O755">
        <f>(1-Summary!$B$55)*T755+Summary!$B$55*V755</f>
        <v/>
      </c>
      <c r="P755">
        <f>IF(B795=0,0,O755/B795)</f>
        <v/>
      </c>
      <c r="Q755" t="n">
        <v>0</v>
      </c>
      <c r="R755" t="n">
        <v>0</v>
      </c>
      <c r="S755">
        <f>IFERROR((Skills!G2*N755*B789)/N755*IF(Inputs!$B$38="pvp",1,(1-Summary!$B$55)*1+Summary!$B$55*(MIN((6+Inputs!$B$33),Inputs!$B$37))),0)</f>
        <v/>
      </c>
      <c r="T755">
        <f>IF(C755,(Skills!G2*N755*B789)*IF(Inputs!$B$38="pvp",1,1+(Inputs!$B$20+0+Skills!P2)/100),0)</f>
        <v/>
      </c>
      <c r="U755">
        <f>MAX(0,(Inputs!$B$3-100)*3)+Inputs!$B$28+Inputs!$B$29</f>
        <v/>
      </c>
      <c r="V755">
        <f>IF(C755,(Skills!G2*N755*B789)*IF(Inputs!$B$38="pvp",1,(1+(Inputs!$B$21+Skills!Q2)/100)*(MIN((6+Inputs!$B$33),Inputs!$B$37))),0)</f>
        <v/>
      </c>
    </row>
    <row r="756">
      <c r="A756">
        <f>Skills!A3</f>
        <v/>
      </c>
      <c r="B756">
        <f>Skills!B3</f>
        <v/>
      </c>
      <c r="C756">
        <f>Inputs!$B$3&gt;=50</f>
        <v/>
      </c>
      <c r="D756">
        <f>IF(Skills!C3=1,60+(Inputs!$B$25+1)+Inputs!$B$29,IF(Skills!C3=2,90+Inputs!$B$26+Inputs!$B$29,IF(Skills!C3=3,120+Inputs!$B$27+Inputs!$B$29,MAX(0,(Inputs!$B$3-100)*3)+Inputs!$B$28+Inputs!$B$29)))</f>
        <v/>
      </c>
      <c r="E756">
        <f>INDEX(FactorTable!$B$2:$Y$301, MATCH(ROUND(MIN(300,MAX(1,D756)),0), FactorTable!$A$2:$A$301,0), Skills!M3+1)</f>
        <v/>
      </c>
      <c r="F756">
        <f>IF(Skills!N3=TRUE,(Skills!L3/10)*(E756/1000),Skills!L3/10)+Skills!O3</f>
        <v/>
      </c>
      <c r="G756" t="inlineStr"/>
      <c r="H756" t="inlineStr"/>
      <c r="I756" t="inlineStr">
        <is>
          <t>1</t>
        </is>
      </c>
      <c r="J756" t="inlineStr"/>
      <c r="K756" t="inlineStr"/>
      <c r="L756" t="inlineStr"/>
      <c r="M756" t="inlineStr"/>
      <c r="N756" t="inlineStr"/>
      <c r="O756" t="inlineStr"/>
      <c r="P756" t="inlineStr"/>
      <c r="Q756" t="inlineStr"/>
      <c r="R756" t="inlineStr"/>
      <c r="S756" t="inlineStr"/>
      <c r="T756" t="inlineStr"/>
      <c r="U756">
        <f>INDEX(FactorTable!$B$2:$Y$301, MATCH(ROUND(MIN(300,MAX(1,U755)),0), FactorTable!$A$2:$A$301,0), 22)</f>
        <v/>
      </c>
      <c r="V756" t="inlineStr"/>
    </row>
    <row r="757">
      <c r="A757">
        <f>Skills!A4</f>
        <v/>
      </c>
      <c r="B757">
        <f>Skills!B4</f>
        <v/>
      </c>
      <c r="C757">
        <f>Inputs!$B$3&gt;=105</f>
        <v/>
      </c>
      <c r="D757">
        <f>IF(Skills!C4=1,60+(Inputs!$B$25+1)+Inputs!$B$29,IF(Skills!C4=2,90+Inputs!$B$26+Inputs!$B$29,IF(Skills!C4=3,120+Inputs!$B$27+Inputs!$B$29,MAX(0,(Inputs!$B$3-100)*3)+Inputs!$B$28+Inputs!$B$29)))</f>
        <v/>
      </c>
      <c r="E757">
        <f>INDEX(FactorTable!$B$2:$Y$301, MATCH(ROUND(MIN(300,MAX(1,D757)),0), FactorTable!$A$2:$A$301,0), Skills!M4+1)</f>
        <v/>
      </c>
      <c r="F757">
        <f>IF(Skills!N4=TRUE,(Skills!L4/10)*(E757/1000),Skills!L4/10)+Skills!O4</f>
        <v/>
      </c>
      <c r="G757" t="inlineStr"/>
      <c r="H757" t="inlineStr"/>
      <c r="I757" t="inlineStr">
        <is>
          <t>1</t>
        </is>
      </c>
      <c r="J757" t="inlineStr"/>
      <c r="K757" t="inlineStr"/>
      <c r="L757" t="inlineStr"/>
      <c r="M757" t="inlineStr"/>
      <c r="N757" t="inlineStr"/>
      <c r="O757" t="inlineStr"/>
      <c r="P757" t="inlineStr"/>
      <c r="Q757" t="inlineStr"/>
      <c r="R757" t="inlineStr"/>
      <c r="S757" t="inlineStr"/>
      <c r="T757" t="inlineStr"/>
      <c r="U757">
        <f>290*U756/1000</f>
        <v/>
      </c>
      <c r="V757" t="inlineStr"/>
    </row>
    <row r="758">
      <c r="A758">
        <f>Skills!A5</f>
        <v/>
      </c>
      <c r="B758">
        <f>Skills!B5</f>
        <v/>
      </c>
      <c r="C758">
        <f>Inputs!$B$3&gt;=35</f>
        <v/>
      </c>
      <c r="D758">
        <f>IF(Skills!C5=1,60+(Inputs!$B$25+1)+Inputs!$B$29,IF(Skills!C5=2,90+Inputs!$B$26+Inputs!$B$29,IF(Skills!C5=3,120+Inputs!$B$27+Inputs!$B$29,MAX(0,(Inputs!$B$3-100)*3)+Inputs!$B$28+Inputs!$B$29)))</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f>((Inputs!$B$6*(1+Inputs!$B$7/100))+(((Inputs!$B$12*(1+Inputs!$B$13/100))-(Inputs!$B$12*(1+Inputs!$B$13/100)))+0.25*(Inputs!$B$14-Inputs!$B$14))*(1+Inputs!$B$7/100))*(F758/100)</f>
        <v/>
      </c>
      <c r="K758">
        <f>J758*(1+((Inputs!$B$12*(1+Inputs!$B$13/100))*0.01+Inputs!$B$14*0.0025)/100)*(1+Inputs!$B$15/100)*(1+Inputs!$B$16/100)*(5000/(6000+Inputs!$B$42*(1-(Inputs!$B$19+0)/100)))*(1+(Inputs!$B$24+((C777=TRUE)*(F777-Calc!F24))+((C778=TRUE)*(F778-Calc!F25))+B791)/100)*(1+4.0*IF(C761=TRUE,F761,0)/100)*(1+(IF(Skills!A5="EMPOWERED_PIERCING_ARROW",Inputs!$B$17+((C775=TRUE)*(F775-Calc!F22)),Inputs!$B$18+((C780=TRUE)*(F780-Calc!F27))))/100)*((1+(((C766=TRUE)*F766)+((C767=TRUE)*IF(Inputs!$B$38="pvp",F767,(1-Summary!$B$55)*(F767)+Summary!$B$55*(0)))+((C768=TRUE)*F768*IF(AND(Inputs!$B$38&lt;&gt;"pvp",Inputs!$B$43&gt;0),(((R768-1)*(Skills!T15*(1+Inputs!$B$34/100))+MIN((Skills!T15*(1+Inputs!$B$34/100)),MAX(0,Inputs!$B$43-((R768-1)*Skills!D15))))/Inputs!$B$43),IF(Inputs!$B$38="pvp",MIN((Skills!T15*(1+Inputs!$B$34/100)),15)/15,(Skills!T15*(1+Inputs!$B$34/100))/Skills!D15)))+((C765=TRUE)*F765)+((C782=TRUE)*(F782-Calc!F29)))/100)*I758)</f>
        <v/>
      </c>
      <c r="L758">
        <f>K758*(MIN(Inputs!$B$22+((C776=TRUE)*(F776-Calc!F23)),Inputs!$B$23+((C781=TRUE)*(F781-Calc!F28)))/100+(Inputs!$B$23+((C781=TRUE)*(F781-Calc!F28)))/100)/2</f>
        <v/>
      </c>
      <c r="M758">
        <f>L758*(1+(Inputs!$B$10+0+B790)/100)</f>
        <v/>
      </c>
      <c r="N758">
        <f>L758*(1-MIN((Inputs!$B$9+((C772=TRUE)*(F772-Calc!F19))+B785),100)/100)+M758*(MIN((Inputs!$B$9+((C772=TRUE)*(F772-Calc!F19))+B785),100)/100)</f>
        <v/>
      </c>
      <c r="O758">
        <f>(1-Summary!$B$55)*T758+Summary!$B$55*V758</f>
        <v/>
      </c>
      <c r="P758">
        <f>IF(B795=0,0,O758/B795)</f>
        <v/>
      </c>
      <c r="Q758">
        <f>IFERROR(1/IF(Inputs!$B$38="pvp",15,MAX(0.1,Skills!D5-IF(Skills!E5=TRUE,Inputs!$B$32,0))),0)</f>
        <v/>
      </c>
      <c r="R758">
        <f>IF(AND(Inputs!$B$38&lt;&gt;"pvp",Inputs!$B$43&gt;0),IF(MAX(0,Inputs!$B$43-B792)&lt;=0,0,(INT(MAX(0,Inputs!$B$43-B792)/IF(Inputs!$B$38="pvp",15,MAX(0.1,Skills!D5-IF(Skills!E5=TRUE,Inputs!$B$32,0))))+1)),0)</f>
        <v/>
      </c>
      <c r="S758">
        <f>IFERROR((H758*N758*IF(AND(Inputs!$B$38&lt;&gt;"pvp",Inputs!$B$43&gt;0),((Skills!G5*((R758-1)*IF(Skills!H5&gt;0,Skills!I5/Skills!H5,1)+IF(Skills!H5&gt;0,MIN(Skills!I5,MAX(0,MAX(0,Inputs!$B$43-B792)-((R758-1)*IF(Inputs!$B$38="pvp",15,MAX(0.1,Skills!D5-IF(Skills!E5=TRUE,Inputs!$B$32,0))))))/Skills!H5,1)))/Inputs!$B$43),G758*Q758))/N758*IF(Inputs!$B$38="pvp",1,(1-Summary!$B$55)*1+Summary!$B$55*(MIN(Skills!R5,Inputs!$B$37))),0)</f>
        <v/>
      </c>
      <c r="T758">
        <f>IF(C758,(H758*N758*IF(AND(Inputs!$B$38&lt;&gt;"pvp",Inputs!$B$43&gt;0),((Skills!G5*((R758-1)*IF(Skills!H5&gt;0,Skills!I5/Skills!H5,1)+IF(Skills!H5&gt;0,MIN(Skills!I5,MAX(0,MAX(0,Inputs!$B$43-B792)-((R758-1)*IF(Inputs!$B$38="pvp",15,MAX(0.1,Skills!D5-IF(Skills!E5=TRUE,Inputs!$B$32,0))))))/Skills!H5,1)))/Inputs!$B$43),G758*Q758))*IF(Inputs!$B$38="pvp",1,1+(Inputs!$B$20+0+Skills!P5)/100),0)</f>
        <v/>
      </c>
      <c r="V758">
        <f>IF(C758,(H758*N758*IF(AND(Inputs!$B$38&lt;&gt;"pvp",Inputs!$B$43&gt;0),((Skills!G5*((R758-1)*IF(Skills!H5&gt;0,Skills!I5/Skills!H5,1)+IF(Skills!H5&gt;0,MIN(Skills!I5,MAX(0,MAX(0,Inputs!$B$43-B792)-((R758-1)*IF(Inputs!$B$38="pvp",15,MAX(0.1,Skills!D5-IF(Skills!E5=TRUE,Inputs!$B$32,0))))))/Skills!H5,1)))/Inputs!$B$43),G758*Q758))*IF(Inputs!$B$38="pvp",1,(1+(Inputs!$B$21+Skills!Q5)/100)*(MIN(Skills!R5,Inputs!$B$37))),0)</f>
        <v/>
      </c>
    </row>
    <row r="759">
      <c r="A759">
        <f>Skills!A6</f>
        <v/>
      </c>
      <c r="B759">
        <f>Skills!B6</f>
        <v/>
      </c>
      <c r="C759">
        <f>Inputs!$B$3&gt;=63</f>
        <v/>
      </c>
      <c r="D759">
        <f>IF(Skills!C6=1,60+(Inputs!$B$25+1)+Inputs!$B$29,IF(Skills!C6=2,90+Inputs!$B$26+Inputs!$B$29,IF(Skills!C6=3,120+Inputs!$B$27+Inputs!$B$29,MAX(0,(Inputs!$B$3-100)*3)+Inputs!$B$28+Inputs!$B$29)))</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((Inputs!$B$6*(1+Inputs!$B$7/100))+(((Inputs!$B$12*(1+Inputs!$B$13/100))-(Inputs!$B$12*(1+Inputs!$B$13/100)))+0.25*(Inputs!$B$14-Inputs!$B$14))*(1+Inputs!$B$7/100))*(F759/100)</f>
        <v/>
      </c>
      <c r="K759">
        <f>J759*(1+((Inputs!$B$12*(1+Inputs!$B$13/100))*0.01+Inputs!$B$14*0.0025)/100)*(1+Inputs!$B$15/100)*(1+Inputs!$B$16/100)*(5000/(6000+Inputs!$B$42*(1-(Inputs!$B$19+0)/100)))*(1+(Inputs!$B$24+((C777=TRUE)*(F777-Calc!F24))+((C778=TRUE)*(F778-Calc!F25))+B791)/100)*(1+1.0*IF(C761=TRUE,F761,0)/100)*(1+(IF(Skills!A6="EMPOWERED_PIERCING_ARROW",Inputs!$B$17+((C775=TRUE)*(F775-Calc!F22)),Inputs!$B$18+((C780=TRUE)*(F780-Calc!F27))))/100)*((1+(((C766=TRUE)*F766)+((C767=TRUE)*IF(Inputs!$B$38="pvp",F767,(1-Summary!$B$55)*(F767)+Summary!$B$55*(0)))+((C768=TRUE)*F768*IF(AND(Inputs!$B$38&lt;&gt;"pvp",Inputs!$B$43&gt;0),(((R768-1)*(Skills!T15*(1+Inputs!$B$34/100))+MIN((Skills!T15*(1+Inputs!$B$34/100)),MAX(0,Inputs!$B$43-((R768-1)*Skills!D15))))/Inputs!$B$43),IF(Inputs!$B$38="pvp",MIN((Skills!T15*(1+Inputs!$B$34/100)),15)/15,(Skills!T15*(1+Inputs!$B$34/100))/Skills!D15)))+((C765=TRUE)*F765)+((C782=TRUE)*(F782-Calc!F29)))/100)*I759)</f>
        <v/>
      </c>
      <c r="L759">
        <f>K759*(MIN(Inputs!$B$22+((C776=TRUE)*(F776-Calc!F23)),Inputs!$B$23+((C781=TRUE)*(F781-Calc!F28)))/100+(Inputs!$B$23+((C781=TRUE)*(F781-Calc!F28)))/100)/2</f>
        <v/>
      </c>
      <c r="M759">
        <f>L759*(1+(Inputs!$B$10+0+B790)/100)</f>
        <v/>
      </c>
      <c r="N759">
        <f>L759*(1-MIN((Inputs!$B$9+((C772=TRUE)*(F772-Calc!F19))+B785),100)/100)+M759*(MIN((Inputs!$B$9+((C772=TRUE)*(F772-Calc!F19))+B785),100)/100)</f>
        <v/>
      </c>
      <c r="O759">
        <f>(1-Summary!$B$55)*T759+Summary!$B$55*V759</f>
        <v/>
      </c>
      <c r="P759">
        <f>IF(B795=0,0,O759/B795)</f>
        <v/>
      </c>
      <c r="Q759">
        <f>IFERROR(1/IF(Inputs!$B$38="pvp",15,MAX(0.1,Skills!D6-IF(Skills!E6=TRUE,Inputs!$B$32,0))),0)</f>
        <v/>
      </c>
      <c r="R759">
        <f>IF(AND(Inputs!$B$38&lt;&gt;"pvp",Inputs!$B$43&gt;0),IF(MAX(0,Inputs!$B$43-B792)&lt;=0,0,(INT(MAX(0,Inputs!$B$43-B792)/IF(Inputs!$B$38="pvp",15,MAX(0.1,Skills!D6-IF(Skills!E6=TRUE,Inputs!$B$32,0))))+1)),0)</f>
        <v/>
      </c>
      <c r="S759">
        <f>IFERROR((H759*N759*IF(AND(Inputs!$B$38&lt;&gt;"pvp",Inputs!$B$43&gt;0),((Skills!G6*((R759-1)*IF(Skills!H6&gt;0,Skills!I6/Skills!H6,1)+IF(Skills!H6&gt;0,MIN(Skills!I6,MAX(0,MAX(0,Inputs!$B$43-B792)-((R759-1)*IF(Inputs!$B$38="pvp",15,MAX(0.1,Skills!D6-IF(Skills!E6=TRUE,Inputs!$B$32,0))))))/Skills!H6,1)))/Inputs!$B$43),G759*Q759))/N759*IF(Inputs!$B$38="pvp",1,(1-Summary!$B$55)*1+Summary!$B$55*(MIN(Skills!R6,Inputs!$B$37))),0)</f>
        <v/>
      </c>
      <c r="T759">
        <f>IF(C759,(H759*N759*IF(AND(Inputs!$B$38&lt;&gt;"pvp",Inputs!$B$43&gt;0),((Skills!G6*((R759-1)*IF(Skills!H6&gt;0,Skills!I6/Skills!H6,1)+IF(Skills!H6&gt;0,MIN(Skills!I6,MAX(0,MAX(0,Inputs!$B$43-B792)-((R759-1)*IF(Inputs!$B$38="pvp",15,MAX(0.1,Skills!D6-IF(Skills!E6=TRUE,Inputs!$B$32,0))))))/Skills!H6,1)))/Inputs!$B$43),G759*Q759))*IF(Inputs!$B$38="pvp",1,1+(Inputs!$B$20+0+Skills!P6)/100),0)</f>
        <v/>
      </c>
      <c r="V759">
        <f>IF(C759,(H759*N759*IF(AND(Inputs!$B$38&lt;&gt;"pvp",Inputs!$B$43&gt;0),((Skills!G6*((R759-1)*IF(Skills!H6&gt;0,Skills!I6/Skills!H6,1)+IF(Skills!H6&gt;0,MIN(Skills!I6,MAX(0,MAX(0,Inputs!$B$43-B792)-((R759-1)*IF(Inputs!$B$38="pvp",15,MAX(0.1,Skills!D6-IF(Skills!E6=TRUE,Inputs!$B$32,0))))))/Skills!H6,1)))/Inputs!$B$43),G759*Q759))*IF(Inputs!$B$38="pvp",1,(1+(Inputs!$B$21+Skills!Q6)/100)*(MIN(Skills!R6,Inputs!$B$37))),0)</f>
        <v/>
      </c>
    </row>
    <row r="760">
      <c r="A760">
        <f>Skills!A7</f>
        <v/>
      </c>
      <c r="B760">
        <f>Skills!B7</f>
        <v/>
      </c>
      <c r="C760">
        <f>Inputs!$B$3&gt;=69</f>
        <v/>
      </c>
      <c r="D760">
        <f>IF(Skills!C7=1,60+(Inputs!$B$25+1)+Inputs!$B$29,IF(Skills!C7=2,90+Inputs!$B$26+Inputs!$B$29,IF(Skills!C7=3,120+Inputs!$B$27+Inputs!$B$29,MAX(0,(Inputs!$B$3-100)*3)+Inputs!$B$28+Inputs!$B$29)))</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((Inputs!$B$6*(1+Inputs!$B$7/100))+(((Inputs!$B$12*(1+Inputs!$B$13/100))-(Inputs!$B$12*(1+Inputs!$B$13/100)))+0.25*(Inputs!$B$14-Inputs!$B$14))*(1+Inputs!$B$7/100))*(F760/100)</f>
        <v/>
      </c>
      <c r="K760">
        <f>J760*(1+((Inputs!$B$12*(1+Inputs!$B$13/100))*0.01+Inputs!$B$14*0.0025)/100)*(1+Inputs!$B$15/100)*(1+Inputs!$B$16/100)*(5000/(6000+Inputs!$B$42*(1-(Inputs!$B$19+0)/100)))*(1+(Inputs!$B$24+((C777=TRUE)*(F777-Calc!F24))+((C778=TRUE)*(F778-Calc!F25))+B791)/100)*(1+1.2*IF(C761=TRUE,F761,0)/100)*(1+(IF(Skills!A7="EMPOWERED_PIERCING_ARROW",Inputs!$B$17+((C775=TRUE)*(F775-Calc!F22)),Inputs!$B$18+((C780=TRUE)*(F780-Calc!F27))))/100)*((1+(((C766=TRUE)*F766)+((C767=TRUE)*IF(Inputs!$B$38="pvp",F767,(1-Summary!$B$55)*(F767)+Summary!$B$55*(0)))+((C768=TRUE)*F768*IF(AND(Inputs!$B$38&lt;&gt;"pvp",Inputs!$B$43&gt;0),(((R768-1)*(Skills!T15*(1+Inputs!$B$34/100))+MIN((Skills!T15*(1+Inputs!$B$34/100)),MAX(0,Inputs!$B$43-((R768-1)*Skills!D15))))/Inputs!$B$43),IF(Inputs!$B$38="pvp",MIN((Skills!T15*(1+Inputs!$B$34/100)),15)/15,(Skills!T15*(1+Inputs!$B$34/100))/Skills!D15)))+((C765=TRUE)*F765)+((C782=TRUE)*(F782-Calc!F29)))/100)*I760)</f>
        <v/>
      </c>
      <c r="L760">
        <f>K760*(MIN(Inputs!$B$22+((C776=TRUE)*(F776-Calc!F23)),Inputs!$B$23+((C781=TRUE)*(F781-Calc!F28)))/100+(Inputs!$B$23+((C781=TRUE)*(F781-Calc!F28)))/100)/2</f>
        <v/>
      </c>
      <c r="M760">
        <f>L760*(1+(Inputs!$B$10+0+B790)/100)</f>
        <v/>
      </c>
      <c r="N760">
        <f>L760*(1-MIN((Inputs!$B$9+((C772=TRUE)*(F772-Calc!F19))+B785),100)/100)+M760*(MIN((Inputs!$B$9+((C772=TRUE)*(F772-Calc!F19))+B785),100)/100)</f>
        <v/>
      </c>
      <c r="O760">
        <f>(1-Summary!$B$55)*T760+Summary!$B$55*V760</f>
        <v/>
      </c>
      <c r="P760">
        <f>IF(B795=0,0,O760/B795)</f>
        <v/>
      </c>
      <c r="Q760">
        <f>IFERROR(1/IF(Inputs!$B$38="pvp",15,MAX(0.1,Skills!D7-IF(Skills!E7=TRUE,Inputs!$B$32,0))),0)</f>
        <v/>
      </c>
      <c r="R760">
        <f>IF(AND(Inputs!$B$38&lt;&gt;"pvp",Inputs!$B$43&gt;0),IF(MAX(0,Inputs!$B$43-B792)&lt;=0,0,(INT(MAX(0,Inputs!$B$43-B792)/IF(Inputs!$B$38="pvp",15,MAX(0.1,Skills!D7-IF(Skills!E7=TRUE,Inputs!$B$32,0))))+1)),0)</f>
        <v/>
      </c>
      <c r="S760">
        <f>IFERROR((H760*N760*IF(AND(Inputs!$B$38&lt;&gt;"pvp",Inputs!$B$43&gt;0),((Skills!G7*((R760-1)*IF(Skills!H7&gt;0,Skills!I7/Skills!H7,1)+IF(Skills!H7&gt;0,MIN(Skills!I7,MAX(0,MAX(0,Inputs!$B$43-B792)-((R760-1)*IF(Inputs!$B$38="pvp",15,MAX(0.1,Skills!D7-IF(Skills!E7=TRUE,Inputs!$B$32,0))))))/Skills!H7,1)))/Inputs!$B$43),G760*Q760))/N760*IF(Inputs!$B$38="pvp",1,(1-Summary!$B$55)*1+Summary!$B$55*(MIN(Skills!R7,Inputs!$B$37))),0)</f>
        <v/>
      </c>
      <c r="T760">
        <f>IF(C760,(H760*N760*IF(AND(Inputs!$B$38&lt;&gt;"pvp",Inputs!$B$43&gt;0),((Skills!G7*((R760-1)*IF(Skills!H7&gt;0,Skills!I7/Skills!H7,1)+IF(Skills!H7&gt;0,MIN(Skills!I7,MAX(0,MAX(0,Inputs!$B$43-B792)-((R760-1)*IF(Inputs!$B$38="pvp",15,MAX(0.1,Skills!D7-IF(Skills!E7=TRUE,Inputs!$B$32,0))))))/Skills!H7,1)))/Inputs!$B$43),G760*Q760))*IF(Inputs!$B$38="pvp",1,1+(Inputs!$B$20+0+Skills!P7)/100),0)</f>
        <v/>
      </c>
      <c r="V760">
        <f>IF(C760,(H760*N760*IF(AND(Inputs!$B$38&lt;&gt;"pvp",Inputs!$B$43&gt;0),((Skills!G7*((R760-1)*IF(Skills!H7&gt;0,Skills!I7/Skills!H7,1)+IF(Skills!H7&gt;0,MIN(Skills!I7,MAX(0,MAX(0,Inputs!$B$43-B792)-((R760-1)*IF(Inputs!$B$38="pvp",15,MAX(0.1,Skills!D7-IF(Skills!E7=TRUE,Inputs!$B$32,0))))))/Skills!H7,1)))/Inputs!$B$43),G760*Q760))*IF(Inputs!$B$38="pvp",1,(1+(Inputs!$B$21+Skills!Q7)/100)*(MIN(Skills!R7,Inputs!$B$37))),0)</f>
        <v/>
      </c>
    </row>
    <row r="761">
      <c r="A761">
        <f>Skills!A8</f>
        <v/>
      </c>
      <c r="B761">
        <f>Skills!B8</f>
        <v/>
      </c>
      <c r="C761">
        <f>Inputs!$B$3&gt;=100</f>
        <v/>
      </c>
      <c r="D761">
        <f>IF(Skills!C8=1,60+(Inputs!$B$25+1)+Inputs!$B$29,IF(Skills!C8=2,90+Inputs!$B$26+Inputs!$B$29,IF(Skills!C8=3,120+Inputs!$B$27+Inputs!$B$29,MAX(0,(Inputs!$B$3-100)*3)+Inputs!$B$28+Inputs!$B$29)))</f>
        <v/>
      </c>
      <c r="E761">
        <f>INDEX(FactorTable!$B$2:$Y$301, MATCH(ROUND(MIN(300,MAX(1,D761)),0), FactorTable!$A$2:$A$301,0), Skills!M8+1)</f>
        <v/>
      </c>
      <c r="F761">
        <f>IF(Skills!N8=TRUE,(Skills!L8/10)*(E761/1000),Skills!L8/10)+Skills!O8</f>
        <v/>
      </c>
      <c r="G761" t="inlineStr"/>
      <c r="H761" t="inlineStr"/>
      <c r="I761" t="inlineStr">
        <is>
          <t>1</t>
        </is>
      </c>
      <c r="J761" t="inlineStr"/>
      <c r="K761" t="inlineStr"/>
      <c r="L761" t="inlineStr"/>
      <c r="M761" t="inlineStr"/>
      <c r="N761" t="inlineStr"/>
      <c r="O761" t="inlineStr"/>
      <c r="P761" t="inlineStr"/>
      <c r="Q761" t="inlineStr"/>
      <c r="R761" t="inlineStr"/>
      <c r="S761" t="inlineStr"/>
      <c r="T761" t="inlineStr"/>
      <c r="V761" t="inlineStr"/>
    </row>
    <row r="762">
      <c r="A762">
        <f>Skills!A9</f>
        <v/>
      </c>
      <c r="B762">
        <f>Skills!B9</f>
        <v/>
      </c>
      <c r="C762">
        <f>Inputs!$B$3&gt;=103</f>
        <v/>
      </c>
      <c r="D762">
        <f>IF(Skills!C9=1,60+(Inputs!$B$25+1)+Inputs!$B$29,IF(Skills!C9=2,90+Inputs!$B$26+Inputs!$B$29,IF(Skills!C9=3,120+Inputs!$B$27+Inputs!$B$29,MAX(0,(Inputs!$B$3-100)*3)+Inputs!$B$28+Inputs!$B$29)))</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((Inputs!$B$6*(1+Inputs!$B$7/100))+(((Inputs!$B$12*(1+Inputs!$B$13/100))-(Inputs!$B$12*(1+Inputs!$B$13/100)))+0.25*(Inputs!$B$14-Inputs!$B$14))*(1+Inputs!$B$7/100))*(F762/100)</f>
        <v/>
      </c>
      <c r="K762">
        <f>J762*(1+((Inputs!$B$12*(1+Inputs!$B$13/100))*0.01+Inputs!$B$14*0.0025)/100)*(1+Inputs!$B$15/100)*(1+Inputs!$B$16/100)*(5000/(6000+Inputs!$B$42*(1-(Inputs!$B$19+0)/100)))*(1+(Inputs!$B$24+((C777=TRUE)*(F777-Calc!F24))+((C778=TRUE)*(F778-Calc!F25))+B791)/100)*(1+(IF(Skills!A9="EMPOWERED_PIERCING_ARROW",Inputs!$B$17+((C775=TRUE)*(F775-Calc!F22)),Inputs!$B$18+((C780=TRUE)*(F780-Calc!F27))))/100)*((1+(((C766=TRUE)*F766)+((C767=TRUE)*IF(Inputs!$B$38="pvp",F767,(1-Summary!$B$55)*(F767)+Summary!$B$55*(0)))+((C768=TRUE)*F768*IF(AND(Inputs!$B$38&lt;&gt;"pvp",Inputs!$B$43&gt;0),(((R768-1)*(Skills!T15*(1+Inputs!$B$34/100))+MIN((Skills!T15*(1+Inputs!$B$34/100)),MAX(0,Inputs!$B$43-((R768-1)*Skills!D15))))/Inputs!$B$43),IF(Inputs!$B$38="pvp",MIN((Skills!T15*(1+Inputs!$B$34/100)),15)/15,(Skills!T15*(1+Inputs!$B$34/100))/Skills!D15)))+((C765=TRUE)*F765)+((C782=TRUE)*(F782-Calc!F29)))/100)*I762)</f>
        <v/>
      </c>
      <c r="L762">
        <f>K762*(MIN(Inputs!$B$22+((C776=TRUE)*(F776-Calc!F23)),Inputs!$B$23+((C781=TRUE)*(F781-Calc!F28)))/100+(Inputs!$B$23+((C781=TRUE)*(F781-Calc!F28)))/100)/2</f>
        <v/>
      </c>
      <c r="M762">
        <f>L762*(1+(Inputs!$B$10+0+B790)/100)</f>
        <v/>
      </c>
      <c r="N762">
        <f>L762*(1-MIN((Inputs!$B$9+((C772=TRUE)*(F772-Calc!F19))+B785),100)/100)+M762*(MIN((Inputs!$B$9+((C772=TRUE)*(F772-Calc!F19))+B785),100)/100)</f>
        <v/>
      </c>
      <c r="O762">
        <f>(1-Summary!$B$55)*T762+Summary!$B$55*V762</f>
        <v/>
      </c>
      <c r="P762">
        <f>IF(B795=0,0,O762/B795)</f>
        <v/>
      </c>
      <c r="Q762">
        <f>IFERROR(1/IF(Inputs!$B$38="pvp",15,MAX(0.1,Skills!D9-IF(Skills!E9=TRUE,Inputs!$B$32,0))),0)</f>
        <v/>
      </c>
      <c r="R762">
        <f>IF(AND(Inputs!$B$38&lt;&gt;"pvp",Inputs!$B$43&gt;0),IF(MAX(0,Inputs!$B$43-B792)&lt;=0,0,(INT(MAX(0,Inputs!$B$43-B792)/IF(Inputs!$B$38="pvp",15,MAX(0.1,Skills!D9-IF(Skills!E9=TRUE,Inputs!$B$32,0))))+1)),0)</f>
        <v/>
      </c>
      <c r="S762">
        <f>IFERROR((H762*N762*IF(AND(Inputs!$B$38&lt;&gt;"pvp",Inputs!$B$43&gt;0),((Skills!G9*((R762-1)*IF(Skills!H9&gt;0,Skills!I9/Skills!H9,1)+IF(Skills!H9&gt;0,MIN(Skills!I9,MAX(0,MAX(0,Inputs!$B$43-B792)-((R762-1)*IF(Inputs!$B$38="pvp",15,MAX(0.1,Skills!D9-IF(Skills!E9=TRUE,Inputs!$B$32,0))))))/Skills!H9,1)))/Inputs!$B$43),G762*Q762))/N762*IF(Inputs!$B$38="pvp",1,(1-Summary!$B$55)*1+Summary!$B$55*(MIN(Skills!R9,Inputs!$B$37))),0)</f>
        <v/>
      </c>
      <c r="T762">
        <f>IF(C762,(H762*N762*IF(AND(Inputs!$B$38&lt;&gt;"pvp",Inputs!$B$43&gt;0),((Skills!G9*((R762-1)*IF(Skills!H9&gt;0,Skills!I9/Skills!H9,1)+IF(Skills!H9&gt;0,MIN(Skills!I9,MAX(0,MAX(0,Inputs!$B$43-B792)-((R762-1)*IF(Inputs!$B$38="pvp",15,MAX(0.1,Skills!D9-IF(Skills!E9=TRUE,Inputs!$B$32,0))))))/Skills!H9,1)))/Inputs!$B$43),G762*Q762))*IF(Inputs!$B$38="pvp",1,1+(Inputs!$B$20+0+Skills!P9)/100),0)</f>
        <v/>
      </c>
      <c r="V762">
        <f>IF(C762,(H762*N762*IF(AND(Inputs!$B$38&lt;&gt;"pvp",Inputs!$B$43&gt;0),((Skills!G9*((R762-1)*IF(Skills!H9&gt;0,Skills!I9/Skills!H9,1)+IF(Skills!H9&gt;0,MIN(Skills!I9,MAX(0,MAX(0,Inputs!$B$43-B792)-((R762-1)*IF(Inputs!$B$38="pvp",15,MAX(0.1,Skills!D9-IF(Skills!E9=TRUE,Inputs!$B$32,0))))))/Skills!H9,1)))/Inputs!$B$43),G762*Q762))*IF(Inputs!$B$38="pvp",1,(1+(Inputs!$B$21+Skills!Q9)/100)*(MIN(Skills!R9,Inputs!$B$37))),0)</f>
        <v/>
      </c>
    </row>
    <row r="763">
      <c r="A763">
        <f>Skills!A10</f>
        <v/>
      </c>
      <c r="B763">
        <f>Skills!B10</f>
        <v/>
      </c>
      <c r="C763">
        <f>Inputs!$B$3&gt;=107</f>
        <v/>
      </c>
      <c r="D763">
        <f>IF(Skills!C10=1,60+(Inputs!$B$25+1)+Inputs!$B$29,IF(Skills!C10=2,90+Inputs!$B$26+Inputs!$B$29,IF(Skills!C10=3,120+Inputs!$B$27+Inputs!$B$29,MAX(0,(Inputs!$B$3-100)*3)+Inputs!$B$28+Inputs!$B$29)))</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((Inputs!$B$6*(1+Inputs!$B$7/100))+(((Inputs!$B$12*(1+Inputs!$B$13/100))-(Inputs!$B$12*(1+Inputs!$B$13/100)))+0.25*(Inputs!$B$14-Inputs!$B$14))*(1+Inputs!$B$7/100))*(F763/100)</f>
        <v/>
      </c>
      <c r="K763">
        <f>J763*(1+((Inputs!$B$12*(1+Inputs!$B$13/100))*0.01+Inputs!$B$14*0.0025)/100)*(1+Inputs!$B$15/100)*(1+Inputs!$B$16/100)*(5000/(6000+Inputs!$B$42*(1-(Inputs!$B$19+0)/100)))*(1+(Inputs!$B$24+((C777=TRUE)*(F777-Calc!F24))+((C778=TRUE)*(F778-Calc!F25))+B791)/100)*(1+(IF(Skills!A10="EMPOWERED_PIERCING_ARROW",Inputs!$B$17+((C775=TRUE)*(F775-Calc!F22)),Inputs!$B$18+((C780=TRUE)*(F780-Calc!F27))))/100)*((1+(((C766=TRUE)*F766)+((C767=TRUE)*IF(Inputs!$B$38="pvp",F767,(1-Summary!$B$55)*(F767)+Summary!$B$55*(0)))+((C768=TRUE)*F768*IF(AND(Inputs!$B$38&lt;&gt;"pvp",Inputs!$B$43&gt;0),(((R768-1)*(Skills!T15*(1+Inputs!$B$34/100))+MIN((Skills!T15*(1+Inputs!$B$34/100)),MAX(0,Inputs!$B$43-((R768-1)*Skills!D15))))/Inputs!$B$43),IF(Inputs!$B$38="pvp",MIN((Skills!T15*(1+Inputs!$B$34/100)),15)/15,(Skills!T15*(1+Inputs!$B$34/100))/Skills!D15)))+((C765=TRUE)*F765)+((C782=TRUE)*(F782-Calc!F29)))/100)*I763)</f>
        <v/>
      </c>
      <c r="L763">
        <f>K763*(MIN(Inputs!$B$22+((C776=TRUE)*(F776-Calc!F23)),Inputs!$B$23+((C781=TRUE)*(F781-Calc!F28)))/100+(Inputs!$B$23+((C781=TRUE)*(F781-Calc!F28)))/100)/2</f>
        <v/>
      </c>
      <c r="M763">
        <f>L763*(1+(Inputs!$B$10+0+B790)/100)</f>
        <v/>
      </c>
      <c r="N763">
        <f>L763*(1-MIN((Inputs!$B$9+((C772=TRUE)*(F772-Calc!F19))+B785),100)/100)+M763*(MIN((Inputs!$B$9+((C772=TRUE)*(F772-Calc!F19))+B785),100)/100)</f>
        <v/>
      </c>
      <c r="O763">
        <f>(1-Summary!$B$55)*T763+Summary!$B$55*V763</f>
        <v/>
      </c>
      <c r="P763">
        <f>IF(B795=0,0,O763/B795)</f>
        <v/>
      </c>
      <c r="Q763" t="n">
        <v>0</v>
      </c>
      <c r="R763" t="n">
        <v>0</v>
      </c>
      <c r="S763" t="n">
        <v>0</v>
      </c>
      <c r="T763">
        <f>IF(C763,(0.15*SUMPRODUCT((Skills!U2:U29=TRUE)*(C755:C782=TRUE)*S755:S782)*Skills!G10*N763)*IF(Inputs!$B$38="pvp",1,1+(Inputs!$B$20+0+Skills!P10)/100),0)</f>
        <v/>
      </c>
      <c r="V763">
        <f>IF(C763,(0.15*SUMPRODUCT((Skills!U2:U29=TRUE)*(C755:C782=TRUE)*S755:S782)*Skills!G10*N763)*IF(Inputs!$B$38="pvp",1,(1+(Inputs!$B$21+Skills!Q10)/100)*(MIN(Skills!R10,Inputs!$B$37))),0)</f>
        <v/>
      </c>
    </row>
    <row r="764">
      <c r="A764">
        <f>Skills!A11</f>
        <v/>
      </c>
      <c r="B764">
        <f>Skills!B11</f>
        <v/>
      </c>
      <c r="C764">
        <f>Inputs!$B$3&gt;=110</f>
        <v/>
      </c>
      <c r="D764">
        <f>IF(Skills!C11=1,60+(Inputs!$B$25+1)+Inputs!$B$29,IF(Skills!C11=2,90+Inputs!$B$26+Inputs!$B$29,IF(Skills!C11=3,120+Inputs!$B$27+Inputs!$B$29,MAX(0,(Inputs!$B$3-100)*3)+Inputs!$B$28+Inputs!$B$29)))</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((Inputs!$B$6*(1+Inputs!$B$7/100))+(((Inputs!$B$12*(1+Inputs!$B$13/100))-(Inputs!$B$12*(1+Inputs!$B$13/100)))+0.25*(Inputs!$B$14-Inputs!$B$14))*(1+Inputs!$B$7/100))*(F764/100)</f>
        <v/>
      </c>
      <c r="K764">
        <f>J764*(1+((Inputs!$B$12*(1+Inputs!$B$13/100))*0.01+Inputs!$B$14*0.0025)/100)*(1+Inputs!$B$15/100)*(1+Inputs!$B$16/100)*(5000/(6000+Inputs!$B$42*(1-(Inputs!$B$19+0)/100)))*(1+(Inputs!$B$24+((C777=TRUE)*(F777-Calc!F24))+((C778=TRUE)*(F778-Calc!F25))+B791)/100)*(1+(IF(Skills!A11="EMPOWERED_PIERCING_ARROW",Inputs!$B$17+((C775=TRUE)*(F775-Calc!F22)),Inputs!$B$18+((C780=TRUE)*(F780-Calc!F27))))/100)*((1+(((C766=TRUE)*F766)+((C767=TRUE)*IF(Inputs!$B$38="pvp",F767,(1-Summary!$B$55)*(F767)+Summary!$B$55*(0)))+((C768=TRUE)*F768*IF(AND(Inputs!$B$38&lt;&gt;"pvp",Inputs!$B$43&gt;0),(((R768-1)*(Skills!T15*(1+Inputs!$B$34/100))+MIN((Skills!T15*(1+Inputs!$B$34/100)),MAX(0,Inputs!$B$43-((R768-1)*Skills!D15))))/Inputs!$B$43),IF(Inputs!$B$38="pvp",MIN((Skills!T15*(1+Inputs!$B$34/100)),15)/15,(Skills!T15*(1+Inputs!$B$34/100))/Skills!D15)))+((C765=TRUE)*F765)+((C782=TRUE)*(F782-Calc!F29)))/100)*I764)</f>
        <v/>
      </c>
      <c r="L764">
        <f>K764*(MIN(Inputs!$B$22+((C776=TRUE)*(F776-Calc!F23)),Inputs!$B$23+((C781=TRUE)*(F781-Calc!F28)))/100+(Inputs!$B$23+((C781=TRUE)*(F781-Calc!F28)))/100)/2</f>
        <v/>
      </c>
      <c r="M764">
        <f>L764*(1+(Inputs!$B$10+0+B790)/100)</f>
        <v/>
      </c>
      <c r="N764">
        <f>L764*(1-MIN((Inputs!$B$9+((C772=TRUE)*(F772-Calc!F19))+B785),100)/100)+M764*(MIN((Inputs!$B$9+((C772=TRUE)*(F772-Calc!F19))+B785),100)/100)</f>
        <v/>
      </c>
      <c r="O764">
        <f>(1-Summary!$B$55)*T764+Summary!$B$55*V764</f>
        <v/>
      </c>
      <c r="P764">
        <f>IF(B795=0,0,O764/B795)</f>
        <v/>
      </c>
      <c r="Q764">
        <f>IFERROR(1/IF(Inputs!$B$38="pvp",15,MAX(0.1,Skills!D11-IF(Skills!E11=TRUE,Inputs!$B$32,0))),0)</f>
        <v/>
      </c>
      <c r="R764">
        <f>IF(AND(Inputs!$B$38&lt;&gt;"pvp",Inputs!$B$43&gt;0),IF(MAX(0,Inputs!$B$43-B792)&lt;=0,0,(INT(MAX(0,Inputs!$B$43-B792)/IF(Inputs!$B$38="pvp",15,MAX(0.1,Skills!D11-IF(Skills!E11=TRUE,Inputs!$B$32,0))))+1)),0)</f>
        <v/>
      </c>
      <c r="S764">
        <f>IFERROR((H764*N764*IF(AND(Inputs!$B$38&lt;&gt;"pvp",Inputs!$B$43&gt;0),((Skills!G11*((R764-1)*IF(Skills!H11&gt;0,Skills!I11/Skills!H11,1)+IF(Skills!H11&gt;0,MIN(Skills!I11,MAX(0,MAX(0,Inputs!$B$43-B792)-((R764-1)*IF(Inputs!$B$38="pvp",15,MAX(0.1,Skills!D11-IF(Skills!E11=TRUE,Inputs!$B$32,0))))))/Skills!H11,1)))/Inputs!$B$43),G764*Q764))/N764*IF(Inputs!$B$38="pvp",1,(1-Summary!$B$55)*1+Summary!$B$55*(MIN(Skills!R11,Inputs!$B$37))),0)</f>
        <v/>
      </c>
      <c r="T764">
        <f>IF(C764,(H764*N764*IF(AND(Inputs!$B$38&lt;&gt;"pvp",Inputs!$B$43&gt;0),((Skills!G11*((R764-1)*IF(Skills!H11&gt;0,Skills!I11/Skills!H11,1)+IF(Skills!H11&gt;0,MIN(Skills!I11,MAX(0,MAX(0,Inputs!$B$43-B792)-((R764-1)*IF(Inputs!$B$38="pvp",15,MAX(0.1,Skills!D11-IF(Skills!E11=TRUE,Inputs!$B$32,0))))))/Skills!H11,1)))/Inputs!$B$43),G764*Q764))*IF(Inputs!$B$38="pvp",1,1+(Inputs!$B$20+0+Skills!P11)/100),0)</f>
        <v/>
      </c>
      <c r="V764">
        <f>IF(C764,(H764*N764*IF(AND(Inputs!$B$38&lt;&gt;"pvp",Inputs!$B$43&gt;0),((Skills!G11*((R764-1)*IF(Skills!H11&gt;0,Skills!I11/Skills!H11,1)+IF(Skills!H11&gt;0,MIN(Skills!I11,MAX(0,MAX(0,Inputs!$B$43-B792)-((R764-1)*IF(Inputs!$B$38="pvp",15,MAX(0.1,Skills!D11-IF(Skills!E11=TRUE,Inputs!$B$32,0))))))/Skills!H11,1)))/Inputs!$B$43),G764*Q764))*IF(Inputs!$B$38="pvp",1,(1+(Inputs!$B$21+Skills!Q11)/100)*(MIN(Skills!R11,Inputs!$B$37))),0)</f>
        <v/>
      </c>
    </row>
    <row r="765">
      <c r="A765">
        <f>Skills!A12</f>
        <v/>
      </c>
      <c r="B765">
        <f>Skills!B12</f>
        <v/>
      </c>
      <c r="C765">
        <f>Inputs!$B$3&gt;=60</f>
        <v/>
      </c>
      <c r="D765">
        <f>IF(Skills!C12=1,60+(Inputs!$B$25+1)+Inputs!$B$29,IF(Skills!C12=2,90+Inputs!$B$26+Inputs!$B$29,IF(Skills!C12=3,120+Inputs!$B$27+Inputs!$B$29,MAX(0,(Inputs!$B$3-100)*3)+Inputs!$B$28+Inputs!$B$29)))</f>
        <v/>
      </c>
      <c r="E765">
        <f>INDEX(FactorTable!$B$2:$Y$301, MATCH(ROUND(MIN(300,MAX(1,D765)),0), FactorTable!$A$2:$A$301,0), Skills!M12+1)</f>
        <v/>
      </c>
      <c r="F765">
        <f>IF(Skills!N12=TRUE,(Skills!L12/10)*(E765/1000),Skills!L12/10)+Skills!O12</f>
        <v/>
      </c>
      <c r="G765">
        <f>Skills!G12*IF(Skills!H12&gt;0,Skills!I12/Skills!H12,1)</f>
        <v/>
      </c>
      <c r="H765">
        <f>1-(1-Skills!J12/100)^Skills!K12</f>
        <v/>
      </c>
      <c r="I765" t="inlineStr">
        <is>
          <t>1</t>
        </is>
      </c>
      <c r="J765" t="inlineStr"/>
      <c r="K765" t="inlineStr"/>
      <c r="L765" t="inlineStr"/>
      <c r="M765" t="inlineStr"/>
      <c r="N765" t="inlineStr"/>
      <c r="O765">
        <f>(1-Summary!$B$55)*T765+Summary!$B$55*V765</f>
        <v/>
      </c>
      <c r="P765">
        <f>IF(B795=0,0,O765/B795)</f>
        <v/>
      </c>
      <c r="Q765" t="n">
        <v>0</v>
      </c>
      <c r="R765" t="n">
        <v>0</v>
      </c>
      <c r="S765" t="n">
        <v>0</v>
      </c>
      <c r="T765" t="n">
        <v>0</v>
      </c>
      <c r="V765" t="n">
        <v>0</v>
      </c>
    </row>
    <row r="766">
      <c r="A766">
        <f>Skills!A13</f>
        <v/>
      </c>
      <c r="B766">
        <f>Skills!B13</f>
        <v/>
      </c>
      <c r="C766">
        <f>Inputs!$B$3&gt;=74</f>
        <v/>
      </c>
      <c r="D766">
        <f>IF(Skills!C13=1,60+(Inputs!$B$25+1)+Inputs!$B$29,IF(Skills!C13=2,90+Inputs!$B$26+Inputs!$B$29,IF(Skills!C13=3,120+Inputs!$B$27+Inputs!$B$29,MAX(0,(Inputs!$B$3-100)*3)+Inputs!$B$28+Inputs!$B$29)))</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f>(1-Summary!$B$55)*T766+Summary!$B$55*V766</f>
        <v/>
      </c>
      <c r="P766">
        <f>IF(B795=0,0,O766/B795)</f>
        <v/>
      </c>
      <c r="Q766" t="n">
        <v>0</v>
      </c>
      <c r="R766" t="n">
        <v>0</v>
      </c>
      <c r="S766" t="n">
        <v>0</v>
      </c>
      <c r="T766" t="n">
        <v>0</v>
      </c>
      <c r="V766" t="n">
        <v>0</v>
      </c>
    </row>
    <row r="767">
      <c r="A767">
        <f>Skills!A14</f>
        <v/>
      </c>
      <c r="B767">
        <f>Skills!B14</f>
        <v/>
      </c>
      <c r="C767">
        <f>Inputs!$B$3&gt;=74</f>
        <v/>
      </c>
      <c r="D767">
        <f>IF(Skills!C14=1,60+(Inputs!$B$25+1)+Inputs!$B$29,IF(Skills!C14=2,90+Inputs!$B$26+Inputs!$B$29,IF(Skills!C14=3,120+Inputs!$B$27+Inputs!$B$29,MAX(0,(Inputs!$B$3-100)*3)+Inputs!$B$28+Inputs!$B$29)))</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f>(1-Summary!$B$55)*T767+Summary!$B$55*V767</f>
        <v/>
      </c>
      <c r="P767">
        <f>IF(B795=0,0,O767/B795)</f>
        <v/>
      </c>
      <c r="Q767" t="n">
        <v>0</v>
      </c>
      <c r="R767" t="n">
        <v>0</v>
      </c>
      <c r="S767" t="n">
        <v>0</v>
      </c>
      <c r="T767" t="n">
        <v>0</v>
      </c>
      <c r="V767" t="n">
        <v>0</v>
      </c>
    </row>
    <row r="768">
      <c r="A768">
        <f>Skills!A15</f>
        <v/>
      </c>
      <c r="B768">
        <f>Skills!B15</f>
        <v/>
      </c>
      <c r="C768">
        <f>Inputs!$B$3&gt;=117</f>
        <v/>
      </c>
      <c r="D768">
        <f>IF(Skills!C15=1,60+(Inputs!$B$25+1)+Inputs!$B$29,IF(Skills!C15=2,90+Inputs!$B$26+Inputs!$B$29,IF(Skills!C15=3,120+Inputs!$B$27+Inputs!$B$29,MAX(0,(Inputs!$B$3-100)*3)+Inputs!$B$28+Inputs!$B$29)))</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f>(1-Summary!$B$55)*T768+Summary!$B$55*V768</f>
        <v/>
      </c>
      <c r="P768">
        <f>IF(B795=0,0,O768/B795)</f>
        <v/>
      </c>
      <c r="Q768">
        <f>IFERROR(1/IF(Inputs!$B$38="pvp",15,MAX(0.1,Skills!D15-IF(Skills!E15=TRUE,Inputs!$B$32,0))),0)</f>
        <v/>
      </c>
      <c r="R768">
        <f>IF(AND(Inputs!$B$38&lt;&gt;"pvp",Inputs!$B$43&gt;0),IF(Inputs!$B$43&lt;=0,0,(INT(Inputs!$B$43/IF(Inputs!$B$38="pvp",15,MAX(0.1,Skills!D15-IF(Skills!E15=TRUE,Inputs!$B$32,0))))+1)),0)</f>
        <v/>
      </c>
      <c r="S768" t="n">
        <v>0</v>
      </c>
      <c r="T768" t="n">
        <v>0</v>
      </c>
      <c r="V768" t="n">
        <v>0</v>
      </c>
    </row>
    <row r="769">
      <c r="A769">
        <f>Skills!A16</f>
        <v/>
      </c>
      <c r="B769">
        <f>Skills!B16</f>
        <v/>
      </c>
      <c r="C769">
        <f>Inputs!$B$3&gt;=115</f>
        <v/>
      </c>
      <c r="D769">
        <f>IF(Skills!C16=1,60+(Inputs!$B$25+1)+Inputs!$B$29,IF(Skills!C16=2,90+Inputs!$B$26+Inputs!$B$29,IF(Skills!C16=3,120+Inputs!$B$27+Inputs!$B$29,MAX(0,(Inputs!$B$3-100)*3)+Inputs!$B$28+Inputs!$B$29)))</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f>(1-Summary!$B$55)*T769+Summary!$B$55*V769</f>
        <v/>
      </c>
      <c r="P769">
        <f>IF(B795=0,0,O769/B795)</f>
        <v/>
      </c>
      <c r="Q769">
        <f>IFERROR(1/IF(Inputs!$B$38="pvp",15,MAX(0.1,Skills!D16-IF(Skills!E16=TRUE,Inputs!$B$32,0))),0)</f>
        <v/>
      </c>
      <c r="R769">
        <f>IF(AND(Inputs!$B$38&lt;&gt;"pvp",Inputs!$B$43&gt;0),IF(Inputs!$B$43&lt;=0,0,(INT(Inputs!$B$43/IF(Inputs!$B$38="pvp",15,MAX(0.1,Skills!D16-IF(Skills!E16=TRUE,Inputs!$B$32,0))))+1)),0)</f>
        <v/>
      </c>
      <c r="S769" t="n">
        <v>0</v>
      </c>
      <c r="T769" t="n">
        <v>0</v>
      </c>
      <c r="V769" t="n">
        <v>0</v>
      </c>
    </row>
    <row r="770">
      <c r="A770">
        <f>Skills!A17</f>
        <v/>
      </c>
      <c r="B770">
        <f>Skills!B17</f>
        <v/>
      </c>
      <c r="C770">
        <f>Inputs!$B$3&gt;=72</f>
        <v/>
      </c>
      <c r="D770">
        <f>IF(Skills!C17=1,60+(Inputs!$B$25+1)+Inputs!$B$29,IF(Skills!C17=2,90+Inputs!$B$26+Inputs!$B$29,IF(Skills!C17=3,120+Inputs!$B$27+Inputs!$B$29,MAX(0,(Inputs!$B$3-100)*3)+Inputs!$B$28+Inputs!$B$29)))</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f>(1-Summary!$B$55)*T770+Summary!$B$55*V770</f>
        <v/>
      </c>
      <c r="P770">
        <f>IF(B795=0,0,O770/B795)</f>
        <v/>
      </c>
      <c r="Q770" t="n">
        <v>0</v>
      </c>
      <c r="R770" t="n">
        <v>0</v>
      </c>
      <c r="S770" t="n">
        <v>0</v>
      </c>
      <c r="T770" t="n">
        <v>0</v>
      </c>
      <c r="V770" t="n">
        <v>0</v>
      </c>
    </row>
    <row r="771">
      <c r="A771">
        <f>Skills!A18</f>
        <v/>
      </c>
      <c r="B771">
        <f>Skills!B18</f>
        <v/>
      </c>
      <c r="C771">
        <f>TRUE</f>
        <v/>
      </c>
      <c r="D771">
        <f>IF(Skills!C18=1,60+(Inputs!$B$25+1)+Inputs!$B$29,IF(Skills!C18=2,90+Inputs!$B$26+Inputs!$B$29,IF(Skills!C18=3,120+Inputs!$B$27+Inputs!$B$29,MAX(0,(Inputs!$B$3-100)*3)+Inputs!$B$28+Inputs!$B$29)))</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f>(1-Summary!$B$55)*T771+Summary!$B$55*V771</f>
        <v/>
      </c>
      <c r="P771">
        <f>IF(B795=0,0,O771/B795)</f>
        <v/>
      </c>
      <c r="Q771">
        <f>IFERROR(1/IF(Inputs!$B$38="pvp",15,MAX(0.1,Skills!D18-IF(Skills!E18=TRUE,Inputs!$B$32,0))),0)</f>
        <v/>
      </c>
      <c r="R771">
        <f>IF(AND(Inputs!$B$38&lt;&gt;"pvp",Inputs!$B$43&gt;0),IF(Inputs!$B$43&lt;=0,0,(INT(Inputs!$B$43/IF(Inputs!$B$38="pvp",15,MAX(0.1,Skills!D18-IF(Skills!E18=TRUE,Inputs!$B$32,0))))+1)),0)</f>
        <v/>
      </c>
      <c r="S771" t="n">
        <v>0</v>
      </c>
      <c r="T771" t="n">
        <v>0</v>
      </c>
      <c r="V771" t="n">
        <v>0</v>
      </c>
    </row>
    <row r="772">
      <c r="A772">
        <f>Skills!A19</f>
        <v/>
      </c>
      <c r="B772">
        <f>Skills!B19</f>
        <v/>
      </c>
      <c r="C772">
        <f>Inputs!$B$3&gt;=15</f>
        <v/>
      </c>
      <c r="D772">
        <f>IF(Skills!C19=1,60+(Inputs!$B$25+1)+Inputs!$B$29,IF(Skills!C19=2,90+Inputs!$B$26+Inputs!$B$29,IF(Skills!C19=3,120+Inputs!$B$27+Inputs!$B$29,MAX(0,(Inputs!$B$3-100)*3)+Inputs!$B$28+Inputs!$B$29)))</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f>(1-Summary!$B$55)*T772+Summary!$B$55*V772</f>
        <v/>
      </c>
      <c r="P772">
        <f>IF(B795=0,0,O772/B795)</f>
        <v/>
      </c>
      <c r="Q772" t="n">
        <v>0</v>
      </c>
      <c r="R772" t="n">
        <v>0</v>
      </c>
      <c r="S772" t="n">
        <v>0</v>
      </c>
      <c r="T772" t="n">
        <v>0</v>
      </c>
      <c r="V772" t="n">
        <v>0</v>
      </c>
    </row>
    <row r="773">
      <c r="A773">
        <f>Skills!A20</f>
        <v/>
      </c>
      <c r="B773">
        <f>Skills!B20</f>
        <v/>
      </c>
      <c r="C773">
        <f>Inputs!$B$3&gt;=10</f>
        <v/>
      </c>
      <c r="D773">
        <f>IF(Skills!C20=1,60+(Inputs!$B$25+1)+Inputs!$B$29,IF(Skills!C20=2,90+Inputs!$B$26+Inputs!$B$29,IF(Skills!C20=3,120+Inputs!$B$27+Inputs!$B$29,MAX(0,(Inputs!$B$3-100)*3)+Inputs!$B$28+Inputs!$B$29)))</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f>(1-Summary!$B$55)*T773+Summary!$B$55*V773</f>
        <v/>
      </c>
      <c r="P773">
        <f>IF(B795=0,0,O773/B795)</f>
        <v/>
      </c>
      <c r="Q773" t="n">
        <v>0</v>
      </c>
      <c r="R773" t="n">
        <v>0</v>
      </c>
      <c r="S773" t="n">
        <v>0</v>
      </c>
      <c r="T773" t="n">
        <v>0</v>
      </c>
      <c r="V773" t="n">
        <v>0</v>
      </c>
    </row>
    <row r="774">
      <c r="A774">
        <f>Skills!A21</f>
        <v/>
      </c>
      <c r="B774">
        <f>Skills!B21</f>
        <v/>
      </c>
      <c r="C774">
        <f>Inputs!$B$3&gt;=33</f>
        <v/>
      </c>
      <c r="D774">
        <f>IF(Skills!C21=1,60+(Inputs!$B$25+1)+Inputs!$B$29,IF(Skills!C21=2,90+Inputs!$B$26+Inputs!$B$29,IF(Skills!C21=3,120+Inputs!$B$27+Inputs!$B$29,MAX(0,(Inputs!$B$3-100)*3)+Inputs!$B$28+Inputs!$B$29)))</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f>(1-Summary!$B$55)*T774+Summary!$B$55*V774</f>
        <v/>
      </c>
      <c r="P774">
        <f>IF(B795=0,0,O774/B795)</f>
        <v/>
      </c>
      <c r="Q774" t="n">
        <v>0</v>
      </c>
      <c r="R774" t="n">
        <v>0</v>
      </c>
      <c r="S774" t="n">
        <v>0</v>
      </c>
      <c r="T774" t="n">
        <v>0</v>
      </c>
      <c r="V774" t="n">
        <v>0</v>
      </c>
    </row>
    <row r="775">
      <c r="A775">
        <f>Skills!A22</f>
        <v/>
      </c>
      <c r="B775">
        <f>Skills!B22</f>
        <v/>
      </c>
      <c r="C775">
        <f>Inputs!$B$3&gt;=38</f>
        <v/>
      </c>
      <c r="D775">
        <f>IF(Skills!C22=1,60+(Inputs!$B$25+1)+Inputs!$B$29,IF(Skills!C22=2,90+Inputs!$B$26+Inputs!$B$29,IF(Skills!C22=3,120+Inputs!$B$27+Inputs!$B$29,MAX(0,(Inputs!$B$3-100)*3)+Inputs!$B$28+Inputs!$B$29)))</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f>(1-Summary!$B$55)*T775+Summary!$B$55*V775</f>
        <v/>
      </c>
      <c r="P775">
        <f>IF(B795=0,0,O775/B795)</f>
        <v/>
      </c>
      <c r="Q775" t="n">
        <v>0</v>
      </c>
      <c r="R775" t="n">
        <v>0</v>
      </c>
      <c r="S775" t="n">
        <v>0</v>
      </c>
      <c r="T775" t="n">
        <v>0</v>
      </c>
      <c r="V775" t="n">
        <v>0</v>
      </c>
    </row>
    <row r="776">
      <c r="A776">
        <f>Skills!A23</f>
        <v/>
      </c>
      <c r="B776">
        <f>Skills!B23</f>
        <v/>
      </c>
      <c r="C776">
        <f>Inputs!$B$3&gt;=43</f>
        <v/>
      </c>
      <c r="D776">
        <f>IF(Skills!C23=1,60+(Inputs!$B$25+1)+Inputs!$B$29,IF(Skills!C23=2,90+Inputs!$B$26+Inputs!$B$29,IF(Skills!C23=3,120+Inputs!$B$27+Inputs!$B$29,MAX(0,(Inputs!$B$3-100)*3)+Inputs!$B$28+Inputs!$B$29)))</f>
        <v/>
      </c>
      <c r="E776">
        <f>INDEX(FactorTable!$B$2:$Y$301, MATCH(ROUND(MIN(300,MAX(1,D776)),0), FactorTable!$A$2:$A$301,0), Skills!M23+1)</f>
        <v/>
      </c>
      <c r="F776">
        <f>IF(Skills!N23=TRUE,(Skills!L23/10)*(E776/1000),Skills!L23/10)+Skills!O23</f>
        <v/>
      </c>
      <c r="G776">
        <f>Skills!G23*IF(Skills!H23&gt;0,Skills!I23/Skills!H23,1)</f>
        <v/>
      </c>
      <c r="H776">
        <f>1-(1-Skills!J23/100)^Skills!K23</f>
        <v/>
      </c>
      <c r="I776" t="inlineStr">
        <is>
          <t>1</t>
        </is>
      </c>
      <c r="J776" t="inlineStr"/>
      <c r="K776" t="inlineStr"/>
      <c r="L776" t="inlineStr"/>
      <c r="M776" t="inlineStr"/>
      <c r="N776" t="inlineStr"/>
      <c r="O776">
        <f>(1-Summary!$B$55)*T776+Summary!$B$55*V776</f>
        <v/>
      </c>
      <c r="P776">
        <f>IF(B795=0,0,O776/B795)</f>
        <v/>
      </c>
      <c r="Q776" t="n">
        <v>0</v>
      </c>
      <c r="R776" t="n">
        <v>0</v>
      </c>
      <c r="S776" t="n">
        <v>0</v>
      </c>
      <c r="T776" t="n">
        <v>0</v>
      </c>
      <c r="V776" t="n">
        <v>0</v>
      </c>
    </row>
    <row r="777">
      <c r="A777">
        <f>Skills!A24</f>
        <v/>
      </c>
      <c r="B777">
        <f>Skills!B24</f>
        <v/>
      </c>
      <c r="C777">
        <f>Inputs!$B$3&gt;=75</f>
        <v/>
      </c>
      <c r="D777">
        <f>IF(Skills!C24=1,60+(Inputs!$B$25+1)+Inputs!$B$29,IF(Skills!C24=2,90+Inputs!$B$26+Inputs!$B$29,IF(Skills!C24=3,120+Inputs!$B$27+Inputs!$B$29,MAX(0,(Inputs!$B$3-100)*3)+Inputs!$B$28+Inputs!$B$29)))</f>
        <v/>
      </c>
      <c r="E777">
        <f>INDEX(FactorTable!$B$2:$Y$301, MATCH(ROUND(MIN(300,MAX(1,D777)),0), FactorTable!$A$2:$A$301,0), Skills!M24+1)</f>
        <v/>
      </c>
      <c r="F777">
        <f>IF(Skills!N24=TRUE,(Skills!L24/10)*(E777/1000),Skills!L24/10)+Skills!O24</f>
        <v/>
      </c>
      <c r="G777">
        <f>Skills!G24*IF(Skills!H24&gt;0,Skills!I24/Skills!H24,1)</f>
        <v/>
      </c>
      <c r="H777">
        <f>1-(1-Skills!J24/100)^Skills!K24</f>
        <v/>
      </c>
      <c r="I777" t="inlineStr">
        <is>
          <t>1</t>
        </is>
      </c>
      <c r="J777" t="inlineStr"/>
      <c r="K777" t="inlineStr"/>
      <c r="L777" t="inlineStr"/>
      <c r="M777" t="inlineStr"/>
      <c r="N777" t="inlineStr"/>
      <c r="O777">
        <f>(1-Summary!$B$55)*T777+Summary!$B$55*V777</f>
        <v/>
      </c>
      <c r="P777">
        <f>IF(B795=0,0,O777/B795)</f>
        <v/>
      </c>
      <c r="Q777" t="n">
        <v>0</v>
      </c>
      <c r="R777" t="n">
        <v>0</v>
      </c>
      <c r="S777" t="n">
        <v>0</v>
      </c>
      <c r="T777" t="n">
        <v>0</v>
      </c>
      <c r="V777" t="n">
        <v>0</v>
      </c>
    </row>
    <row r="778">
      <c r="A778">
        <f>Skills!A25</f>
        <v/>
      </c>
      <c r="B778">
        <f>Skills!B25</f>
        <v/>
      </c>
      <c r="C778">
        <f>Inputs!$B$3&gt;=125</f>
        <v/>
      </c>
      <c r="D778">
        <f>IF(Skills!C25=1,60+(Inputs!$B$25+1)+Inputs!$B$29,IF(Skills!C25=2,90+Inputs!$B$26+Inputs!$B$29,IF(Skills!C25=3,120+Inputs!$B$27+Inputs!$B$29,MAX(0,(Inputs!$B$3-100)*3)+Inputs!$B$28+Inputs!$B$29)))</f>
        <v/>
      </c>
      <c r="E778">
        <f>INDEX(FactorTable!$B$2:$Y$301, MATCH(ROUND(MIN(300,MAX(1,D778)),0), FactorTable!$A$2:$A$301,0), Skills!M25+1)</f>
        <v/>
      </c>
      <c r="F778">
        <f>IF(Skills!N25=TRUE,(Skills!L25/10)*(E778/1000),Skills!L25/10)+Skills!O25</f>
        <v/>
      </c>
      <c r="G778">
        <f>Skills!G25*IF(Skills!H25&gt;0,Skills!I25/Skills!H25,1)</f>
        <v/>
      </c>
      <c r="H778">
        <f>1-(1-Skills!J25/100)^Skills!K25</f>
        <v/>
      </c>
      <c r="I778" t="inlineStr">
        <is>
          <t>1</t>
        </is>
      </c>
      <c r="J778" t="inlineStr"/>
      <c r="K778" t="inlineStr"/>
      <c r="L778" t="inlineStr"/>
      <c r="M778" t="inlineStr"/>
      <c r="N778" t="inlineStr"/>
      <c r="O778">
        <f>(1-Summary!$B$55)*T778+Summary!$B$55*V778</f>
        <v/>
      </c>
      <c r="P778">
        <f>IF(B795=0,0,O778/B795)</f>
        <v/>
      </c>
      <c r="Q778" t="n">
        <v>0</v>
      </c>
      <c r="R778" t="n">
        <v>0</v>
      </c>
      <c r="S778" t="n">
        <v>0</v>
      </c>
      <c r="T778" t="n">
        <v>0</v>
      </c>
      <c r="V778" t="n">
        <v>0</v>
      </c>
    </row>
    <row r="779">
      <c r="A779">
        <f>Skills!A26</f>
        <v/>
      </c>
      <c r="B779">
        <f>Skills!B26</f>
        <v/>
      </c>
      <c r="C779">
        <f>Inputs!$B$3&gt;=125</f>
        <v/>
      </c>
      <c r="D779">
        <f>IF(Skills!C26=1,60+(Inputs!$B$25+1)+Inputs!$B$29,IF(Skills!C26=2,90+Inputs!$B$26+Inputs!$B$29,IF(Skills!C26=3,120+Inputs!$B$27+Inputs!$B$29,MAX(0,(Inputs!$B$3-100)*3)+Inputs!$B$28+Inputs!$B$29)))</f>
        <v/>
      </c>
      <c r="E779">
        <f>INDEX(FactorTable!$B$2:$Y$301, MATCH(ROUND(MIN(300,MAX(1,D779)),0), FactorTable!$A$2:$A$301,0), Skills!M26+1)</f>
        <v/>
      </c>
      <c r="F779">
        <f>IF(Skills!N26=TRUE,(Skills!L26/10)*(E779/1000),Skills!L26/10)+Skills!O26</f>
        <v/>
      </c>
      <c r="G779">
        <f>Skills!G26*IF(Skills!H26&gt;0,Skills!I26/Skills!H26,1)</f>
        <v/>
      </c>
      <c r="H779">
        <f>1-(1-Skills!J26/100)^Skills!K26</f>
        <v/>
      </c>
      <c r="I779" t="inlineStr">
        <is>
          <t>1</t>
        </is>
      </c>
      <c r="J779" t="inlineStr"/>
      <c r="K779" t="inlineStr"/>
      <c r="L779" t="inlineStr"/>
      <c r="M779" t="inlineStr"/>
      <c r="N779" t="inlineStr"/>
      <c r="O779">
        <f>(1-Summary!$B$55)*T779+Summary!$B$55*V779</f>
        <v/>
      </c>
      <c r="P779">
        <f>IF(B795=0,0,O779/B795)</f>
        <v/>
      </c>
      <c r="Q779" t="n">
        <v>0</v>
      </c>
      <c r="R779" t="n">
        <v>0</v>
      </c>
      <c r="S779" t="n">
        <v>0</v>
      </c>
      <c r="T779" t="n">
        <v>0</v>
      </c>
      <c r="V779" t="n">
        <v>0</v>
      </c>
    </row>
    <row r="780">
      <c r="A780">
        <f>Skills!A27</f>
        <v/>
      </c>
      <c r="B780">
        <f>Skills!B27</f>
        <v/>
      </c>
      <c r="C780">
        <f>Inputs!$B$3&gt;=120</f>
        <v/>
      </c>
      <c r="D780">
        <f>IF(Skills!C27=1,60+(Inputs!$B$25+1)+Inputs!$B$29,IF(Skills!C27=2,90+Inputs!$B$26+Inputs!$B$29,IF(Skills!C27=3,120+Inputs!$B$27+Inputs!$B$29,MAX(0,(Inputs!$B$3-100)*3)+Inputs!$B$28+Inputs!$B$29)))</f>
        <v/>
      </c>
      <c r="E780">
        <f>INDEX(FactorTable!$B$2:$Y$301, MATCH(ROUND(MIN(300,MAX(1,D780)),0), FactorTable!$A$2:$A$301,0), Skills!M27+1)</f>
        <v/>
      </c>
      <c r="F780">
        <f>IF(Skills!N27=TRUE,(Skills!L27/10)*(E780/1000),Skills!L27/10)+Skills!O27</f>
        <v/>
      </c>
      <c r="G780">
        <f>Skills!G27*IF(Skills!H27&gt;0,Skills!I27/Skills!H27,1)</f>
        <v/>
      </c>
      <c r="H780">
        <f>1-(1-Skills!J27/100)^Skills!K27</f>
        <v/>
      </c>
      <c r="I780" t="inlineStr">
        <is>
          <t>1</t>
        </is>
      </c>
      <c r="J780" t="inlineStr"/>
      <c r="K780" t="inlineStr"/>
      <c r="L780" t="inlineStr"/>
      <c r="M780" t="inlineStr"/>
      <c r="N780" t="inlineStr"/>
      <c r="O780">
        <f>(1-Summary!$B$55)*T780+Summary!$B$55*V780</f>
        <v/>
      </c>
      <c r="P780">
        <f>IF(B795=0,0,O780/B795)</f>
        <v/>
      </c>
      <c r="Q780" t="n">
        <v>0</v>
      </c>
      <c r="R780" t="n">
        <v>0</v>
      </c>
      <c r="S780" t="n">
        <v>0</v>
      </c>
      <c r="T780" t="n">
        <v>0</v>
      </c>
      <c r="V780" t="n">
        <v>0</v>
      </c>
    </row>
    <row r="781">
      <c r="A781">
        <f>Skills!A28</f>
        <v/>
      </c>
      <c r="B781">
        <f>Skills!B28</f>
        <v/>
      </c>
      <c r="C781">
        <f>Inputs!$B$3&gt;=120</f>
        <v/>
      </c>
      <c r="D781">
        <f>IF(Skills!C28=1,60+(Inputs!$B$25+1)+Inputs!$B$29,IF(Skills!C28=2,90+Inputs!$B$26+Inputs!$B$29,IF(Skills!C28=3,120+Inputs!$B$27+Inputs!$B$29,MAX(0,(Inputs!$B$3-100)*3)+Inputs!$B$28+Inputs!$B$29)))</f>
        <v/>
      </c>
      <c r="E781">
        <f>INDEX(FactorTable!$B$2:$Y$301, MATCH(ROUND(MIN(300,MAX(1,D781)),0), FactorTable!$A$2:$A$301,0), Skills!M28+1)</f>
        <v/>
      </c>
      <c r="F781">
        <f>IF(Skills!N28=TRUE,(Skills!L28/10)*(E781/1000),Skills!L28/10)+Skills!O28</f>
        <v/>
      </c>
      <c r="G781">
        <f>Skills!G28*IF(Skills!H28&gt;0,Skills!I28/Skills!H28,1)</f>
        <v/>
      </c>
      <c r="H781">
        <f>1-(1-Skills!J28/100)^Skills!K28</f>
        <v/>
      </c>
      <c r="I781" t="inlineStr">
        <is>
          <t>1</t>
        </is>
      </c>
      <c r="J781" t="inlineStr"/>
      <c r="K781" t="inlineStr"/>
      <c r="L781" t="inlineStr"/>
      <c r="M781" t="inlineStr"/>
      <c r="N781" t="inlineStr"/>
      <c r="O781">
        <f>(1-Summary!$B$55)*T781+Summary!$B$55*V781</f>
        <v/>
      </c>
      <c r="P781">
        <f>IF(B795=0,0,O781/B795)</f>
        <v/>
      </c>
      <c r="Q781" t="n">
        <v>0</v>
      </c>
      <c r="R781" t="n">
        <v>0</v>
      </c>
      <c r="S781" t="n">
        <v>0</v>
      </c>
      <c r="T781" t="n">
        <v>0</v>
      </c>
      <c r="V781" t="n">
        <v>0</v>
      </c>
    </row>
    <row r="782">
      <c r="A782">
        <f>Skills!A29</f>
        <v/>
      </c>
      <c r="B782">
        <f>Skills!B29</f>
        <v/>
      </c>
      <c r="C782">
        <f>Inputs!$B$3&gt;=45</f>
        <v/>
      </c>
      <c r="D782">
        <f>IF(Skills!C29=1,60+(Inputs!$B$25+1)+Inputs!$B$29,IF(Skills!C29=2,90+Inputs!$B$26+Inputs!$B$29,IF(Skills!C29=3,120+Inputs!$B$27+Inputs!$B$29,MAX(0,(Inputs!$B$3-100)*3)+Inputs!$B$28+Inputs!$B$29)))</f>
        <v/>
      </c>
      <c r="E782">
        <f>INDEX(FactorTable!$B$2:$Y$301, MATCH(ROUND(MIN(300,MAX(1,D782)),0), FactorTable!$A$2:$A$301,0), Skills!M29+1)</f>
        <v/>
      </c>
      <c r="F782">
        <f>IF(Skills!N29=TRUE,(Skills!L29/10)*(E782/1000),Skills!L29/10)+Skills!O29</f>
        <v/>
      </c>
      <c r="G782">
        <f>Skills!G29*IF(Skills!H29&gt;0,Skills!I29/Skills!H29,1)</f>
        <v/>
      </c>
      <c r="H782">
        <f>1-(1-Skills!J29/100)^Skills!K29</f>
        <v/>
      </c>
      <c r="I782" t="inlineStr">
        <is>
          <t>1</t>
        </is>
      </c>
      <c r="J782" t="inlineStr"/>
      <c r="K782" t="inlineStr"/>
      <c r="L782" t="inlineStr"/>
      <c r="M782" t="inlineStr"/>
      <c r="N782" t="inlineStr"/>
      <c r="O782">
        <f>(1-Summary!$B$55)*T782+Summary!$B$55*V782</f>
        <v/>
      </c>
      <c r="P782">
        <f>IF(B795=0,0,O782/B795)</f>
        <v/>
      </c>
      <c r="Q782" t="n">
        <v>0</v>
      </c>
      <c r="R782" t="n">
        <v>0</v>
      </c>
      <c r="S782" t="n">
        <v>0</v>
      </c>
      <c r="T782" t="n">
        <v>0</v>
      </c>
      <c r="V782" t="n">
        <v>0</v>
      </c>
    </row>
    <row r="784">
      <c r="A784" t="inlineStr">
        <is>
          <t>Attack% Bucket Multiplier</t>
        </is>
      </c>
      <c r="B784">
        <f>(1+(((C766=TRUE)*F766)+((C767=TRUE)*IF(Inputs!$B$38="pvp",F767,(1-Summary!$B$55)*(F767)+Summary!$B$55*(0)))+((C768=TRUE)*F768*IF(AND(Inputs!$B$38&lt;&gt;"pvp",Inputs!$B$43&gt;0),(((R768-1)*(Skills!T15*(1+Inputs!$B$34/100))+MIN((Skills!T15*(1+Inputs!$B$34/100)),MAX(0,Inputs!$B$43-((R768-1)*Skills!D15))))/Inputs!$B$43),IF(Inputs!$B$38="pvp",MIN((Skills!T15*(1+Inputs!$B$34/100)),15)/15,(Skills!T15*(1+Inputs!$B$34/100))/Skills!D15)))+((C765=TRUE)*F765)+((C782=TRUE)*(F782-Calc!F29)))/100)</f>
        <v/>
      </c>
    </row>
    <row r="785">
      <c r="A785" t="inlineStr">
        <is>
          <t>Global Crit Rate Bonus %</t>
        </is>
      </c>
      <c r="B785">
        <f>(C769=TRUE)*20*IF(AND(Inputs!$B$38&lt;&gt;"pvp",Inputs!$B$43&gt;0),(((R769-1)*(Skills!T16*(1+Inputs!$B$34/100))+MIN((Skills!T16*(1+Inputs!$B$34/100)),MAX(0,Inputs!$B$43-((R769-1)*Skills!D16))))/Inputs!$B$43),IF(Inputs!$B$38="pvp",MIN((Skills!T16*(1+Inputs!$B$34/100)),15)/15,(Skills!T16*(1+Inputs!$B$34/100))/Skills!D16))</f>
        <v/>
      </c>
    </row>
    <row r="786">
      <c r="A786" t="inlineStr">
        <is>
          <t>Attack Speed Buff Bonus %</t>
        </is>
      </c>
      <c r="B786">
        <f>((C771=TRUE)*F771*IF(AND(Inputs!$B$38&lt;&gt;"pvp",Inputs!$B$43&gt;0),(((R771-1)*(Skills!T18*(1+Inputs!$B$34/100))+MIN((Skills!T18*(1+Inputs!$B$34/100)),MAX(0,Inputs!$B$43-((R771-1)*Skills!D18))))/Inputs!$B$43),IF(Inputs!$B$38="pvp",MIN((Skills!T18*(1+Inputs!$B$34/100)),15)/15,(Skills!T18*(1+Inputs!$B$34/100))/Skills!D18)))</f>
        <v/>
      </c>
    </row>
    <row r="787">
      <c r="A787" t="inlineStr">
        <is>
          <t>Actions Per Second</t>
        </is>
      </c>
      <c r="B787">
        <f>1+MIN(150,150*(1-(1-(Inputs!$B$11+((C773=TRUE)*(F773-Calc!F20))+((C774=TRUE)*(F774-Calc!F21)))/150)*(1-B786/150)))/100</f>
        <v/>
      </c>
    </row>
    <row r="788">
      <c r="A788" t="inlineStr">
        <is>
          <t>Skill + Buff Cast Rate</t>
        </is>
      </c>
      <c r="B788">
        <f>IF(AND(Inputs!$B$38&lt;&gt;"pvp",Inputs!$B$43&gt;0),SUMPRODUCT((Skills!E2:E29=TRUE)*(C755:C782=TRUE)*R755:R782*Skills!F2:F29)/Inputs!$B$43,SUMPRODUCT((Skills!E2:E29=TRUE)*(C755:C782=TRUE)*Q755:Q782*Skills!F2:F29))</f>
        <v/>
      </c>
    </row>
    <row r="789">
      <c r="A789" t="inlineStr">
        <is>
          <t>Empowered Piercing Arrow Casts Per Second</t>
        </is>
      </c>
      <c r="B789">
        <f>MAX(0,B787-B788)</f>
        <v/>
      </c>
    </row>
    <row r="790">
      <c r="A790" t="inlineStr">
        <is>
          <t>Global Critical Damage Bonus % (Sharp Eyes)</t>
        </is>
      </c>
      <c r="B790">
        <f>(C769=TRUE)*F769*IF(AND(Inputs!$B$38&lt;&gt;"pvp",Inputs!$B$43&gt;0),(((R769-1)*(Skills!T16*(1+Inputs!$B$34/100))+MIN((Skills!T16*(1+Inputs!$B$34/100)),MAX(0,Inputs!$B$43-((R769-1)*Skills!D16))))/Inputs!$B$43),IF(Inputs!$B$38="pvp",MIN((Skills!T16*(1+Inputs!$B$34/100)),15)/15,(Skills!T16*(1+Inputs!$B$34/100))/Skills!D16))</f>
        <v/>
      </c>
    </row>
    <row r="791">
      <c r="A791" t="inlineStr">
        <is>
          <t>Global Final Damage Bonus % (Mortal Blow + Last Man Standing conditional half)</t>
        </is>
      </c>
      <c r="B791">
        <f>(C770=TRUE)*F770+((C779=TRUE)*IF(Inputs!$B$38="pvp",F779,(1-Summary!$B$55)*(F779)+Summary!$B$55*(0)))</f>
        <v/>
      </c>
    </row>
    <row r="792">
      <c r="A792" t="inlineStr">
        <is>
          <t>Buff-Casting Startup Delay (s, fixed-duration only)</t>
        </is>
      </c>
      <c r="B792">
        <f>IF(AND(Inputs!$B$38&lt;&gt;"pvp",Inputs!$B$43&gt;0),SUMPRODUCT((Skills!T2:T29&gt;0)*(Skills!E2:E29=TRUE)*(C755:C782=TRUE))/B787,0)</f>
        <v/>
      </c>
    </row>
    <row r="793">
      <c r="A793" t="inlineStr">
        <is>
          <t>Boss-Only Total DPS (this block's swept value)</t>
        </is>
      </c>
      <c r="B793">
        <f>SUM(T755:T782)</f>
        <v/>
      </c>
    </row>
    <row r="794">
      <c r="A794" t="inlineStr">
        <is>
          <t>Normal-Only Total DPS (this block's swept value)</t>
        </is>
      </c>
      <c r="B794">
        <f>SUM(V755:V782)</f>
        <v/>
      </c>
    </row>
    <row r="795">
      <c r="A795" s="5" t="inlineStr">
        <is>
          <t>TOTAL DPS</t>
        </is>
      </c>
      <c r="B795" s="5">
        <f>SUM(O755:O782)</f>
        <v/>
      </c>
    </row>
    <row r="798">
      <c r="A798" s="5" t="inlineStr">
        <is>
          <t>Stat: Skill Level Bonus — 2nd Job</t>
        </is>
      </c>
    </row>
    <row r="799">
      <c r="A799" s="9" t="inlineStr">
        <is>
          <t>Key</t>
        </is>
      </c>
      <c r="B799" s="9" t="inlineStr">
        <is>
          <t>Name</t>
        </is>
      </c>
      <c r="C799" s="9" t="inlineStr">
        <is>
          <t>Unlocked</t>
        </is>
      </c>
      <c r="D799" s="9" t="inlineStr">
        <is>
          <t>InputLevel</t>
        </is>
      </c>
      <c r="E799" s="9" t="inlineStr">
        <is>
          <t>Factor</t>
        </is>
      </c>
      <c r="F799" s="9" t="inlineStr">
        <is>
          <t>CoefficientPercent</t>
        </is>
      </c>
      <c r="G799" s="9" t="inlineStr">
        <is>
          <t>EffectiveHits</t>
        </is>
      </c>
      <c r="H799" s="9" t="inlineStr">
        <is>
          <t>ProcProbability</t>
        </is>
      </c>
      <c r="I799" s="9" t="inlineStr">
        <is>
          <t>MapleHeroMultiplier</t>
        </is>
      </c>
      <c r="J799" s="9" t="inlineStr">
        <is>
          <t>BaseDamage</t>
        </is>
      </c>
      <c r="K799" s="9" t="inlineStr">
        <is>
          <t>BaseHitDamage</t>
        </is>
      </c>
      <c r="L799" s="9" t="inlineStr">
        <is>
          <t>NonCritAvg</t>
        </is>
      </c>
      <c r="M799" s="9" t="inlineStr">
        <is>
          <t>CritAvg</t>
        </is>
      </c>
      <c r="N799" s="9" t="inlineStr">
        <is>
          <t>ExpectedDamage(perHit)</t>
        </is>
      </c>
      <c r="O799" s="9" t="inlineStr">
        <is>
          <t>DPS</t>
        </is>
      </c>
      <c r="P799" s="9" t="inlineStr">
        <is>
          <t>% of Total</t>
        </is>
      </c>
      <c r="Q799" s="9" t="inlineStr">
        <is>
          <t>InvCooldown</t>
        </is>
      </c>
      <c r="R799" s="9" t="inlineStr">
        <is>
          <t>CastsInFight</t>
        </is>
      </c>
      <c r="S799" s="9" t="inlineStr">
        <is>
          <t>HitRate(perSec)</t>
        </is>
      </c>
      <c r="U799" t="inlineStr">
        <is>
          <t>helpers</t>
        </is>
      </c>
    </row>
    <row r="800">
      <c r="A800">
        <f>Skills!A2</f>
        <v/>
      </c>
      <c r="B800">
        <f>Skills!B2</f>
        <v/>
      </c>
      <c r="C800">
        <f>Inputs!$B$3&gt;=100</f>
        <v/>
      </c>
      <c r="D800" t="inlineStr"/>
      <c r="E800" t="inlineStr"/>
      <c r="F800">
        <f>U802+Skills!O2</f>
        <v/>
      </c>
      <c r="G800">
        <f>Skills!G2*IF(Skills!H2&gt;0,Skills!I2/Skills!H2,1)</f>
        <v/>
      </c>
      <c r="H800">
        <f>1-(1-Skills!J2/100)^Skills!K2</f>
        <v/>
      </c>
      <c r="I800" t="inlineStr">
        <is>
          <t>1</t>
        </is>
      </c>
      <c r="J800">
        <f>((Inputs!$B$6*(1+Inputs!$B$7/100))+(((Inputs!$B$12*(1+Inputs!$B$13/100))-(Inputs!$B$12*(1+Inputs!$B$13/100)))+0.25*(Inputs!$B$14-Inputs!$B$14))*(1+Inputs!$B$7/100))*(F800/100)</f>
        <v/>
      </c>
      <c r="K800">
        <f>J800*(1+((Inputs!$B$12*(1+Inputs!$B$13/100))*0.01+Inputs!$B$14*0.0025)/100)*(1+Inputs!$B$15/100)*(1+Inputs!$B$16/100)*(5000/(6000+Inputs!$B$42*(1-(Inputs!$B$19+0)/100)))*(1+(Inputs!$B$24+((C822=TRUE)*(F822-Calc!F24))+((C823=TRUE)*(F823-Calc!F25))+B836)/100)*(1+(IF(Skills!A2="EMPOWERED_PIERCING_ARROW",Inputs!$B$17+((C820=TRUE)*(F820-Calc!F22)),Inputs!$B$18+((C825=TRUE)*(F825-Calc!F27))))/100)*((1+(((C811=TRUE)*F811)+((C812=TRUE)*IF(Inputs!$B$38="pvp",F812,(1-Summary!$B$55)*(F812)+Summary!$B$55*(0)))+((C813=TRUE)*F813*IF(AND(Inputs!$B$38&lt;&gt;"pvp",Inputs!$B$43&gt;0),(((R813-1)*(Skills!T15*(1+Inputs!$B$34/100))+MIN((Skills!T15*(1+Inputs!$B$34/100)),MAX(0,Inputs!$B$43-((R813-1)*Skills!D15))))/Inputs!$B$43),IF(Inputs!$B$38="pvp",MIN((Skills!T15*(1+Inputs!$B$34/100)),15)/15,(Skills!T15*(1+Inputs!$B$34/100))/Skills!D15)))+((C810=TRUE)*F810)+((C827=TRUE)*(F827-Calc!F29)))/100)*I800)</f>
        <v/>
      </c>
      <c r="L800">
        <f>K800*(MIN(Inputs!$B$22+((C821=TRUE)*(F821-Calc!F23)),Inputs!$B$23+((C826=TRUE)*(F826-Calc!F28)))/100+(Inputs!$B$23+((C826=TRUE)*(F826-Calc!F28)))/100)/2</f>
        <v/>
      </c>
      <c r="M800">
        <f>L800*(1+(Inputs!$B$10+0+B835)/100)</f>
        <v/>
      </c>
      <c r="N800">
        <f>L800*(1-MIN((Inputs!$B$9+((C817=TRUE)*(F817-Calc!F19))+B830),100)/100)+M800*(MIN((Inputs!$B$9+((C817=TRUE)*(F817-Calc!F19))+B830),100)/100)</f>
        <v/>
      </c>
      <c r="O800">
        <f>(1-Summary!$B$55)*T800+Summary!$B$55*V800</f>
        <v/>
      </c>
      <c r="P800">
        <f>IF(B840=0,0,O800/B840)</f>
        <v/>
      </c>
      <c r="Q800" t="n">
        <v>0</v>
      </c>
      <c r="R800" t="n">
        <v>0</v>
      </c>
      <c r="S800">
        <f>IFERROR((Skills!G2*N800*B834)/N800*IF(Inputs!$B$38="pvp",1,(1-Summary!$B$55)*1+Summary!$B$55*(MIN((6+Inputs!$B$33),Inputs!$B$37))),0)</f>
        <v/>
      </c>
      <c r="T800">
        <f>IF(C800,(Skills!G2*N800*B834)*IF(Inputs!$B$38="pvp",1,1+(Inputs!$B$20+0+Skills!P2)/100),0)</f>
        <v/>
      </c>
      <c r="U800">
        <f>MAX(0,(Inputs!$B$3-100)*3)+Inputs!$B$28+Inputs!$B$29</f>
        <v/>
      </c>
      <c r="V800">
        <f>IF(C800,(Skills!G2*N800*B834)*IF(Inputs!$B$38="pvp",1,(1+(Inputs!$B$21+Skills!Q2)/100)*(MIN((6+Inputs!$B$33),Inputs!$B$37))),0)</f>
        <v/>
      </c>
    </row>
    <row r="801">
      <c r="A801">
        <f>Skills!A3</f>
        <v/>
      </c>
      <c r="B801">
        <f>Skills!B3</f>
        <v/>
      </c>
      <c r="C801">
        <f>Inputs!$B$3&gt;=50</f>
        <v/>
      </c>
      <c r="D801">
        <f>IF(Skills!C3=1,60+Inputs!$B$25+Inputs!$B$29,IF(Skills!C3=2,90+(Inputs!$B$26+1)+Inputs!$B$29,IF(Skills!C3=3,120+Inputs!$B$27+Inputs!$B$29,MAX(0,(Inputs!$B$3-100)*3)+Inputs!$B$28+Inputs!$B$29)))</f>
        <v/>
      </c>
      <c r="E801">
        <f>INDEX(FactorTable!$B$2:$Y$301, MATCH(ROUND(MIN(300,MAX(1,D801)),0), FactorTable!$A$2:$A$301,0), Skills!M3+1)</f>
        <v/>
      </c>
      <c r="F801">
        <f>IF(Skills!N3=TRUE,(Skills!L3/10)*(E801/1000),Skills!L3/10)+Skills!O3</f>
        <v/>
      </c>
      <c r="G801" t="inlineStr"/>
      <c r="H801" t="inlineStr"/>
      <c r="I801" t="inlineStr">
        <is>
          <t>1</t>
        </is>
      </c>
      <c r="J801" t="inlineStr"/>
      <c r="K801" t="inlineStr"/>
      <c r="L801" t="inlineStr"/>
      <c r="M801" t="inlineStr"/>
      <c r="N801" t="inlineStr"/>
      <c r="O801" t="inlineStr"/>
      <c r="P801" t="inlineStr"/>
      <c r="Q801" t="inlineStr"/>
      <c r="R801" t="inlineStr"/>
      <c r="S801" t="inlineStr"/>
      <c r="T801" t="inlineStr"/>
      <c r="U801">
        <f>INDEX(FactorTable!$B$2:$Y$301, MATCH(ROUND(MIN(300,MAX(1,U800)),0), FactorTable!$A$2:$A$301,0), 22)</f>
        <v/>
      </c>
      <c r="V801" t="inlineStr"/>
    </row>
    <row r="802">
      <c r="A802">
        <f>Skills!A4</f>
        <v/>
      </c>
      <c r="B802">
        <f>Skills!B4</f>
        <v/>
      </c>
      <c r="C802">
        <f>Inputs!$B$3&gt;=105</f>
        <v/>
      </c>
      <c r="D802">
        <f>IF(Skills!C4=1,60+Inputs!$B$25+Inputs!$B$29,IF(Skills!C4=2,90+(Inputs!$B$26+1)+Inputs!$B$29,IF(Skills!C4=3,120+Inputs!$B$27+Inputs!$B$29,MAX(0,(Inputs!$B$3-100)*3)+Inputs!$B$28+Inputs!$B$29)))</f>
        <v/>
      </c>
      <c r="E802">
        <f>INDEX(FactorTable!$B$2:$Y$301, MATCH(ROUND(MIN(300,MAX(1,D802)),0), FactorTable!$A$2:$A$301,0), Skills!M4+1)</f>
        <v/>
      </c>
      <c r="F802">
        <f>IF(Skills!N4=TRUE,(Skills!L4/10)*(E802/1000),Skills!L4/10)+Skills!O4</f>
        <v/>
      </c>
      <c r="G802" t="inlineStr"/>
      <c r="H802" t="inlineStr"/>
      <c r="I802" t="inlineStr">
        <is>
          <t>1</t>
        </is>
      </c>
      <c r="J802" t="inlineStr"/>
      <c r="K802" t="inlineStr"/>
      <c r="L802" t="inlineStr"/>
      <c r="M802" t="inlineStr"/>
      <c r="N802" t="inlineStr"/>
      <c r="O802" t="inlineStr"/>
      <c r="P802" t="inlineStr"/>
      <c r="Q802" t="inlineStr"/>
      <c r="R802" t="inlineStr"/>
      <c r="S802" t="inlineStr"/>
      <c r="T802" t="inlineStr"/>
      <c r="U802">
        <f>290*U801/1000</f>
        <v/>
      </c>
      <c r="V802" t="inlineStr"/>
    </row>
    <row r="803">
      <c r="A803">
        <f>Skills!A5</f>
        <v/>
      </c>
      <c r="B803">
        <f>Skills!B5</f>
        <v/>
      </c>
      <c r="C803">
        <f>Inputs!$B$3&gt;=35</f>
        <v/>
      </c>
      <c r="D803">
        <f>IF(Skills!C5=1,60+Inputs!$B$25+Inputs!$B$29,IF(Skills!C5=2,90+(Inputs!$B$26+1)+Inputs!$B$29,IF(Skills!C5=3,120+Inputs!$B$27+Inputs!$B$29,MAX(0,(Inputs!$B$3-100)*3)+Inputs!$B$28+Inputs!$B$29)))</f>
        <v/>
      </c>
      <c r="E803">
        <f>INDEX(FactorTable!$B$2:$Y$301, MATCH(ROUND(MIN(300,MAX(1,D803)),0), FactorTable!$A$2:$A$301,0), Skills!M5+1)</f>
        <v/>
      </c>
      <c r="F803">
        <f>IF(Skills!N5=TRUE,(Skills!L5/10)*(E803/1000),Skills!L5/10)+Skills!O5</f>
        <v/>
      </c>
      <c r="G803">
        <f>Skills!G5*IF(Skills!H5&gt;0,Skills!I5/Skills!H5,1)</f>
        <v/>
      </c>
      <c r="H803">
        <f>1-(1-Skills!J5/100)^Skills!K5</f>
        <v/>
      </c>
      <c r="I803" t="inlineStr">
        <is>
          <t>1</t>
        </is>
      </c>
      <c r="J803">
        <f>((Inputs!$B$6*(1+Inputs!$B$7/100))+(((Inputs!$B$12*(1+Inputs!$B$13/100))-(Inputs!$B$12*(1+Inputs!$B$13/100)))+0.25*(Inputs!$B$14-Inputs!$B$14))*(1+Inputs!$B$7/100))*(F803/100)</f>
        <v/>
      </c>
      <c r="K803">
        <f>J803*(1+((Inputs!$B$12*(1+Inputs!$B$13/100))*0.01+Inputs!$B$14*0.0025)/100)*(1+Inputs!$B$15/100)*(1+Inputs!$B$16/100)*(5000/(6000+Inputs!$B$42*(1-(Inputs!$B$19+0)/100)))*(1+(Inputs!$B$24+((C822=TRUE)*(F822-Calc!F24))+((C823=TRUE)*(F823-Calc!F25))+B836)/100)*(1+4.0*IF(C806=TRUE,F806,0)/100)*(1+(IF(Skills!A5="EMPOWERED_PIERCING_ARROW",Inputs!$B$17+((C820=TRUE)*(F820-Calc!F22)),Inputs!$B$18+((C825=TRUE)*(F825-Calc!F27))))/100)*((1+(((C811=TRUE)*F811)+((C812=TRUE)*IF(Inputs!$B$38="pvp",F812,(1-Summary!$B$55)*(F812)+Summary!$B$55*(0)))+((C813=TRUE)*F813*IF(AND(Inputs!$B$38&lt;&gt;"pvp",Inputs!$B$43&gt;0),(((R813-1)*(Skills!T15*(1+Inputs!$B$34/100))+MIN((Skills!T15*(1+Inputs!$B$34/100)),MAX(0,Inputs!$B$43-((R813-1)*Skills!D15))))/Inputs!$B$43),IF(Inputs!$B$38="pvp",MIN((Skills!T15*(1+Inputs!$B$34/100)),15)/15,(Skills!T15*(1+Inputs!$B$34/100))/Skills!D15)))+((C810=TRUE)*F810)+((C827=TRUE)*(F827-Calc!F29)))/100)*I803)</f>
        <v/>
      </c>
      <c r="L803">
        <f>K803*(MIN(Inputs!$B$22+((C821=TRUE)*(F821-Calc!F23)),Inputs!$B$23+((C826=TRUE)*(F826-Calc!F28)))/100+(Inputs!$B$23+((C826=TRUE)*(F826-Calc!F28)))/100)/2</f>
        <v/>
      </c>
      <c r="M803">
        <f>L803*(1+(Inputs!$B$10+0+B835)/100)</f>
        <v/>
      </c>
      <c r="N803">
        <f>L803*(1-MIN((Inputs!$B$9+((C817=TRUE)*(F817-Calc!F19))+B830),100)/100)+M803*(MIN((Inputs!$B$9+((C817=TRUE)*(F817-Calc!F19))+B830),100)/100)</f>
        <v/>
      </c>
      <c r="O803">
        <f>(1-Summary!$B$55)*T803+Summary!$B$55*V803</f>
        <v/>
      </c>
      <c r="P803">
        <f>IF(B840=0,0,O803/B840)</f>
        <v/>
      </c>
      <c r="Q803">
        <f>IFERROR(1/IF(Inputs!$B$38="pvp",15,MAX(0.1,Skills!D5-IF(Skills!E5=TRUE,Inputs!$B$32,0))),0)</f>
        <v/>
      </c>
      <c r="R803">
        <f>IF(AND(Inputs!$B$38&lt;&gt;"pvp",Inputs!$B$43&gt;0),IF(MAX(0,Inputs!$B$43-B837)&lt;=0,0,(INT(MAX(0,Inputs!$B$43-B837)/IF(Inputs!$B$38="pvp",15,MAX(0.1,Skills!D5-IF(Skills!E5=TRUE,Inputs!$B$32,0))))+1)),0)</f>
        <v/>
      </c>
      <c r="S803">
        <f>IFERROR((H803*N803*IF(AND(Inputs!$B$38&lt;&gt;"pvp",Inputs!$B$43&gt;0),((Skills!G5*((R803-1)*IF(Skills!H5&gt;0,Skills!I5/Skills!H5,1)+IF(Skills!H5&gt;0,MIN(Skills!I5,MAX(0,MAX(0,Inputs!$B$43-B837)-((R803-1)*IF(Inputs!$B$38="pvp",15,MAX(0.1,Skills!D5-IF(Skills!E5=TRUE,Inputs!$B$32,0))))))/Skills!H5,1)))/Inputs!$B$43),G803*Q803))/N803*IF(Inputs!$B$38="pvp",1,(1-Summary!$B$55)*1+Summary!$B$55*(MIN(Skills!R5,Inputs!$B$37))),0)</f>
        <v/>
      </c>
      <c r="T803">
        <f>IF(C803,(H803*N803*IF(AND(Inputs!$B$38&lt;&gt;"pvp",Inputs!$B$43&gt;0),((Skills!G5*((R803-1)*IF(Skills!H5&gt;0,Skills!I5/Skills!H5,1)+IF(Skills!H5&gt;0,MIN(Skills!I5,MAX(0,MAX(0,Inputs!$B$43-B837)-((R803-1)*IF(Inputs!$B$38="pvp",15,MAX(0.1,Skills!D5-IF(Skills!E5=TRUE,Inputs!$B$32,0))))))/Skills!H5,1)))/Inputs!$B$43),G803*Q803))*IF(Inputs!$B$38="pvp",1,1+(Inputs!$B$20+0+Skills!P5)/100),0)</f>
        <v/>
      </c>
      <c r="V803">
        <f>IF(C803,(H803*N803*IF(AND(Inputs!$B$38&lt;&gt;"pvp",Inputs!$B$43&gt;0),((Skills!G5*((R803-1)*IF(Skills!H5&gt;0,Skills!I5/Skills!H5,1)+IF(Skills!H5&gt;0,MIN(Skills!I5,MAX(0,MAX(0,Inputs!$B$43-B837)-((R803-1)*IF(Inputs!$B$38="pvp",15,MAX(0.1,Skills!D5-IF(Skills!E5=TRUE,Inputs!$B$32,0))))))/Skills!H5,1)))/Inputs!$B$43),G803*Q803))*IF(Inputs!$B$38="pvp",1,(1+(Inputs!$B$21+Skills!Q5)/100)*(MIN(Skills!R5,Inputs!$B$37))),0)</f>
        <v/>
      </c>
    </row>
    <row r="804">
      <c r="A804">
        <f>Skills!A6</f>
        <v/>
      </c>
      <c r="B804">
        <f>Skills!B6</f>
        <v/>
      </c>
      <c r="C804">
        <f>Inputs!$B$3&gt;=63</f>
        <v/>
      </c>
      <c r="D804">
        <f>IF(Skills!C6=1,60+Inputs!$B$25+Inputs!$B$29,IF(Skills!C6=2,90+(Inputs!$B$26+1)+Inputs!$B$29,IF(Skills!C6=3,120+Inputs!$B$27+Inputs!$B$29,MAX(0,(Inputs!$B$3-100)*3)+Inputs!$B$28+Inputs!$B$29)))</f>
        <v/>
      </c>
      <c r="E804">
        <f>INDEX(FactorTable!$B$2:$Y$301, MATCH(ROUND(MIN(300,MAX(1,D804)),0), FactorTable!$A$2:$A$301,0), Skills!M6+1)</f>
        <v/>
      </c>
      <c r="F804">
        <f>IF(Skills!N6=TRUE,(Skills!L6/10)*(E804/1000),Skills!L6/10)+Skills!O6</f>
        <v/>
      </c>
      <c r="G804">
        <f>Skills!G6*IF(Skills!H6&gt;0,Skills!I6/Skills!H6,1)</f>
        <v/>
      </c>
      <c r="H804">
        <f>1-(1-Skills!J6/100)^Skills!K6</f>
        <v/>
      </c>
      <c r="I804" t="inlineStr">
        <is>
          <t>1</t>
        </is>
      </c>
      <c r="J804">
        <f>((Inputs!$B$6*(1+Inputs!$B$7/100))+(((Inputs!$B$12*(1+Inputs!$B$13/100))-(Inputs!$B$12*(1+Inputs!$B$13/100)))+0.25*(Inputs!$B$14-Inputs!$B$14))*(1+Inputs!$B$7/100))*(F804/100)</f>
        <v/>
      </c>
      <c r="K804">
        <f>J804*(1+((Inputs!$B$12*(1+Inputs!$B$13/100))*0.01+Inputs!$B$14*0.0025)/100)*(1+Inputs!$B$15/100)*(1+Inputs!$B$16/100)*(5000/(6000+Inputs!$B$42*(1-(Inputs!$B$19+0)/100)))*(1+(Inputs!$B$24+((C822=TRUE)*(F822-Calc!F24))+((C823=TRUE)*(F823-Calc!F25))+B836)/100)*(1+1.0*IF(C806=TRUE,F806,0)/100)*(1+(IF(Skills!A6="EMPOWERED_PIERCING_ARROW",Inputs!$B$17+((C820=TRUE)*(F820-Calc!F22)),Inputs!$B$18+((C825=TRUE)*(F825-Calc!F27))))/100)*((1+(((C811=TRUE)*F811)+((C812=TRUE)*IF(Inputs!$B$38="pvp",F812,(1-Summary!$B$55)*(F812)+Summary!$B$55*(0)))+((C813=TRUE)*F813*IF(AND(Inputs!$B$38&lt;&gt;"pvp",Inputs!$B$43&gt;0),(((R813-1)*(Skills!T15*(1+Inputs!$B$34/100))+MIN((Skills!T15*(1+Inputs!$B$34/100)),MAX(0,Inputs!$B$43-((R813-1)*Skills!D15))))/Inputs!$B$43),IF(Inputs!$B$38="pvp",MIN((Skills!T15*(1+Inputs!$B$34/100)),15)/15,(Skills!T15*(1+Inputs!$B$34/100))/Skills!D15)))+((C810=TRUE)*F810)+((C827=TRUE)*(F827-Calc!F29)))/100)*I804)</f>
        <v/>
      </c>
      <c r="L804">
        <f>K804*(MIN(Inputs!$B$22+((C821=TRUE)*(F821-Calc!F23)),Inputs!$B$23+((C826=TRUE)*(F826-Calc!F28)))/100+(Inputs!$B$23+((C826=TRUE)*(F826-Calc!F28)))/100)/2</f>
        <v/>
      </c>
      <c r="M804">
        <f>L804*(1+(Inputs!$B$10+0+B835)/100)</f>
        <v/>
      </c>
      <c r="N804">
        <f>L804*(1-MIN((Inputs!$B$9+((C817=TRUE)*(F817-Calc!F19))+B830),100)/100)+M804*(MIN((Inputs!$B$9+((C817=TRUE)*(F817-Calc!F19))+B830),100)/100)</f>
        <v/>
      </c>
      <c r="O804">
        <f>(1-Summary!$B$55)*T804+Summary!$B$55*V804</f>
        <v/>
      </c>
      <c r="P804">
        <f>IF(B840=0,0,O804/B840)</f>
        <v/>
      </c>
      <c r="Q804">
        <f>IFERROR(1/IF(Inputs!$B$38="pvp",15,MAX(0.1,Skills!D6-IF(Skills!E6=TRUE,Inputs!$B$32,0))),0)</f>
        <v/>
      </c>
      <c r="R804">
        <f>IF(AND(Inputs!$B$38&lt;&gt;"pvp",Inputs!$B$43&gt;0),IF(MAX(0,Inputs!$B$43-B837)&lt;=0,0,(INT(MAX(0,Inputs!$B$43-B837)/IF(Inputs!$B$38="pvp",15,MAX(0.1,Skills!D6-IF(Skills!E6=TRUE,Inputs!$B$32,0))))+1)),0)</f>
        <v/>
      </c>
      <c r="S804">
        <f>IFERROR((H804*N804*IF(AND(Inputs!$B$38&lt;&gt;"pvp",Inputs!$B$43&gt;0),((Skills!G6*((R804-1)*IF(Skills!H6&gt;0,Skills!I6/Skills!H6,1)+IF(Skills!H6&gt;0,MIN(Skills!I6,MAX(0,MAX(0,Inputs!$B$43-B837)-((R804-1)*IF(Inputs!$B$38="pvp",15,MAX(0.1,Skills!D6-IF(Skills!E6=TRUE,Inputs!$B$32,0))))))/Skills!H6,1)))/Inputs!$B$43),G804*Q804))/N804*IF(Inputs!$B$38="pvp",1,(1-Summary!$B$55)*1+Summary!$B$55*(MIN(Skills!R6,Inputs!$B$37))),0)</f>
        <v/>
      </c>
      <c r="T804">
        <f>IF(C804,(H804*N804*IF(AND(Inputs!$B$38&lt;&gt;"pvp",Inputs!$B$43&gt;0),((Skills!G6*((R804-1)*IF(Skills!H6&gt;0,Skills!I6/Skills!H6,1)+IF(Skills!H6&gt;0,MIN(Skills!I6,MAX(0,MAX(0,Inputs!$B$43-B837)-((R804-1)*IF(Inputs!$B$38="pvp",15,MAX(0.1,Skills!D6-IF(Skills!E6=TRUE,Inputs!$B$32,0))))))/Skills!H6,1)))/Inputs!$B$43),G804*Q804))*IF(Inputs!$B$38="pvp",1,1+(Inputs!$B$20+0+Skills!P6)/100),0)</f>
        <v/>
      </c>
      <c r="V804">
        <f>IF(C804,(H804*N804*IF(AND(Inputs!$B$38&lt;&gt;"pvp",Inputs!$B$43&gt;0),((Skills!G6*((R804-1)*IF(Skills!H6&gt;0,Skills!I6/Skills!H6,1)+IF(Skills!H6&gt;0,MIN(Skills!I6,MAX(0,MAX(0,Inputs!$B$43-B837)-((R804-1)*IF(Inputs!$B$38="pvp",15,MAX(0.1,Skills!D6-IF(Skills!E6=TRUE,Inputs!$B$32,0))))))/Skills!H6,1)))/Inputs!$B$43),G804*Q804))*IF(Inputs!$B$38="pvp",1,(1+(Inputs!$B$21+Skills!Q6)/100)*(MIN(Skills!R6,Inputs!$B$37))),0)</f>
        <v/>
      </c>
    </row>
    <row r="805">
      <c r="A805">
        <f>Skills!A7</f>
        <v/>
      </c>
      <c r="B805">
        <f>Skills!B7</f>
        <v/>
      </c>
      <c r="C805">
        <f>Inputs!$B$3&gt;=69</f>
        <v/>
      </c>
      <c r="D805">
        <f>IF(Skills!C7=1,60+Inputs!$B$25+Inputs!$B$29,IF(Skills!C7=2,90+(Inputs!$B$26+1)+Inputs!$B$29,IF(Skills!C7=3,120+Inputs!$B$27+Inputs!$B$29,MAX(0,(Inputs!$B$3-100)*3)+Inputs!$B$28+Inputs!$B$29)))</f>
        <v/>
      </c>
      <c r="E805">
        <f>INDEX(FactorTable!$B$2:$Y$301, MATCH(ROUND(MIN(300,MAX(1,D805)),0), FactorTable!$A$2:$A$301,0), Skills!M7+1)</f>
        <v/>
      </c>
      <c r="F805">
        <f>IF(Skills!N7=TRUE,(Skills!L7/10)*(E805/1000),Skills!L7/10)+Skills!O7</f>
        <v/>
      </c>
      <c r="G805">
        <f>Skills!G7*IF(Skills!H7&gt;0,Skills!I7/Skills!H7,1)</f>
        <v/>
      </c>
      <c r="H805">
        <f>1-(1-Skills!J7/100)^Skills!K7</f>
        <v/>
      </c>
      <c r="I805" t="inlineStr">
        <is>
          <t>1</t>
        </is>
      </c>
      <c r="J805">
        <f>((Inputs!$B$6*(1+Inputs!$B$7/100))+(((Inputs!$B$12*(1+Inputs!$B$13/100))-(Inputs!$B$12*(1+Inputs!$B$13/100)))+0.25*(Inputs!$B$14-Inputs!$B$14))*(1+Inputs!$B$7/100))*(F805/100)</f>
        <v/>
      </c>
      <c r="K805">
        <f>J805*(1+((Inputs!$B$12*(1+Inputs!$B$13/100))*0.01+Inputs!$B$14*0.0025)/100)*(1+Inputs!$B$15/100)*(1+Inputs!$B$16/100)*(5000/(6000+Inputs!$B$42*(1-(Inputs!$B$19+0)/100)))*(1+(Inputs!$B$24+((C822=TRUE)*(F822-Calc!F24))+((C823=TRUE)*(F823-Calc!F25))+B836)/100)*(1+1.2*IF(C806=TRUE,F806,0)/100)*(1+(IF(Skills!A7="EMPOWERED_PIERCING_ARROW",Inputs!$B$17+((C820=TRUE)*(F820-Calc!F22)),Inputs!$B$18+((C825=TRUE)*(F825-Calc!F27))))/100)*((1+(((C811=TRUE)*F811)+((C812=TRUE)*IF(Inputs!$B$38="pvp",F812,(1-Summary!$B$55)*(F812)+Summary!$B$55*(0)))+((C813=TRUE)*F813*IF(AND(Inputs!$B$38&lt;&gt;"pvp",Inputs!$B$43&gt;0),(((R813-1)*(Skills!T15*(1+Inputs!$B$34/100))+MIN((Skills!T15*(1+Inputs!$B$34/100)),MAX(0,Inputs!$B$43-((R813-1)*Skills!D15))))/Inputs!$B$43),IF(Inputs!$B$38="pvp",MIN((Skills!T15*(1+Inputs!$B$34/100)),15)/15,(Skills!T15*(1+Inputs!$B$34/100))/Skills!D15)))+((C810=TRUE)*F810)+((C827=TRUE)*(F827-Calc!F29)))/100)*I805)</f>
        <v/>
      </c>
      <c r="L805">
        <f>K805*(MIN(Inputs!$B$22+((C821=TRUE)*(F821-Calc!F23)),Inputs!$B$23+((C826=TRUE)*(F826-Calc!F28)))/100+(Inputs!$B$23+((C826=TRUE)*(F826-Calc!F28)))/100)/2</f>
        <v/>
      </c>
      <c r="M805">
        <f>L805*(1+(Inputs!$B$10+0+B835)/100)</f>
        <v/>
      </c>
      <c r="N805">
        <f>L805*(1-MIN((Inputs!$B$9+((C817=TRUE)*(F817-Calc!F19))+B830),100)/100)+M805*(MIN((Inputs!$B$9+((C817=TRUE)*(F817-Calc!F19))+B830),100)/100)</f>
        <v/>
      </c>
      <c r="O805">
        <f>(1-Summary!$B$55)*T805+Summary!$B$55*V805</f>
        <v/>
      </c>
      <c r="P805">
        <f>IF(B840=0,0,O805/B840)</f>
        <v/>
      </c>
      <c r="Q805">
        <f>IFERROR(1/IF(Inputs!$B$38="pvp",15,MAX(0.1,Skills!D7-IF(Skills!E7=TRUE,Inputs!$B$32,0))),0)</f>
        <v/>
      </c>
      <c r="R805">
        <f>IF(AND(Inputs!$B$38&lt;&gt;"pvp",Inputs!$B$43&gt;0),IF(MAX(0,Inputs!$B$43-B837)&lt;=0,0,(INT(MAX(0,Inputs!$B$43-B837)/IF(Inputs!$B$38="pvp",15,MAX(0.1,Skills!D7-IF(Skills!E7=TRUE,Inputs!$B$32,0))))+1)),0)</f>
        <v/>
      </c>
      <c r="S805">
        <f>IFERROR((H805*N805*IF(AND(Inputs!$B$38&lt;&gt;"pvp",Inputs!$B$43&gt;0),((Skills!G7*((R805-1)*IF(Skills!H7&gt;0,Skills!I7/Skills!H7,1)+IF(Skills!H7&gt;0,MIN(Skills!I7,MAX(0,MAX(0,Inputs!$B$43-B837)-((R805-1)*IF(Inputs!$B$38="pvp",15,MAX(0.1,Skills!D7-IF(Skills!E7=TRUE,Inputs!$B$32,0))))))/Skills!H7,1)))/Inputs!$B$43),G805*Q805))/N805*IF(Inputs!$B$38="pvp",1,(1-Summary!$B$55)*1+Summary!$B$55*(MIN(Skills!R7,Inputs!$B$37))),0)</f>
        <v/>
      </c>
      <c r="T805">
        <f>IF(C805,(H805*N805*IF(AND(Inputs!$B$38&lt;&gt;"pvp",Inputs!$B$43&gt;0),((Skills!G7*((R805-1)*IF(Skills!H7&gt;0,Skills!I7/Skills!H7,1)+IF(Skills!H7&gt;0,MIN(Skills!I7,MAX(0,MAX(0,Inputs!$B$43-B837)-((R805-1)*IF(Inputs!$B$38="pvp",15,MAX(0.1,Skills!D7-IF(Skills!E7=TRUE,Inputs!$B$32,0))))))/Skills!H7,1)))/Inputs!$B$43),G805*Q805))*IF(Inputs!$B$38="pvp",1,1+(Inputs!$B$20+0+Skills!P7)/100),0)</f>
        <v/>
      </c>
      <c r="V805">
        <f>IF(C805,(H805*N805*IF(AND(Inputs!$B$38&lt;&gt;"pvp",Inputs!$B$43&gt;0),((Skills!G7*((R805-1)*IF(Skills!H7&gt;0,Skills!I7/Skills!H7,1)+IF(Skills!H7&gt;0,MIN(Skills!I7,MAX(0,MAX(0,Inputs!$B$43-B837)-((R805-1)*IF(Inputs!$B$38="pvp",15,MAX(0.1,Skills!D7-IF(Skills!E7=TRUE,Inputs!$B$32,0))))))/Skills!H7,1)))/Inputs!$B$43),G805*Q805))*IF(Inputs!$B$38="pvp",1,(1+(Inputs!$B$21+Skills!Q7)/100)*(MIN(Skills!R7,Inputs!$B$37))),0)</f>
        <v/>
      </c>
    </row>
    <row r="806">
      <c r="A806">
        <f>Skills!A8</f>
        <v/>
      </c>
      <c r="B806">
        <f>Skills!B8</f>
        <v/>
      </c>
      <c r="C806">
        <f>Inputs!$B$3&gt;=100</f>
        <v/>
      </c>
      <c r="D806">
        <f>IF(Skills!C8=1,60+Inputs!$B$25+Inputs!$B$29,IF(Skills!C8=2,90+(Inputs!$B$26+1)+Inputs!$B$29,IF(Skills!C8=3,120+Inputs!$B$27+Inputs!$B$29,MAX(0,(Inputs!$B$3-100)*3)+Inputs!$B$28+Inputs!$B$29)))</f>
        <v/>
      </c>
      <c r="E806">
        <f>INDEX(FactorTable!$B$2:$Y$301, MATCH(ROUND(MIN(300,MAX(1,D806)),0), FactorTable!$A$2:$A$301,0), Skills!M8+1)</f>
        <v/>
      </c>
      <c r="F806">
        <f>IF(Skills!N8=TRUE,(Skills!L8/10)*(E806/1000),Skills!L8/10)+Skills!O8</f>
        <v/>
      </c>
      <c r="G806" t="inlineStr"/>
      <c r="H806" t="inlineStr"/>
      <c r="I806" t="inlineStr">
        <is>
          <t>1</t>
        </is>
      </c>
      <c r="J806" t="inlineStr"/>
      <c r="K806" t="inlineStr"/>
      <c r="L806" t="inlineStr"/>
      <c r="M806" t="inlineStr"/>
      <c r="N806" t="inlineStr"/>
      <c r="O806" t="inlineStr"/>
      <c r="P806" t="inlineStr"/>
      <c r="Q806" t="inlineStr"/>
      <c r="R806" t="inlineStr"/>
      <c r="S806" t="inlineStr"/>
      <c r="T806" t="inlineStr"/>
      <c r="V806" t="inlineStr"/>
    </row>
    <row r="807">
      <c r="A807">
        <f>Skills!A9</f>
        <v/>
      </c>
      <c r="B807">
        <f>Skills!B9</f>
        <v/>
      </c>
      <c r="C807">
        <f>Inputs!$B$3&gt;=103</f>
        <v/>
      </c>
      <c r="D807">
        <f>IF(Skills!C9=1,60+Inputs!$B$25+Inputs!$B$29,IF(Skills!C9=2,90+(Inputs!$B$26+1)+Inputs!$B$29,IF(Skills!C9=3,120+Inputs!$B$27+Inputs!$B$29,MAX(0,(Inputs!$B$3-100)*3)+Inputs!$B$28+Inputs!$B$29)))</f>
        <v/>
      </c>
      <c r="E807">
        <f>INDEX(FactorTable!$B$2:$Y$301, MATCH(ROUND(MIN(300,MAX(1,D807)),0), FactorTable!$A$2:$A$301,0), Skills!M9+1)</f>
        <v/>
      </c>
      <c r="F807">
        <f>IF(Skills!N9=TRUE,(Skills!L9/10)*(E807/1000),Skills!L9/10)+Skills!O9</f>
        <v/>
      </c>
      <c r="G807">
        <f>Skills!G9*IF(Skills!H9&gt;0,Skills!I9/Skills!H9,1)</f>
        <v/>
      </c>
      <c r="H807">
        <f>1-(1-Skills!J9/100)^Skills!K9</f>
        <v/>
      </c>
      <c r="I807" t="inlineStr">
        <is>
          <t>1</t>
        </is>
      </c>
      <c r="J807">
        <f>((Inputs!$B$6*(1+Inputs!$B$7/100))+(((Inputs!$B$12*(1+Inputs!$B$13/100))-(Inputs!$B$12*(1+Inputs!$B$13/100)))+0.25*(Inputs!$B$14-Inputs!$B$14))*(1+Inputs!$B$7/100))*(F807/100)</f>
        <v/>
      </c>
      <c r="K807">
        <f>J807*(1+((Inputs!$B$12*(1+Inputs!$B$13/100))*0.01+Inputs!$B$14*0.0025)/100)*(1+Inputs!$B$15/100)*(1+Inputs!$B$16/100)*(5000/(6000+Inputs!$B$42*(1-(Inputs!$B$19+0)/100)))*(1+(Inputs!$B$24+((C822=TRUE)*(F822-Calc!F24))+((C823=TRUE)*(F823-Calc!F25))+B836)/100)*(1+(IF(Skills!A9="EMPOWERED_PIERCING_ARROW",Inputs!$B$17+((C820=TRUE)*(F820-Calc!F22)),Inputs!$B$18+((C825=TRUE)*(F825-Calc!F27))))/100)*((1+(((C811=TRUE)*F811)+((C812=TRUE)*IF(Inputs!$B$38="pvp",F812,(1-Summary!$B$55)*(F812)+Summary!$B$55*(0)))+((C813=TRUE)*F813*IF(AND(Inputs!$B$38&lt;&gt;"pvp",Inputs!$B$43&gt;0),(((R813-1)*(Skills!T15*(1+Inputs!$B$34/100))+MIN((Skills!T15*(1+Inputs!$B$34/100)),MAX(0,Inputs!$B$43-((R813-1)*Skills!D15))))/Inputs!$B$43),IF(Inputs!$B$38="pvp",MIN((Skills!T15*(1+Inputs!$B$34/100)),15)/15,(Skills!T15*(1+Inputs!$B$34/100))/Skills!D15)))+((C810=TRUE)*F810)+((C827=TRUE)*(F827-Calc!F29)))/100)*I807)</f>
        <v/>
      </c>
      <c r="L807">
        <f>K807*(MIN(Inputs!$B$22+((C821=TRUE)*(F821-Calc!F23)),Inputs!$B$23+((C826=TRUE)*(F826-Calc!F28)))/100+(Inputs!$B$23+((C826=TRUE)*(F826-Calc!F28)))/100)/2</f>
        <v/>
      </c>
      <c r="M807">
        <f>L807*(1+(Inputs!$B$10+0+B835)/100)</f>
        <v/>
      </c>
      <c r="N807">
        <f>L807*(1-MIN((Inputs!$B$9+((C817=TRUE)*(F817-Calc!F19))+B830),100)/100)+M807*(MIN((Inputs!$B$9+((C817=TRUE)*(F817-Calc!F19))+B830),100)/100)</f>
        <v/>
      </c>
      <c r="O807">
        <f>(1-Summary!$B$55)*T807+Summary!$B$55*V807</f>
        <v/>
      </c>
      <c r="P807">
        <f>IF(B840=0,0,O807/B840)</f>
        <v/>
      </c>
      <c r="Q807">
        <f>IFERROR(1/IF(Inputs!$B$38="pvp",15,MAX(0.1,Skills!D9-IF(Skills!E9=TRUE,Inputs!$B$32,0))),0)</f>
        <v/>
      </c>
      <c r="R807">
        <f>IF(AND(Inputs!$B$38&lt;&gt;"pvp",Inputs!$B$43&gt;0),IF(MAX(0,Inputs!$B$43-B837)&lt;=0,0,(INT(MAX(0,Inputs!$B$43-B837)/IF(Inputs!$B$38="pvp",15,MAX(0.1,Skills!D9-IF(Skills!E9=TRUE,Inputs!$B$32,0))))+1)),0)</f>
        <v/>
      </c>
      <c r="S807">
        <f>IFERROR((H807*N807*IF(AND(Inputs!$B$38&lt;&gt;"pvp",Inputs!$B$43&gt;0),((Skills!G9*((R807-1)*IF(Skills!H9&gt;0,Skills!I9/Skills!H9,1)+IF(Skills!H9&gt;0,MIN(Skills!I9,MAX(0,MAX(0,Inputs!$B$43-B837)-((R807-1)*IF(Inputs!$B$38="pvp",15,MAX(0.1,Skills!D9-IF(Skills!E9=TRUE,Inputs!$B$32,0))))))/Skills!H9,1)))/Inputs!$B$43),G807*Q807))/N807*IF(Inputs!$B$38="pvp",1,(1-Summary!$B$55)*1+Summary!$B$55*(MIN(Skills!R9,Inputs!$B$37))),0)</f>
        <v/>
      </c>
      <c r="T807">
        <f>IF(C807,(H807*N807*IF(AND(Inputs!$B$38&lt;&gt;"pvp",Inputs!$B$43&gt;0),((Skills!G9*((R807-1)*IF(Skills!H9&gt;0,Skills!I9/Skills!H9,1)+IF(Skills!H9&gt;0,MIN(Skills!I9,MAX(0,MAX(0,Inputs!$B$43-B837)-((R807-1)*IF(Inputs!$B$38="pvp",15,MAX(0.1,Skills!D9-IF(Skills!E9=TRUE,Inputs!$B$32,0))))))/Skills!H9,1)))/Inputs!$B$43),G807*Q807))*IF(Inputs!$B$38="pvp",1,1+(Inputs!$B$20+0+Skills!P9)/100),0)</f>
        <v/>
      </c>
      <c r="V807">
        <f>IF(C807,(H807*N807*IF(AND(Inputs!$B$38&lt;&gt;"pvp",Inputs!$B$43&gt;0),((Skills!G9*((R807-1)*IF(Skills!H9&gt;0,Skills!I9/Skills!H9,1)+IF(Skills!H9&gt;0,MIN(Skills!I9,MAX(0,MAX(0,Inputs!$B$43-B837)-((R807-1)*IF(Inputs!$B$38="pvp",15,MAX(0.1,Skills!D9-IF(Skills!E9=TRUE,Inputs!$B$32,0))))))/Skills!H9,1)))/Inputs!$B$43),G807*Q807))*IF(Inputs!$B$38="pvp",1,(1+(Inputs!$B$21+Skills!Q9)/100)*(MIN(Skills!R9,Inputs!$B$37))),0)</f>
        <v/>
      </c>
    </row>
    <row r="808">
      <c r="A808">
        <f>Skills!A10</f>
        <v/>
      </c>
      <c r="B808">
        <f>Skills!B10</f>
        <v/>
      </c>
      <c r="C808">
        <f>Inputs!$B$3&gt;=107</f>
        <v/>
      </c>
      <c r="D808">
        <f>IF(Skills!C10=1,60+Inputs!$B$25+Inputs!$B$29,IF(Skills!C10=2,90+(Inputs!$B$26+1)+Inputs!$B$29,IF(Skills!C10=3,120+Inputs!$B$27+Inputs!$B$29,MAX(0,(Inputs!$B$3-100)*3)+Inputs!$B$28+Inputs!$B$29)))</f>
        <v/>
      </c>
      <c r="E808">
        <f>INDEX(FactorTable!$B$2:$Y$301, MATCH(ROUND(MIN(300,MAX(1,D808)),0), FactorTable!$A$2:$A$301,0), Skills!M10+1)</f>
        <v/>
      </c>
      <c r="F808">
        <f>IF(Skills!N10=TRUE,(Skills!L10/10)*(E808/1000),Skills!L10/10)+Skills!O10</f>
        <v/>
      </c>
      <c r="G808">
        <f>Skills!G10*IF(Skills!H10&gt;0,Skills!I10/Skills!H10,1)</f>
        <v/>
      </c>
      <c r="H808">
        <f>1-(1-Skills!J10/100)^Skills!K10</f>
        <v/>
      </c>
      <c r="I808" t="inlineStr">
        <is>
          <t>1</t>
        </is>
      </c>
      <c r="J808">
        <f>((Inputs!$B$6*(1+Inputs!$B$7/100))+(((Inputs!$B$12*(1+Inputs!$B$13/100))-(Inputs!$B$12*(1+Inputs!$B$13/100)))+0.25*(Inputs!$B$14-Inputs!$B$14))*(1+Inputs!$B$7/100))*(F808/100)</f>
        <v/>
      </c>
      <c r="K808">
        <f>J808*(1+((Inputs!$B$12*(1+Inputs!$B$13/100))*0.01+Inputs!$B$14*0.0025)/100)*(1+Inputs!$B$15/100)*(1+Inputs!$B$16/100)*(5000/(6000+Inputs!$B$42*(1-(Inputs!$B$19+0)/100)))*(1+(Inputs!$B$24+((C822=TRUE)*(F822-Calc!F24))+((C823=TRUE)*(F823-Calc!F25))+B836)/100)*(1+(IF(Skills!A10="EMPOWERED_PIERCING_ARROW",Inputs!$B$17+((C820=TRUE)*(F820-Calc!F22)),Inputs!$B$18+((C825=TRUE)*(F825-Calc!F27))))/100)*((1+(((C811=TRUE)*F811)+((C812=TRUE)*IF(Inputs!$B$38="pvp",F812,(1-Summary!$B$55)*(F812)+Summary!$B$55*(0)))+((C813=TRUE)*F813*IF(AND(Inputs!$B$38&lt;&gt;"pvp",Inputs!$B$43&gt;0),(((R813-1)*(Skills!T15*(1+Inputs!$B$34/100))+MIN((Skills!T15*(1+Inputs!$B$34/100)),MAX(0,Inputs!$B$43-((R813-1)*Skills!D15))))/Inputs!$B$43),IF(Inputs!$B$38="pvp",MIN((Skills!T15*(1+Inputs!$B$34/100)),15)/15,(Skills!T15*(1+Inputs!$B$34/100))/Skills!D15)))+((C810=TRUE)*F810)+((C827=TRUE)*(F827-Calc!F29)))/100)*I808)</f>
        <v/>
      </c>
      <c r="L808">
        <f>K808*(MIN(Inputs!$B$22+((C821=TRUE)*(F821-Calc!F23)),Inputs!$B$23+((C826=TRUE)*(F826-Calc!F28)))/100+(Inputs!$B$23+((C826=TRUE)*(F826-Calc!F28)))/100)/2</f>
        <v/>
      </c>
      <c r="M808">
        <f>L808*(1+(Inputs!$B$10+0+B835)/100)</f>
        <v/>
      </c>
      <c r="N808">
        <f>L808*(1-MIN((Inputs!$B$9+((C817=TRUE)*(F817-Calc!F19))+B830),100)/100)+M808*(MIN((Inputs!$B$9+((C817=TRUE)*(F817-Calc!F19))+B830),100)/100)</f>
        <v/>
      </c>
      <c r="O808">
        <f>(1-Summary!$B$55)*T808+Summary!$B$55*V808</f>
        <v/>
      </c>
      <c r="P808">
        <f>IF(B840=0,0,O808/B840)</f>
        <v/>
      </c>
      <c r="Q808" t="n">
        <v>0</v>
      </c>
      <c r="R808" t="n">
        <v>0</v>
      </c>
      <c r="S808" t="n">
        <v>0</v>
      </c>
      <c r="T808">
        <f>IF(C808,(0.15*SUMPRODUCT((Skills!U2:U29=TRUE)*(C800:C827=TRUE)*S800:S827)*Skills!G10*N808)*IF(Inputs!$B$38="pvp",1,1+(Inputs!$B$20+0+Skills!P10)/100),0)</f>
        <v/>
      </c>
      <c r="V808">
        <f>IF(C808,(0.15*SUMPRODUCT((Skills!U2:U29=TRUE)*(C800:C827=TRUE)*S800:S827)*Skills!G10*N808)*IF(Inputs!$B$38="pvp",1,(1+(Inputs!$B$21+Skills!Q10)/100)*(MIN(Skills!R10,Inputs!$B$37))),0)</f>
        <v/>
      </c>
    </row>
    <row r="809">
      <c r="A809">
        <f>Skills!A11</f>
        <v/>
      </c>
      <c r="B809">
        <f>Skills!B11</f>
        <v/>
      </c>
      <c r="C809">
        <f>Inputs!$B$3&gt;=110</f>
        <v/>
      </c>
      <c r="D809">
        <f>IF(Skills!C11=1,60+Inputs!$B$25+Inputs!$B$29,IF(Skills!C11=2,90+(Inputs!$B$26+1)+Inputs!$B$29,IF(Skills!C11=3,120+Inputs!$B$27+Inputs!$B$29,MAX(0,(Inputs!$B$3-100)*3)+Inputs!$B$28+Inputs!$B$29)))</f>
        <v/>
      </c>
      <c r="E809">
        <f>INDEX(FactorTable!$B$2:$Y$301, MATCH(ROUND(MIN(300,MAX(1,D809)),0), FactorTable!$A$2:$A$301,0), Skills!M11+1)</f>
        <v/>
      </c>
      <c r="F809">
        <f>IF(Skills!N11=TRUE,(Skills!L11/10)*(E809/1000),Skills!L11/10)+Skills!O11</f>
        <v/>
      </c>
      <c r="G809">
        <f>Skills!G11*IF(Skills!H11&gt;0,Skills!I11/Skills!H11,1)</f>
        <v/>
      </c>
      <c r="H809">
        <f>1-(1-Skills!J11/100)^Skills!K11</f>
        <v/>
      </c>
      <c r="I809" t="inlineStr">
        <is>
          <t>1</t>
        </is>
      </c>
      <c r="J809">
        <f>((Inputs!$B$6*(1+Inputs!$B$7/100))+(((Inputs!$B$12*(1+Inputs!$B$13/100))-(Inputs!$B$12*(1+Inputs!$B$13/100)))+0.25*(Inputs!$B$14-Inputs!$B$14))*(1+Inputs!$B$7/100))*(F809/100)</f>
        <v/>
      </c>
      <c r="K809">
        <f>J809*(1+((Inputs!$B$12*(1+Inputs!$B$13/100))*0.01+Inputs!$B$14*0.0025)/100)*(1+Inputs!$B$15/100)*(1+Inputs!$B$16/100)*(5000/(6000+Inputs!$B$42*(1-(Inputs!$B$19+0)/100)))*(1+(Inputs!$B$24+((C822=TRUE)*(F822-Calc!F24))+((C823=TRUE)*(F823-Calc!F25))+B836)/100)*(1+(IF(Skills!A11="EMPOWERED_PIERCING_ARROW",Inputs!$B$17+((C820=TRUE)*(F820-Calc!F22)),Inputs!$B$18+((C825=TRUE)*(F825-Calc!F27))))/100)*((1+(((C811=TRUE)*F811)+((C812=TRUE)*IF(Inputs!$B$38="pvp",F812,(1-Summary!$B$55)*(F812)+Summary!$B$55*(0)))+((C813=TRUE)*F813*IF(AND(Inputs!$B$38&lt;&gt;"pvp",Inputs!$B$43&gt;0),(((R813-1)*(Skills!T15*(1+Inputs!$B$34/100))+MIN((Skills!T15*(1+Inputs!$B$34/100)),MAX(0,Inputs!$B$43-((R813-1)*Skills!D15))))/Inputs!$B$43),IF(Inputs!$B$38="pvp",MIN((Skills!T15*(1+Inputs!$B$34/100)),15)/15,(Skills!T15*(1+Inputs!$B$34/100))/Skills!D15)))+((C810=TRUE)*F810)+((C827=TRUE)*(F827-Calc!F29)))/100)*I809)</f>
        <v/>
      </c>
      <c r="L809">
        <f>K809*(MIN(Inputs!$B$22+((C821=TRUE)*(F821-Calc!F23)),Inputs!$B$23+((C826=TRUE)*(F826-Calc!F28)))/100+(Inputs!$B$23+((C826=TRUE)*(F826-Calc!F28)))/100)/2</f>
        <v/>
      </c>
      <c r="M809">
        <f>L809*(1+(Inputs!$B$10+0+B835)/100)</f>
        <v/>
      </c>
      <c r="N809">
        <f>L809*(1-MIN((Inputs!$B$9+((C817=TRUE)*(F817-Calc!F19))+B830),100)/100)+M809*(MIN((Inputs!$B$9+((C817=TRUE)*(F817-Calc!F19))+B830),100)/100)</f>
        <v/>
      </c>
      <c r="O809">
        <f>(1-Summary!$B$55)*T809+Summary!$B$55*V809</f>
        <v/>
      </c>
      <c r="P809">
        <f>IF(B840=0,0,O809/B840)</f>
        <v/>
      </c>
      <c r="Q809">
        <f>IFERROR(1/IF(Inputs!$B$38="pvp",15,MAX(0.1,Skills!D11-IF(Skills!E11=TRUE,Inputs!$B$32,0))),0)</f>
        <v/>
      </c>
      <c r="R809">
        <f>IF(AND(Inputs!$B$38&lt;&gt;"pvp",Inputs!$B$43&gt;0),IF(MAX(0,Inputs!$B$43-B837)&lt;=0,0,(INT(MAX(0,Inputs!$B$43-B837)/IF(Inputs!$B$38="pvp",15,MAX(0.1,Skills!D11-IF(Skills!E11=TRUE,Inputs!$B$32,0))))+1)),0)</f>
        <v/>
      </c>
      <c r="S809">
        <f>IFERROR((H809*N809*IF(AND(Inputs!$B$38&lt;&gt;"pvp",Inputs!$B$43&gt;0),((Skills!G11*((R809-1)*IF(Skills!H11&gt;0,Skills!I11/Skills!H11,1)+IF(Skills!H11&gt;0,MIN(Skills!I11,MAX(0,MAX(0,Inputs!$B$43-B837)-((R809-1)*IF(Inputs!$B$38="pvp",15,MAX(0.1,Skills!D11-IF(Skills!E11=TRUE,Inputs!$B$32,0))))))/Skills!H11,1)))/Inputs!$B$43),G809*Q809))/N809*IF(Inputs!$B$38="pvp",1,(1-Summary!$B$55)*1+Summary!$B$55*(MIN(Skills!R11,Inputs!$B$37))),0)</f>
        <v/>
      </c>
      <c r="T809">
        <f>IF(C809,(H809*N809*IF(AND(Inputs!$B$38&lt;&gt;"pvp",Inputs!$B$43&gt;0),((Skills!G11*((R809-1)*IF(Skills!H11&gt;0,Skills!I11/Skills!H11,1)+IF(Skills!H11&gt;0,MIN(Skills!I11,MAX(0,MAX(0,Inputs!$B$43-B837)-((R809-1)*IF(Inputs!$B$38="pvp",15,MAX(0.1,Skills!D11-IF(Skills!E11=TRUE,Inputs!$B$32,0))))))/Skills!H11,1)))/Inputs!$B$43),G809*Q809))*IF(Inputs!$B$38="pvp",1,1+(Inputs!$B$20+0+Skills!P11)/100),0)</f>
        <v/>
      </c>
      <c r="V809">
        <f>IF(C809,(H809*N809*IF(AND(Inputs!$B$38&lt;&gt;"pvp",Inputs!$B$43&gt;0),((Skills!G11*((R809-1)*IF(Skills!H11&gt;0,Skills!I11/Skills!H11,1)+IF(Skills!H11&gt;0,MIN(Skills!I11,MAX(0,MAX(0,Inputs!$B$43-B837)-((R809-1)*IF(Inputs!$B$38="pvp",15,MAX(0.1,Skills!D11-IF(Skills!E11=TRUE,Inputs!$B$32,0))))))/Skills!H11,1)))/Inputs!$B$43),G809*Q809))*IF(Inputs!$B$38="pvp",1,(1+(Inputs!$B$21+Skills!Q11)/100)*(MIN(Skills!R11,Inputs!$B$37))),0)</f>
        <v/>
      </c>
    </row>
    <row r="810">
      <c r="A810">
        <f>Skills!A12</f>
        <v/>
      </c>
      <c r="B810">
        <f>Skills!B12</f>
        <v/>
      </c>
      <c r="C810">
        <f>Inputs!$B$3&gt;=60</f>
        <v/>
      </c>
      <c r="D810">
        <f>IF(Skills!C12=1,60+Inputs!$B$25+Inputs!$B$29,IF(Skills!C12=2,90+(Inputs!$B$26+1)+Inputs!$B$29,IF(Skills!C12=3,120+Inputs!$B$27+Inputs!$B$29,MAX(0,(Inputs!$B$3-100)*3)+Inputs!$B$28+Inputs!$B$29)))</f>
        <v/>
      </c>
      <c r="E810">
        <f>INDEX(FactorTable!$B$2:$Y$301, MATCH(ROUND(MIN(300,MAX(1,D810)),0), FactorTable!$A$2:$A$301,0), Skills!M12+1)</f>
        <v/>
      </c>
      <c r="F810">
        <f>IF(Skills!N12=TRUE,(Skills!L12/10)*(E810/1000),Skills!L12/10)+Skills!O12</f>
        <v/>
      </c>
      <c r="G810">
        <f>Skills!G12*IF(Skills!H12&gt;0,Skills!I12/Skills!H12,1)</f>
        <v/>
      </c>
      <c r="H810">
        <f>1-(1-Skills!J12/100)^Skills!K12</f>
        <v/>
      </c>
      <c r="I810" t="inlineStr">
        <is>
          <t>1</t>
        </is>
      </c>
      <c r="J810" t="inlineStr"/>
      <c r="K810" t="inlineStr"/>
      <c r="L810" t="inlineStr"/>
      <c r="M810" t="inlineStr"/>
      <c r="N810" t="inlineStr"/>
      <c r="O810">
        <f>(1-Summary!$B$55)*T810+Summary!$B$55*V810</f>
        <v/>
      </c>
      <c r="P810">
        <f>IF(B840=0,0,O810/B840)</f>
        <v/>
      </c>
      <c r="Q810" t="n">
        <v>0</v>
      </c>
      <c r="R810" t="n">
        <v>0</v>
      </c>
      <c r="S810" t="n">
        <v>0</v>
      </c>
      <c r="T810" t="n">
        <v>0</v>
      </c>
      <c r="V810" t="n">
        <v>0</v>
      </c>
    </row>
    <row r="811">
      <c r="A811">
        <f>Skills!A13</f>
        <v/>
      </c>
      <c r="B811">
        <f>Skills!B13</f>
        <v/>
      </c>
      <c r="C811">
        <f>Inputs!$B$3&gt;=74</f>
        <v/>
      </c>
      <c r="D811">
        <f>IF(Skills!C13=1,60+Inputs!$B$25+Inputs!$B$29,IF(Skills!C13=2,90+(Inputs!$B$26+1)+Inputs!$B$29,IF(Skills!C13=3,120+Inputs!$B$27+Inputs!$B$29,MAX(0,(Inputs!$B$3-100)*3)+Inputs!$B$28+Inputs!$B$29)))</f>
        <v/>
      </c>
      <c r="E811">
        <f>INDEX(FactorTable!$B$2:$Y$301, MATCH(ROUND(MIN(300,MAX(1,D811)),0), FactorTable!$A$2:$A$301,0), Skills!M13+1)</f>
        <v/>
      </c>
      <c r="F811">
        <f>IF(Skills!N13=TRUE,(Skills!L13/10)*(E811/1000),Skills!L13/10)+Skills!O13</f>
        <v/>
      </c>
      <c r="G811">
        <f>Skills!G13*IF(Skills!H13&gt;0,Skills!I13/Skills!H13,1)</f>
        <v/>
      </c>
      <c r="H811">
        <f>1-(1-Skills!J13/100)^Skills!K13</f>
        <v/>
      </c>
      <c r="I811" t="inlineStr">
        <is>
          <t>1</t>
        </is>
      </c>
      <c r="J811" t="inlineStr"/>
      <c r="K811" t="inlineStr"/>
      <c r="L811" t="inlineStr"/>
      <c r="M811" t="inlineStr"/>
      <c r="N811" t="inlineStr"/>
      <c r="O811">
        <f>(1-Summary!$B$55)*T811+Summary!$B$55*V811</f>
        <v/>
      </c>
      <c r="P811">
        <f>IF(B840=0,0,O811/B840)</f>
        <v/>
      </c>
      <c r="Q811" t="n">
        <v>0</v>
      </c>
      <c r="R811" t="n">
        <v>0</v>
      </c>
      <c r="S811" t="n">
        <v>0</v>
      </c>
      <c r="T811" t="n">
        <v>0</v>
      </c>
      <c r="V811" t="n">
        <v>0</v>
      </c>
    </row>
    <row r="812">
      <c r="A812">
        <f>Skills!A14</f>
        <v/>
      </c>
      <c r="B812">
        <f>Skills!B14</f>
        <v/>
      </c>
      <c r="C812">
        <f>Inputs!$B$3&gt;=74</f>
        <v/>
      </c>
      <c r="D812">
        <f>IF(Skills!C14=1,60+Inputs!$B$25+Inputs!$B$29,IF(Skills!C14=2,90+(Inputs!$B$26+1)+Inputs!$B$29,IF(Skills!C14=3,120+Inputs!$B$27+Inputs!$B$29,MAX(0,(Inputs!$B$3-100)*3)+Inputs!$B$28+Inputs!$B$29)))</f>
        <v/>
      </c>
      <c r="E812">
        <f>INDEX(FactorTable!$B$2:$Y$301, MATCH(ROUND(MIN(300,MAX(1,D812)),0), FactorTable!$A$2:$A$301,0), Skills!M14+1)</f>
        <v/>
      </c>
      <c r="F812">
        <f>IF(Skills!N14=TRUE,(Skills!L14/10)*(E812/1000),Skills!L14/10)+Skills!O14</f>
        <v/>
      </c>
      <c r="G812">
        <f>Skills!G14*IF(Skills!H14&gt;0,Skills!I14/Skills!H14,1)</f>
        <v/>
      </c>
      <c r="H812">
        <f>1-(1-Skills!J14/100)^Skills!K14</f>
        <v/>
      </c>
      <c r="I812" t="inlineStr">
        <is>
          <t>1</t>
        </is>
      </c>
      <c r="J812" t="inlineStr"/>
      <c r="K812" t="inlineStr"/>
      <c r="L812" t="inlineStr"/>
      <c r="M812" t="inlineStr"/>
      <c r="N812" t="inlineStr"/>
      <c r="O812">
        <f>(1-Summary!$B$55)*T812+Summary!$B$55*V812</f>
        <v/>
      </c>
      <c r="P812">
        <f>IF(B840=0,0,O812/B840)</f>
        <v/>
      </c>
      <c r="Q812" t="n">
        <v>0</v>
      </c>
      <c r="R812" t="n">
        <v>0</v>
      </c>
      <c r="S812" t="n">
        <v>0</v>
      </c>
      <c r="T812" t="n">
        <v>0</v>
      </c>
      <c r="V812" t="n">
        <v>0</v>
      </c>
    </row>
    <row r="813">
      <c r="A813">
        <f>Skills!A15</f>
        <v/>
      </c>
      <c r="B813">
        <f>Skills!B15</f>
        <v/>
      </c>
      <c r="C813">
        <f>Inputs!$B$3&gt;=117</f>
        <v/>
      </c>
      <c r="D813">
        <f>IF(Skills!C15=1,60+Inputs!$B$25+Inputs!$B$29,IF(Skills!C15=2,90+(Inputs!$B$26+1)+Inputs!$B$29,IF(Skills!C15=3,120+Inputs!$B$27+Inputs!$B$29,MAX(0,(Inputs!$B$3-100)*3)+Inputs!$B$28+Inputs!$B$29)))</f>
        <v/>
      </c>
      <c r="E813">
        <f>INDEX(FactorTable!$B$2:$Y$301, MATCH(ROUND(MIN(300,MAX(1,D813)),0), FactorTable!$A$2:$A$301,0), Skills!M15+1)</f>
        <v/>
      </c>
      <c r="F813">
        <f>IF(Skills!N15=TRUE,(Skills!L15/10)*(E813/1000),Skills!L15/10)+Skills!O15</f>
        <v/>
      </c>
      <c r="G813">
        <f>Skills!G15*IF(Skills!H15&gt;0,Skills!I15/Skills!H15,1)</f>
        <v/>
      </c>
      <c r="H813">
        <f>1-(1-Skills!J15/100)^Skills!K15</f>
        <v/>
      </c>
      <c r="I813" t="inlineStr">
        <is>
          <t>1</t>
        </is>
      </c>
      <c r="J813" t="inlineStr"/>
      <c r="K813" t="inlineStr"/>
      <c r="L813" t="inlineStr"/>
      <c r="M813" t="inlineStr"/>
      <c r="N813" t="inlineStr"/>
      <c r="O813">
        <f>(1-Summary!$B$55)*T813+Summary!$B$55*V813</f>
        <v/>
      </c>
      <c r="P813">
        <f>IF(B840=0,0,O813/B840)</f>
        <v/>
      </c>
      <c r="Q813">
        <f>IFERROR(1/IF(Inputs!$B$38="pvp",15,MAX(0.1,Skills!D15-IF(Skills!E15=TRUE,Inputs!$B$32,0))),0)</f>
        <v/>
      </c>
      <c r="R813">
        <f>IF(AND(Inputs!$B$38&lt;&gt;"pvp",Inputs!$B$43&gt;0),IF(Inputs!$B$43&lt;=0,0,(INT(Inputs!$B$43/IF(Inputs!$B$38="pvp",15,MAX(0.1,Skills!D15-IF(Skills!E15=TRUE,Inputs!$B$32,0))))+1)),0)</f>
        <v/>
      </c>
      <c r="S813" t="n">
        <v>0</v>
      </c>
      <c r="T813" t="n">
        <v>0</v>
      </c>
      <c r="V813" t="n">
        <v>0</v>
      </c>
    </row>
    <row r="814">
      <c r="A814">
        <f>Skills!A16</f>
        <v/>
      </c>
      <c r="B814">
        <f>Skills!B16</f>
        <v/>
      </c>
      <c r="C814">
        <f>Inputs!$B$3&gt;=115</f>
        <v/>
      </c>
      <c r="D814">
        <f>IF(Skills!C16=1,60+Inputs!$B$25+Inputs!$B$29,IF(Skills!C16=2,90+(Inputs!$B$26+1)+Inputs!$B$29,IF(Skills!C16=3,120+Inputs!$B$27+Inputs!$B$29,MAX(0,(Inputs!$B$3-100)*3)+Inputs!$B$28+Inputs!$B$29)))</f>
        <v/>
      </c>
      <c r="E814">
        <f>INDEX(FactorTable!$B$2:$Y$301, MATCH(ROUND(MIN(300,MAX(1,D814)),0), FactorTable!$A$2:$A$301,0), Skills!M16+1)</f>
        <v/>
      </c>
      <c r="F814">
        <f>IF(Skills!N16=TRUE,(Skills!L16/10)*(E814/1000),Skills!L16/10)+Skills!O16</f>
        <v/>
      </c>
      <c r="G814">
        <f>Skills!G16*IF(Skills!H16&gt;0,Skills!I16/Skills!H16,1)</f>
        <v/>
      </c>
      <c r="H814">
        <f>1-(1-Skills!J16/100)^Skills!K16</f>
        <v/>
      </c>
      <c r="I814" t="inlineStr">
        <is>
          <t>1</t>
        </is>
      </c>
      <c r="J814" t="inlineStr"/>
      <c r="K814" t="inlineStr"/>
      <c r="L814" t="inlineStr"/>
      <c r="M814" t="inlineStr"/>
      <c r="N814" t="inlineStr"/>
      <c r="O814">
        <f>(1-Summary!$B$55)*T814+Summary!$B$55*V814</f>
        <v/>
      </c>
      <c r="P814">
        <f>IF(B840=0,0,O814/B840)</f>
        <v/>
      </c>
      <c r="Q814">
        <f>IFERROR(1/IF(Inputs!$B$38="pvp",15,MAX(0.1,Skills!D16-IF(Skills!E16=TRUE,Inputs!$B$32,0))),0)</f>
        <v/>
      </c>
      <c r="R814">
        <f>IF(AND(Inputs!$B$38&lt;&gt;"pvp",Inputs!$B$43&gt;0),IF(Inputs!$B$43&lt;=0,0,(INT(Inputs!$B$43/IF(Inputs!$B$38="pvp",15,MAX(0.1,Skills!D16-IF(Skills!E16=TRUE,Inputs!$B$32,0))))+1)),0)</f>
        <v/>
      </c>
      <c r="S814" t="n">
        <v>0</v>
      </c>
      <c r="T814" t="n">
        <v>0</v>
      </c>
      <c r="V814" t="n">
        <v>0</v>
      </c>
    </row>
    <row r="815">
      <c r="A815">
        <f>Skills!A17</f>
        <v/>
      </c>
      <c r="B815">
        <f>Skills!B17</f>
        <v/>
      </c>
      <c r="C815">
        <f>Inputs!$B$3&gt;=72</f>
        <v/>
      </c>
      <c r="D815">
        <f>IF(Skills!C17=1,60+Inputs!$B$25+Inputs!$B$29,IF(Skills!C17=2,90+(Inputs!$B$26+1)+Inputs!$B$29,IF(Skills!C17=3,120+Inputs!$B$27+Inputs!$B$29,MAX(0,(Inputs!$B$3-100)*3)+Inputs!$B$28+Inputs!$B$29)))</f>
        <v/>
      </c>
      <c r="E815">
        <f>INDEX(FactorTable!$B$2:$Y$301, MATCH(ROUND(MIN(300,MAX(1,D815)),0), FactorTable!$A$2:$A$301,0), Skills!M17+1)</f>
        <v/>
      </c>
      <c r="F815">
        <f>IF(Skills!N17=TRUE,(Skills!L17/10)*(E815/1000),Skills!L17/10)+Skills!O17</f>
        <v/>
      </c>
      <c r="G815">
        <f>Skills!G17*IF(Skills!H17&gt;0,Skills!I17/Skills!H17,1)</f>
        <v/>
      </c>
      <c r="H815">
        <f>1-(1-Skills!J17/100)^Skills!K17</f>
        <v/>
      </c>
      <c r="I815" t="inlineStr">
        <is>
          <t>1</t>
        </is>
      </c>
      <c r="J815" t="inlineStr"/>
      <c r="K815" t="inlineStr"/>
      <c r="L815" t="inlineStr"/>
      <c r="M815" t="inlineStr"/>
      <c r="N815" t="inlineStr"/>
      <c r="O815">
        <f>(1-Summary!$B$55)*T815+Summary!$B$55*V815</f>
        <v/>
      </c>
      <c r="P815">
        <f>IF(B840=0,0,O815/B840)</f>
        <v/>
      </c>
      <c r="Q815" t="n">
        <v>0</v>
      </c>
      <c r="R815" t="n">
        <v>0</v>
      </c>
      <c r="S815" t="n">
        <v>0</v>
      </c>
      <c r="T815" t="n">
        <v>0</v>
      </c>
      <c r="V815" t="n">
        <v>0</v>
      </c>
    </row>
    <row r="816">
      <c r="A816">
        <f>Skills!A18</f>
        <v/>
      </c>
      <c r="B816">
        <f>Skills!B18</f>
        <v/>
      </c>
      <c r="C816">
        <f>TRUE</f>
        <v/>
      </c>
      <c r="D816">
        <f>IF(Skills!C18=1,60+Inputs!$B$25+Inputs!$B$29,IF(Skills!C18=2,90+(Inputs!$B$26+1)+Inputs!$B$29,IF(Skills!C18=3,120+Inputs!$B$27+Inputs!$B$29,MAX(0,(Inputs!$B$3-100)*3)+Inputs!$B$28+Inputs!$B$29)))</f>
        <v/>
      </c>
      <c r="E816">
        <f>INDEX(FactorTable!$B$2:$Y$301, MATCH(ROUND(MIN(300,MAX(1,D816)),0), FactorTable!$A$2:$A$301,0), Skills!M18+1)</f>
        <v/>
      </c>
      <c r="F816">
        <f>IF(Skills!N18=TRUE,(Skills!L18/10)*(E816/1000),Skills!L18/10)+Skills!O18</f>
        <v/>
      </c>
      <c r="G816">
        <f>Skills!G18*IF(Skills!H18&gt;0,Skills!I18/Skills!H18,1)</f>
        <v/>
      </c>
      <c r="H816">
        <f>1-(1-Skills!J18/100)^Skills!K18</f>
        <v/>
      </c>
      <c r="I816" t="inlineStr">
        <is>
          <t>1</t>
        </is>
      </c>
      <c r="J816" t="inlineStr"/>
      <c r="K816" t="inlineStr"/>
      <c r="L816" t="inlineStr"/>
      <c r="M816" t="inlineStr"/>
      <c r="N816" t="inlineStr"/>
      <c r="O816">
        <f>(1-Summary!$B$55)*T816+Summary!$B$55*V816</f>
        <v/>
      </c>
      <c r="P816">
        <f>IF(B840=0,0,O816/B840)</f>
        <v/>
      </c>
      <c r="Q816">
        <f>IFERROR(1/IF(Inputs!$B$38="pvp",15,MAX(0.1,Skills!D18-IF(Skills!E18=TRUE,Inputs!$B$32,0))),0)</f>
        <v/>
      </c>
      <c r="R816">
        <f>IF(AND(Inputs!$B$38&lt;&gt;"pvp",Inputs!$B$43&gt;0),IF(Inputs!$B$43&lt;=0,0,(INT(Inputs!$B$43/IF(Inputs!$B$38="pvp",15,MAX(0.1,Skills!D18-IF(Skills!E18=TRUE,Inputs!$B$32,0))))+1)),0)</f>
        <v/>
      </c>
      <c r="S816" t="n">
        <v>0</v>
      </c>
      <c r="T816" t="n">
        <v>0</v>
      </c>
      <c r="V816" t="n">
        <v>0</v>
      </c>
    </row>
    <row r="817">
      <c r="A817">
        <f>Skills!A19</f>
        <v/>
      </c>
      <c r="B817">
        <f>Skills!B19</f>
        <v/>
      </c>
      <c r="C817">
        <f>Inputs!$B$3&gt;=15</f>
        <v/>
      </c>
      <c r="D817">
        <f>IF(Skills!C19=1,60+Inputs!$B$25+Inputs!$B$29,IF(Skills!C19=2,90+(Inputs!$B$26+1)+Inputs!$B$29,IF(Skills!C19=3,120+Inputs!$B$27+Inputs!$B$29,MAX(0,(Inputs!$B$3-100)*3)+Inputs!$B$28+Inputs!$B$29)))</f>
        <v/>
      </c>
      <c r="E817">
        <f>INDEX(FactorTable!$B$2:$Y$301, MATCH(ROUND(MIN(300,MAX(1,D817)),0), FactorTable!$A$2:$A$301,0), Skills!M19+1)</f>
        <v/>
      </c>
      <c r="F817">
        <f>IF(Skills!N19=TRUE,(Skills!L19/10)*(E817/1000),Skills!L19/10)+Skills!O19</f>
        <v/>
      </c>
      <c r="G817">
        <f>Skills!G19*IF(Skills!H19&gt;0,Skills!I19/Skills!H19,1)</f>
        <v/>
      </c>
      <c r="H817">
        <f>1-(1-Skills!J19/100)^Skills!K19</f>
        <v/>
      </c>
      <c r="I817" t="inlineStr">
        <is>
          <t>1</t>
        </is>
      </c>
      <c r="J817" t="inlineStr"/>
      <c r="K817" t="inlineStr"/>
      <c r="L817" t="inlineStr"/>
      <c r="M817" t="inlineStr"/>
      <c r="N817" t="inlineStr"/>
      <c r="O817">
        <f>(1-Summary!$B$55)*T817+Summary!$B$55*V817</f>
        <v/>
      </c>
      <c r="P817">
        <f>IF(B840=0,0,O817/B840)</f>
        <v/>
      </c>
      <c r="Q817" t="n">
        <v>0</v>
      </c>
      <c r="R817" t="n">
        <v>0</v>
      </c>
      <c r="S817" t="n">
        <v>0</v>
      </c>
      <c r="T817" t="n">
        <v>0</v>
      </c>
      <c r="V817" t="n">
        <v>0</v>
      </c>
    </row>
    <row r="818">
      <c r="A818">
        <f>Skills!A20</f>
        <v/>
      </c>
      <c r="B818">
        <f>Skills!B20</f>
        <v/>
      </c>
      <c r="C818">
        <f>Inputs!$B$3&gt;=10</f>
        <v/>
      </c>
      <c r="D818">
        <f>IF(Skills!C20=1,60+Inputs!$B$25+Inputs!$B$29,IF(Skills!C20=2,90+(Inputs!$B$26+1)+Inputs!$B$29,IF(Skills!C20=3,120+Inputs!$B$27+Inputs!$B$29,MAX(0,(Inputs!$B$3-100)*3)+Inputs!$B$28+Inputs!$B$29)))</f>
        <v/>
      </c>
      <c r="E818">
        <f>INDEX(FactorTable!$B$2:$Y$301, MATCH(ROUND(MIN(300,MAX(1,D818)),0), FactorTable!$A$2:$A$301,0), Skills!M20+1)</f>
        <v/>
      </c>
      <c r="F818">
        <f>IF(Skills!N20=TRUE,(Skills!L20/10)*(E818/1000),Skills!L20/10)+Skills!O20</f>
        <v/>
      </c>
      <c r="G818">
        <f>Skills!G20*IF(Skills!H20&gt;0,Skills!I20/Skills!H20,1)</f>
        <v/>
      </c>
      <c r="H818">
        <f>1-(1-Skills!J20/100)^Skills!K20</f>
        <v/>
      </c>
      <c r="I818" t="inlineStr">
        <is>
          <t>1</t>
        </is>
      </c>
      <c r="J818" t="inlineStr"/>
      <c r="K818" t="inlineStr"/>
      <c r="L818" t="inlineStr"/>
      <c r="M818" t="inlineStr"/>
      <c r="N818" t="inlineStr"/>
      <c r="O818">
        <f>(1-Summary!$B$55)*T818+Summary!$B$55*V818</f>
        <v/>
      </c>
      <c r="P818">
        <f>IF(B840=0,0,O818/B840)</f>
        <v/>
      </c>
      <c r="Q818" t="n">
        <v>0</v>
      </c>
      <c r="R818" t="n">
        <v>0</v>
      </c>
      <c r="S818" t="n">
        <v>0</v>
      </c>
      <c r="T818" t="n">
        <v>0</v>
      </c>
      <c r="V818" t="n">
        <v>0</v>
      </c>
    </row>
    <row r="819">
      <c r="A819">
        <f>Skills!A21</f>
        <v/>
      </c>
      <c r="B819">
        <f>Skills!B21</f>
        <v/>
      </c>
      <c r="C819">
        <f>Inputs!$B$3&gt;=33</f>
        <v/>
      </c>
      <c r="D819">
        <f>IF(Skills!C21=1,60+Inputs!$B$25+Inputs!$B$29,IF(Skills!C21=2,90+(Inputs!$B$26+1)+Inputs!$B$29,IF(Skills!C21=3,120+Inputs!$B$27+Inputs!$B$29,MAX(0,(Inputs!$B$3-100)*3)+Inputs!$B$28+Inputs!$B$29)))</f>
        <v/>
      </c>
      <c r="E819">
        <f>INDEX(FactorTable!$B$2:$Y$301, MATCH(ROUND(MIN(300,MAX(1,D819)),0), FactorTable!$A$2:$A$301,0), Skills!M21+1)</f>
        <v/>
      </c>
      <c r="F819">
        <f>IF(Skills!N21=TRUE,(Skills!L21/10)*(E819/1000),Skills!L21/10)+Skills!O21</f>
        <v/>
      </c>
      <c r="G819">
        <f>Skills!G21*IF(Skills!H21&gt;0,Skills!I21/Skills!H21,1)</f>
        <v/>
      </c>
      <c r="H819">
        <f>1-(1-Skills!J21/100)^Skills!K21</f>
        <v/>
      </c>
      <c r="I819" t="inlineStr">
        <is>
          <t>1</t>
        </is>
      </c>
      <c r="J819" t="inlineStr"/>
      <c r="K819" t="inlineStr"/>
      <c r="L819" t="inlineStr"/>
      <c r="M819" t="inlineStr"/>
      <c r="N819" t="inlineStr"/>
      <c r="O819">
        <f>(1-Summary!$B$55)*T819+Summary!$B$55*V819</f>
        <v/>
      </c>
      <c r="P819">
        <f>IF(B840=0,0,O819/B840)</f>
        <v/>
      </c>
      <c r="Q819" t="n">
        <v>0</v>
      </c>
      <c r="R819" t="n">
        <v>0</v>
      </c>
      <c r="S819" t="n">
        <v>0</v>
      </c>
      <c r="T819" t="n">
        <v>0</v>
      </c>
      <c r="V819" t="n">
        <v>0</v>
      </c>
    </row>
    <row r="820">
      <c r="A820">
        <f>Skills!A22</f>
        <v/>
      </c>
      <c r="B820">
        <f>Skills!B22</f>
        <v/>
      </c>
      <c r="C820">
        <f>Inputs!$B$3&gt;=38</f>
        <v/>
      </c>
      <c r="D820">
        <f>IF(Skills!C22=1,60+Inputs!$B$25+Inputs!$B$29,IF(Skills!C22=2,90+(Inputs!$B$26+1)+Inputs!$B$29,IF(Skills!C22=3,120+Inputs!$B$27+Inputs!$B$29,MAX(0,(Inputs!$B$3-100)*3)+Inputs!$B$28+Inputs!$B$29)))</f>
        <v/>
      </c>
      <c r="E820">
        <f>INDEX(FactorTable!$B$2:$Y$301, MATCH(ROUND(MIN(300,MAX(1,D820)),0), FactorTable!$A$2:$A$301,0), Skills!M22+1)</f>
        <v/>
      </c>
      <c r="F820">
        <f>IF(Skills!N22=TRUE,(Skills!L22/10)*(E820/1000),Skills!L22/10)+Skills!O22</f>
        <v/>
      </c>
      <c r="G820">
        <f>Skills!G22*IF(Skills!H22&gt;0,Skills!I22/Skills!H22,1)</f>
        <v/>
      </c>
      <c r="H820">
        <f>1-(1-Skills!J22/100)^Skills!K22</f>
        <v/>
      </c>
      <c r="I820" t="inlineStr">
        <is>
          <t>1</t>
        </is>
      </c>
      <c r="J820" t="inlineStr"/>
      <c r="K820" t="inlineStr"/>
      <c r="L820" t="inlineStr"/>
      <c r="M820" t="inlineStr"/>
      <c r="N820" t="inlineStr"/>
      <c r="O820">
        <f>(1-Summary!$B$55)*T820+Summary!$B$55*V820</f>
        <v/>
      </c>
      <c r="P820">
        <f>IF(B840=0,0,O820/B840)</f>
        <v/>
      </c>
      <c r="Q820" t="n">
        <v>0</v>
      </c>
      <c r="R820" t="n">
        <v>0</v>
      </c>
      <c r="S820" t="n">
        <v>0</v>
      </c>
      <c r="T820" t="n">
        <v>0</v>
      </c>
      <c r="V820" t="n">
        <v>0</v>
      </c>
    </row>
    <row r="821">
      <c r="A821">
        <f>Skills!A23</f>
        <v/>
      </c>
      <c r="B821">
        <f>Skills!B23</f>
        <v/>
      </c>
      <c r="C821">
        <f>Inputs!$B$3&gt;=43</f>
        <v/>
      </c>
      <c r="D821">
        <f>IF(Skills!C23=1,60+Inputs!$B$25+Inputs!$B$29,IF(Skills!C23=2,90+(Inputs!$B$26+1)+Inputs!$B$29,IF(Skills!C23=3,120+Inputs!$B$27+Inputs!$B$29,MAX(0,(Inputs!$B$3-100)*3)+Inputs!$B$28+Inputs!$B$29)))</f>
        <v/>
      </c>
      <c r="E821">
        <f>INDEX(FactorTable!$B$2:$Y$301, MATCH(ROUND(MIN(300,MAX(1,D821)),0), FactorTable!$A$2:$A$301,0), Skills!M23+1)</f>
        <v/>
      </c>
      <c r="F821">
        <f>IF(Skills!N23=TRUE,(Skills!L23/10)*(E821/1000),Skills!L23/10)+Skills!O23</f>
        <v/>
      </c>
      <c r="G821">
        <f>Skills!G23*IF(Skills!H23&gt;0,Skills!I23/Skills!H23,1)</f>
        <v/>
      </c>
      <c r="H821">
        <f>1-(1-Skills!J23/100)^Skills!K23</f>
        <v/>
      </c>
      <c r="I821" t="inlineStr">
        <is>
          <t>1</t>
        </is>
      </c>
      <c r="J821" t="inlineStr"/>
      <c r="K821" t="inlineStr"/>
      <c r="L821" t="inlineStr"/>
      <c r="M821" t="inlineStr"/>
      <c r="N821" t="inlineStr"/>
      <c r="O821">
        <f>(1-Summary!$B$55)*T821+Summary!$B$55*V821</f>
        <v/>
      </c>
      <c r="P821">
        <f>IF(B840=0,0,O821/B840)</f>
        <v/>
      </c>
      <c r="Q821" t="n">
        <v>0</v>
      </c>
      <c r="R821" t="n">
        <v>0</v>
      </c>
      <c r="S821" t="n">
        <v>0</v>
      </c>
      <c r="T821" t="n">
        <v>0</v>
      </c>
      <c r="V821" t="n">
        <v>0</v>
      </c>
    </row>
    <row r="822">
      <c r="A822">
        <f>Skills!A24</f>
        <v/>
      </c>
      <c r="B822">
        <f>Skills!B24</f>
        <v/>
      </c>
      <c r="C822">
        <f>Inputs!$B$3&gt;=75</f>
        <v/>
      </c>
      <c r="D822">
        <f>IF(Skills!C24=1,60+Inputs!$B$25+Inputs!$B$29,IF(Skills!C24=2,90+(Inputs!$B$26+1)+Inputs!$B$29,IF(Skills!C24=3,120+Inputs!$B$27+Inputs!$B$29,MAX(0,(Inputs!$B$3-100)*3)+Inputs!$B$28+Inputs!$B$29)))</f>
        <v/>
      </c>
      <c r="E822">
        <f>INDEX(FactorTable!$B$2:$Y$301, MATCH(ROUND(MIN(300,MAX(1,D822)),0), FactorTable!$A$2:$A$301,0), Skills!M24+1)</f>
        <v/>
      </c>
      <c r="F822">
        <f>IF(Skills!N24=TRUE,(Skills!L24/10)*(E822/1000),Skills!L24/10)+Skills!O24</f>
        <v/>
      </c>
      <c r="G822">
        <f>Skills!G24*IF(Skills!H24&gt;0,Skills!I24/Skills!H24,1)</f>
        <v/>
      </c>
      <c r="H822">
        <f>1-(1-Skills!J24/100)^Skills!K24</f>
        <v/>
      </c>
      <c r="I822" t="inlineStr">
        <is>
          <t>1</t>
        </is>
      </c>
      <c r="J822" t="inlineStr"/>
      <c r="K822" t="inlineStr"/>
      <c r="L822" t="inlineStr"/>
      <c r="M822" t="inlineStr"/>
      <c r="N822" t="inlineStr"/>
      <c r="O822">
        <f>(1-Summary!$B$55)*T822+Summary!$B$55*V822</f>
        <v/>
      </c>
      <c r="P822">
        <f>IF(B840=0,0,O822/B840)</f>
        <v/>
      </c>
      <c r="Q822" t="n">
        <v>0</v>
      </c>
      <c r="R822" t="n">
        <v>0</v>
      </c>
      <c r="S822" t="n">
        <v>0</v>
      </c>
      <c r="T822" t="n">
        <v>0</v>
      </c>
      <c r="V822" t="n">
        <v>0</v>
      </c>
    </row>
    <row r="823">
      <c r="A823">
        <f>Skills!A25</f>
        <v/>
      </c>
      <c r="B823">
        <f>Skills!B25</f>
        <v/>
      </c>
      <c r="C823">
        <f>Inputs!$B$3&gt;=125</f>
        <v/>
      </c>
      <c r="D823">
        <f>IF(Skills!C25=1,60+Inputs!$B$25+Inputs!$B$29,IF(Skills!C25=2,90+(Inputs!$B$26+1)+Inputs!$B$29,IF(Skills!C25=3,120+Inputs!$B$27+Inputs!$B$29,MAX(0,(Inputs!$B$3-100)*3)+Inputs!$B$28+Inputs!$B$29)))</f>
        <v/>
      </c>
      <c r="E823">
        <f>INDEX(FactorTable!$B$2:$Y$301, MATCH(ROUND(MIN(300,MAX(1,D823)),0), FactorTable!$A$2:$A$301,0), Skills!M25+1)</f>
        <v/>
      </c>
      <c r="F823">
        <f>IF(Skills!N25=TRUE,(Skills!L25/10)*(E823/1000),Skills!L25/10)+Skills!O25</f>
        <v/>
      </c>
      <c r="G823">
        <f>Skills!G25*IF(Skills!H25&gt;0,Skills!I25/Skills!H25,1)</f>
        <v/>
      </c>
      <c r="H823">
        <f>1-(1-Skills!J25/100)^Skills!K25</f>
        <v/>
      </c>
      <c r="I823" t="inlineStr">
        <is>
          <t>1</t>
        </is>
      </c>
      <c r="J823" t="inlineStr"/>
      <c r="K823" t="inlineStr"/>
      <c r="L823" t="inlineStr"/>
      <c r="M823" t="inlineStr"/>
      <c r="N823" t="inlineStr"/>
      <c r="O823">
        <f>(1-Summary!$B$55)*T823+Summary!$B$55*V823</f>
        <v/>
      </c>
      <c r="P823">
        <f>IF(B840=0,0,O823/B840)</f>
        <v/>
      </c>
      <c r="Q823" t="n">
        <v>0</v>
      </c>
      <c r="R823" t="n">
        <v>0</v>
      </c>
      <c r="S823" t="n">
        <v>0</v>
      </c>
      <c r="T823" t="n">
        <v>0</v>
      </c>
      <c r="V823" t="n">
        <v>0</v>
      </c>
    </row>
    <row r="824">
      <c r="A824">
        <f>Skills!A26</f>
        <v/>
      </c>
      <c r="B824">
        <f>Skills!B26</f>
        <v/>
      </c>
      <c r="C824">
        <f>Inputs!$B$3&gt;=125</f>
        <v/>
      </c>
      <c r="D824">
        <f>IF(Skills!C26=1,60+Inputs!$B$25+Inputs!$B$29,IF(Skills!C26=2,90+(Inputs!$B$26+1)+Inputs!$B$29,IF(Skills!C26=3,120+Inputs!$B$27+Inputs!$B$29,MAX(0,(Inputs!$B$3-100)*3)+Inputs!$B$28+Inputs!$B$29)))</f>
        <v/>
      </c>
      <c r="E824">
        <f>INDEX(FactorTable!$B$2:$Y$301, MATCH(ROUND(MIN(300,MAX(1,D824)),0), FactorTable!$A$2:$A$301,0), Skills!M26+1)</f>
        <v/>
      </c>
      <c r="F824">
        <f>IF(Skills!N26=TRUE,(Skills!L26/10)*(E824/1000),Skills!L26/10)+Skills!O26</f>
        <v/>
      </c>
      <c r="G824">
        <f>Skills!G26*IF(Skills!H26&gt;0,Skills!I26/Skills!H26,1)</f>
        <v/>
      </c>
      <c r="H824">
        <f>1-(1-Skills!J26/100)^Skills!K26</f>
        <v/>
      </c>
      <c r="I824" t="inlineStr">
        <is>
          <t>1</t>
        </is>
      </c>
      <c r="J824" t="inlineStr"/>
      <c r="K824" t="inlineStr"/>
      <c r="L824" t="inlineStr"/>
      <c r="M824" t="inlineStr"/>
      <c r="N824" t="inlineStr"/>
      <c r="O824">
        <f>(1-Summary!$B$55)*T824+Summary!$B$55*V824</f>
        <v/>
      </c>
      <c r="P824">
        <f>IF(B840=0,0,O824/B840)</f>
        <v/>
      </c>
      <c r="Q824" t="n">
        <v>0</v>
      </c>
      <c r="R824" t="n">
        <v>0</v>
      </c>
      <c r="S824" t="n">
        <v>0</v>
      </c>
      <c r="T824" t="n">
        <v>0</v>
      </c>
      <c r="V824" t="n">
        <v>0</v>
      </c>
    </row>
    <row r="825">
      <c r="A825">
        <f>Skills!A27</f>
        <v/>
      </c>
      <c r="B825">
        <f>Skills!B27</f>
        <v/>
      </c>
      <c r="C825">
        <f>Inputs!$B$3&gt;=120</f>
        <v/>
      </c>
      <c r="D825">
        <f>IF(Skills!C27=1,60+Inputs!$B$25+Inputs!$B$29,IF(Skills!C27=2,90+(Inputs!$B$26+1)+Inputs!$B$29,IF(Skills!C27=3,120+Inputs!$B$27+Inputs!$B$29,MAX(0,(Inputs!$B$3-100)*3)+Inputs!$B$28+Inputs!$B$29)))</f>
        <v/>
      </c>
      <c r="E825">
        <f>INDEX(FactorTable!$B$2:$Y$301, MATCH(ROUND(MIN(300,MAX(1,D825)),0), FactorTable!$A$2:$A$301,0), Skills!M27+1)</f>
        <v/>
      </c>
      <c r="F825">
        <f>IF(Skills!N27=TRUE,(Skills!L27/10)*(E825/1000),Skills!L27/10)+Skills!O27</f>
        <v/>
      </c>
      <c r="G825">
        <f>Skills!G27*IF(Skills!H27&gt;0,Skills!I27/Skills!H27,1)</f>
        <v/>
      </c>
      <c r="H825">
        <f>1-(1-Skills!J27/100)^Skills!K27</f>
        <v/>
      </c>
      <c r="I825" t="inlineStr">
        <is>
          <t>1</t>
        </is>
      </c>
      <c r="J825" t="inlineStr"/>
      <c r="K825" t="inlineStr"/>
      <c r="L825" t="inlineStr"/>
      <c r="M825" t="inlineStr"/>
      <c r="N825" t="inlineStr"/>
      <c r="O825">
        <f>(1-Summary!$B$55)*T825+Summary!$B$55*V825</f>
        <v/>
      </c>
      <c r="P825">
        <f>IF(B840=0,0,O825/B840)</f>
        <v/>
      </c>
      <c r="Q825" t="n">
        <v>0</v>
      </c>
      <c r="R825" t="n">
        <v>0</v>
      </c>
      <c r="S825" t="n">
        <v>0</v>
      </c>
      <c r="T825" t="n">
        <v>0</v>
      </c>
      <c r="V825" t="n">
        <v>0</v>
      </c>
    </row>
    <row r="826">
      <c r="A826">
        <f>Skills!A28</f>
        <v/>
      </c>
      <c r="B826">
        <f>Skills!B28</f>
        <v/>
      </c>
      <c r="C826">
        <f>Inputs!$B$3&gt;=120</f>
        <v/>
      </c>
      <c r="D826">
        <f>IF(Skills!C28=1,60+Inputs!$B$25+Inputs!$B$29,IF(Skills!C28=2,90+(Inputs!$B$26+1)+Inputs!$B$29,IF(Skills!C28=3,120+Inputs!$B$27+Inputs!$B$29,MAX(0,(Inputs!$B$3-100)*3)+Inputs!$B$28+Inputs!$B$29)))</f>
        <v/>
      </c>
      <c r="E826">
        <f>INDEX(FactorTable!$B$2:$Y$301, MATCH(ROUND(MIN(300,MAX(1,D826)),0), FactorTable!$A$2:$A$301,0), Skills!M28+1)</f>
        <v/>
      </c>
      <c r="F826">
        <f>IF(Skills!N28=TRUE,(Skills!L28/10)*(E826/1000),Skills!L28/10)+Skills!O28</f>
        <v/>
      </c>
      <c r="G826">
        <f>Skills!G28*IF(Skills!H28&gt;0,Skills!I28/Skills!H28,1)</f>
        <v/>
      </c>
      <c r="H826">
        <f>1-(1-Skills!J28/100)^Skills!K28</f>
        <v/>
      </c>
      <c r="I826" t="inlineStr">
        <is>
          <t>1</t>
        </is>
      </c>
      <c r="J826" t="inlineStr"/>
      <c r="K826" t="inlineStr"/>
      <c r="L826" t="inlineStr"/>
      <c r="M826" t="inlineStr"/>
      <c r="N826" t="inlineStr"/>
      <c r="O826">
        <f>(1-Summary!$B$55)*T826+Summary!$B$55*V826</f>
        <v/>
      </c>
      <c r="P826">
        <f>IF(B840=0,0,O826/B840)</f>
        <v/>
      </c>
      <c r="Q826" t="n">
        <v>0</v>
      </c>
      <c r="R826" t="n">
        <v>0</v>
      </c>
      <c r="S826" t="n">
        <v>0</v>
      </c>
      <c r="T826" t="n">
        <v>0</v>
      </c>
      <c r="V826" t="n">
        <v>0</v>
      </c>
    </row>
    <row r="827">
      <c r="A827">
        <f>Skills!A29</f>
        <v/>
      </c>
      <c r="B827">
        <f>Skills!B29</f>
        <v/>
      </c>
      <c r="C827">
        <f>Inputs!$B$3&gt;=45</f>
        <v/>
      </c>
      <c r="D827">
        <f>IF(Skills!C29=1,60+Inputs!$B$25+Inputs!$B$29,IF(Skills!C29=2,90+(Inputs!$B$26+1)+Inputs!$B$29,IF(Skills!C29=3,120+Inputs!$B$27+Inputs!$B$29,MAX(0,(Inputs!$B$3-100)*3)+Inputs!$B$28+Inputs!$B$29)))</f>
        <v/>
      </c>
      <c r="E827">
        <f>INDEX(FactorTable!$B$2:$Y$301, MATCH(ROUND(MIN(300,MAX(1,D827)),0), FactorTable!$A$2:$A$301,0), Skills!M29+1)</f>
        <v/>
      </c>
      <c r="F827">
        <f>IF(Skills!N29=TRUE,(Skills!L29/10)*(E827/1000),Skills!L29/10)+Skills!O29</f>
        <v/>
      </c>
      <c r="G827">
        <f>Skills!G29*IF(Skills!H29&gt;0,Skills!I29/Skills!H29,1)</f>
        <v/>
      </c>
      <c r="H827">
        <f>1-(1-Skills!J29/100)^Skills!K29</f>
        <v/>
      </c>
      <c r="I827" t="inlineStr">
        <is>
          <t>1</t>
        </is>
      </c>
      <c r="J827" t="inlineStr"/>
      <c r="K827" t="inlineStr"/>
      <c r="L827" t="inlineStr"/>
      <c r="M827" t="inlineStr"/>
      <c r="N827" t="inlineStr"/>
      <c r="O827">
        <f>(1-Summary!$B$55)*T827+Summary!$B$55*V827</f>
        <v/>
      </c>
      <c r="P827">
        <f>IF(B840=0,0,O827/B840)</f>
        <v/>
      </c>
      <c r="Q827" t="n">
        <v>0</v>
      </c>
      <c r="R827" t="n">
        <v>0</v>
      </c>
      <c r="S827" t="n">
        <v>0</v>
      </c>
      <c r="T827" t="n">
        <v>0</v>
      </c>
      <c r="V827" t="n">
        <v>0</v>
      </c>
    </row>
    <row r="829">
      <c r="A829" t="inlineStr">
        <is>
          <t>Attack% Bucket Multiplier</t>
        </is>
      </c>
      <c r="B829">
        <f>(1+(((C811=TRUE)*F811)+((C812=TRUE)*IF(Inputs!$B$38="pvp",F812,(1-Summary!$B$55)*(F812)+Summary!$B$55*(0)))+((C813=TRUE)*F813*IF(AND(Inputs!$B$38&lt;&gt;"pvp",Inputs!$B$43&gt;0),(((R813-1)*(Skills!T15*(1+Inputs!$B$34/100))+MIN((Skills!T15*(1+Inputs!$B$34/100)),MAX(0,Inputs!$B$43-((R813-1)*Skills!D15))))/Inputs!$B$43),IF(Inputs!$B$38="pvp",MIN((Skills!T15*(1+Inputs!$B$34/100)),15)/15,(Skills!T15*(1+Inputs!$B$34/100))/Skills!D15)))+((C810=TRUE)*F810)+((C827=TRUE)*(F827-Calc!F29)))/100)</f>
        <v/>
      </c>
    </row>
    <row r="830">
      <c r="A830" t="inlineStr">
        <is>
          <t>Global Crit Rate Bonus %</t>
        </is>
      </c>
      <c r="B830">
        <f>(C814=TRUE)*20*IF(AND(Inputs!$B$38&lt;&gt;"pvp",Inputs!$B$43&gt;0),(((R814-1)*(Skills!T16*(1+Inputs!$B$34/100))+MIN((Skills!T16*(1+Inputs!$B$34/100)),MAX(0,Inputs!$B$43-((R814-1)*Skills!D16))))/Inputs!$B$43),IF(Inputs!$B$38="pvp",MIN((Skills!T16*(1+Inputs!$B$34/100)),15)/15,(Skills!T16*(1+Inputs!$B$34/100))/Skills!D16))</f>
        <v/>
      </c>
    </row>
    <row r="831">
      <c r="A831" t="inlineStr">
        <is>
          <t>Attack Speed Buff Bonus %</t>
        </is>
      </c>
      <c r="B831">
        <f>((C816=TRUE)*F816*IF(AND(Inputs!$B$38&lt;&gt;"pvp",Inputs!$B$43&gt;0),(((R816-1)*(Skills!T18*(1+Inputs!$B$34/100))+MIN((Skills!T18*(1+Inputs!$B$34/100)),MAX(0,Inputs!$B$43-((R816-1)*Skills!D18))))/Inputs!$B$43),IF(Inputs!$B$38="pvp",MIN((Skills!T18*(1+Inputs!$B$34/100)),15)/15,(Skills!T18*(1+Inputs!$B$34/100))/Skills!D18)))</f>
        <v/>
      </c>
    </row>
    <row r="832">
      <c r="A832" t="inlineStr">
        <is>
          <t>Actions Per Second</t>
        </is>
      </c>
      <c r="B832">
        <f>1+MIN(150,150*(1-(1-(Inputs!$B$11+((C818=TRUE)*(F818-Calc!F20))+((C819=TRUE)*(F819-Calc!F21)))/150)*(1-B831/150)))/100</f>
        <v/>
      </c>
    </row>
    <row r="833">
      <c r="A833" t="inlineStr">
        <is>
          <t>Skill + Buff Cast Rate</t>
        </is>
      </c>
      <c r="B833">
        <f>IF(AND(Inputs!$B$38&lt;&gt;"pvp",Inputs!$B$43&gt;0),SUMPRODUCT((Skills!E2:E29=TRUE)*(C800:C827=TRUE)*R800:R827*Skills!F2:F29)/Inputs!$B$43,SUMPRODUCT((Skills!E2:E29=TRUE)*(C800:C827=TRUE)*Q800:Q827*Skills!F2:F29))</f>
        <v/>
      </c>
    </row>
    <row r="834">
      <c r="A834" t="inlineStr">
        <is>
          <t>Empowered Piercing Arrow Casts Per Second</t>
        </is>
      </c>
      <c r="B834">
        <f>MAX(0,B832-B833)</f>
        <v/>
      </c>
    </row>
    <row r="835">
      <c r="A835" t="inlineStr">
        <is>
          <t>Global Critical Damage Bonus % (Sharp Eyes)</t>
        </is>
      </c>
      <c r="B835">
        <f>(C814=TRUE)*F814*IF(AND(Inputs!$B$38&lt;&gt;"pvp",Inputs!$B$43&gt;0),(((R814-1)*(Skills!T16*(1+Inputs!$B$34/100))+MIN((Skills!T16*(1+Inputs!$B$34/100)),MAX(0,Inputs!$B$43-((R814-1)*Skills!D16))))/Inputs!$B$43),IF(Inputs!$B$38="pvp",MIN((Skills!T16*(1+Inputs!$B$34/100)),15)/15,(Skills!T16*(1+Inputs!$B$34/100))/Skills!D16))</f>
        <v/>
      </c>
    </row>
    <row r="836">
      <c r="A836" t="inlineStr">
        <is>
          <t>Global Final Damage Bonus % (Mortal Blow + Last Man Standing conditional half)</t>
        </is>
      </c>
      <c r="B836">
        <f>(C815=TRUE)*F815+((C824=TRUE)*IF(Inputs!$B$38="pvp",F824,(1-Summary!$B$55)*(F824)+Summary!$B$55*(0)))</f>
        <v/>
      </c>
    </row>
    <row r="837">
      <c r="A837" t="inlineStr">
        <is>
          <t>Buff-Casting Startup Delay (s, fixed-duration only)</t>
        </is>
      </c>
      <c r="B837">
        <f>IF(AND(Inputs!$B$38&lt;&gt;"pvp",Inputs!$B$43&gt;0),SUMPRODUCT((Skills!T2:T29&gt;0)*(Skills!E2:E29=TRUE)*(C800:C827=TRUE))/B832,0)</f>
        <v/>
      </c>
    </row>
    <row r="838">
      <c r="A838" t="inlineStr">
        <is>
          <t>Boss-Only Total DPS (this block's swept value)</t>
        </is>
      </c>
      <c r="B838">
        <f>SUM(T800:T827)</f>
        <v/>
      </c>
    </row>
    <row r="839">
      <c r="A839" t="inlineStr">
        <is>
          <t>Normal-Only Total DPS (this block's swept value)</t>
        </is>
      </c>
      <c r="B839">
        <f>SUM(V800:V827)</f>
        <v/>
      </c>
    </row>
    <row r="840">
      <c r="A840" s="5" t="inlineStr">
        <is>
          <t>TOTAL DPS</t>
        </is>
      </c>
      <c r="B840" s="5">
        <f>SUM(O800:O827)</f>
        <v/>
      </c>
    </row>
    <row r="843">
      <c r="A843" s="5" t="inlineStr">
        <is>
          <t>Stat: Skill Level Bonus — 3rd Job</t>
        </is>
      </c>
    </row>
    <row r="844">
      <c r="A844" s="9" t="inlineStr">
        <is>
          <t>Key</t>
        </is>
      </c>
      <c r="B844" s="9" t="inlineStr">
        <is>
          <t>Name</t>
        </is>
      </c>
      <c r="C844" s="9" t="inlineStr">
        <is>
          <t>Unlocked</t>
        </is>
      </c>
      <c r="D844" s="9" t="inlineStr">
        <is>
          <t>InputLevel</t>
        </is>
      </c>
      <c r="E844" s="9" t="inlineStr">
        <is>
          <t>Factor</t>
        </is>
      </c>
      <c r="F844" s="9" t="inlineStr">
        <is>
          <t>CoefficientPercent</t>
        </is>
      </c>
      <c r="G844" s="9" t="inlineStr">
        <is>
          <t>EffectiveHits</t>
        </is>
      </c>
      <c r="H844" s="9" t="inlineStr">
        <is>
          <t>ProcProbability</t>
        </is>
      </c>
      <c r="I844" s="9" t="inlineStr">
        <is>
          <t>MapleHeroMultiplier</t>
        </is>
      </c>
      <c r="J844" s="9" t="inlineStr">
        <is>
          <t>BaseDamage</t>
        </is>
      </c>
      <c r="K844" s="9" t="inlineStr">
        <is>
          <t>BaseHitDamage</t>
        </is>
      </c>
      <c r="L844" s="9" t="inlineStr">
        <is>
          <t>NonCritAvg</t>
        </is>
      </c>
      <c r="M844" s="9" t="inlineStr">
        <is>
          <t>CritAvg</t>
        </is>
      </c>
      <c r="N844" s="9" t="inlineStr">
        <is>
          <t>ExpectedDamage(perHit)</t>
        </is>
      </c>
      <c r="O844" s="9" t="inlineStr">
        <is>
          <t>DPS</t>
        </is>
      </c>
      <c r="P844" s="9" t="inlineStr">
        <is>
          <t>% of Total</t>
        </is>
      </c>
      <c r="Q844" s="9" t="inlineStr">
        <is>
          <t>InvCooldown</t>
        </is>
      </c>
      <c r="R844" s="9" t="inlineStr">
        <is>
          <t>CastsInFight</t>
        </is>
      </c>
      <c r="S844" s="9" t="inlineStr">
        <is>
          <t>HitRate(perSec)</t>
        </is>
      </c>
      <c r="U844" t="inlineStr">
        <is>
          <t>helpers</t>
        </is>
      </c>
    </row>
    <row r="845">
      <c r="A845">
        <f>Skills!A2</f>
        <v/>
      </c>
      <c r="B845">
        <f>Skills!B2</f>
        <v/>
      </c>
      <c r="C845">
        <f>Inputs!$B$3&gt;=100</f>
        <v/>
      </c>
      <c r="D845" t="inlineStr"/>
      <c r="E845" t="inlineStr"/>
      <c r="F845">
        <f>U847+Skills!O2</f>
        <v/>
      </c>
      <c r="G845">
        <f>Skills!G2*IF(Skills!H2&gt;0,Skills!I2/Skills!H2,1)</f>
        <v/>
      </c>
      <c r="H845">
        <f>1-(1-Skills!J2/100)^Skills!K2</f>
        <v/>
      </c>
      <c r="I845" t="inlineStr">
        <is>
          <t>1</t>
        </is>
      </c>
      <c r="J845">
        <f>((Inputs!$B$6*(1+Inputs!$B$7/100))+(((Inputs!$B$12*(1+Inputs!$B$13/100))-(Inputs!$B$12*(1+Inputs!$B$13/100)))+0.25*(Inputs!$B$14-Inputs!$B$14))*(1+Inputs!$B$7/100))*(F845/100)</f>
        <v/>
      </c>
      <c r="K845">
        <f>J845*(1+((Inputs!$B$12*(1+Inputs!$B$13/100))*0.01+Inputs!$B$14*0.0025)/100)*(1+Inputs!$B$15/100)*(1+Inputs!$B$16/100)*(5000/(6000+Inputs!$B$42*(1-(Inputs!$B$19+0)/100)))*(1+(Inputs!$B$24+((C867=TRUE)*(F867-Calc!F24))+((C868=TRUE)*(F868-Calc!F25))+B881)/100)*(1+(IF(Skills!A2="EMPOWERED_PIERCING_ARROW",Inputs!$B$17+((C865=TRUE)*(F865-Calc!F22)),Inputs!$B$18+((C870=TRUE)*(F870-Calc!F27))))/100)*((1+(((C856=TRUE)*F856)+((C857=TRUE)*IF(Inputs!$B$38="pvp",F857,(1-Summary!$B$55)*(F857)+Summary!$B$55*(0)))+((C858=TRUE)*F858*IF(AND(Inputs!$B$38&lt;&gt;"pvp",Inputs!$B$43&gt;0),(((R858-1)*(Skills!T15*(1+Inputs!$B$34/100))+MIN((Skills!T15*(1+Inputs!$B$34/100)),MAX(0,Inputs!$B$43-((R858-1)*Skills!D15))))/Inputs!$B$43),IF(Inputs!$B$38="pvp",MIN((Skills!T15*(1+Inputs!$B$34/100)),15)/15,(Skills!T15*(1+Inputs!$B$34/100))/Skills!D15)))+((C855=TRUE)*F855)+((C872=TRUE)*(F872-Calc!F29)))/100)*I845)</f>
        <v/>
      </c>
      <c r="L845">
        <f>K845*(MIN(Inputs!$B$22+((C866=TRUE)*(F866-Calc!F23)),Inputs!$B$23+((C871=TRUE)*(F871-Calc!F28)))/100+(Inputs!$B$23+((C871=TRUE)*(F871-Calc!F28)))/100)/2</f>
        <v/>
      </c>
      <c r="M845">
        <f>L845*(1+(Inputs!$B$10+0+B880)/100)</f>
        <v/>
      </c>
      <c r="N845">
        <f>L845*(1-MIN((Inputs!$B$9+((C862=TRUE)*(F862-Calc!F19))+B875),100)/100)+M845*(MIN((Inputs!$B$9+((C862=TRUE)*(F862-Calc!F19))+B875),100)/100)</f>
        <v/>
      </c>
      <c r="O845">
        <f>(1-Summary!$B$55)*T845+Summary!$B$55*V845</f>
        <v/>
      </c>
      <c r="P845">
        <f>IF(B885=0,0,O845/B885)</f>
        <v/>
      </c>
      <c r="Q845" t="n">
        <v>0</v>
      </c>
      <c r="R845" t="n">
        <v>0</v>
      </c>
      <c r="S845">
        <f>IFERROR((Skills!G2*N845*B879)/N845*IF(Inputs!$B$38="pvp",1,(1-Summary!$B$55)*1+Summary!$B$55*(MIN((6+Inputs!$B$33),Inputs!$B$37))),0)</f>
        <v/>
      </c>
      <c r="T845">
        <f>IF(C845,(Skills!G2*N845*B879)*IF(Inputs!$B$38="pvp",1,1+(Inputs!$B$20+0+Skills!P2)/100),0)</f>
        <v/>
      </c>
      <c r="U845">
        <f>MAX(0,(Inputs!$B$3-100)*3)+Inputs!$B$28+Inputs!$B$29</f>
        <v/>
      </c>
      <c r="V845">
        <f>IF(C845,(Skills!G2*N845*B879)*IF(Inputs!$B$38="pvp",1,(1+(Inputs!$B$21+Skills!Q2)/100)*(MIN((6+Inputs!$B$33),Inputs!$B$37))),0)</f>
        <v/>
      </c>
    </row>
    <row r="846">
      <c r="A846">
        <f>Skills!A3</f>
        <v/>
      </c>
      <c r="B846">
        <f>Skills!B3</f>
        <v/>
      </c>
      <c r="C846">
        <f>Inputs!$B$3&gt;=50</f>
        <v/>
      </c>
      <c r="D846">
        <f>IF(Skills!C3=1,60+Inputs!$B$25+Inputs!$B$29,IF(Skills!C3=2,90+Inputs!$B$26+Inputs!$B$29,IF(Skills!C3=3,120+(Inputs!$B$27+1)+Inputs!$B$29,MAX(0,(Inputs!$B$3-100)*3)+Inputs!$B$28+Inputs!$B$29)))</f>
        <v/>
      </c>
      <c r="E846">
        <f>INDEX(FactorTable!$B$2:$Y$301, MATCH(ROUND(MIN(300,MAX(1,D846)),0), FactorTable!$A$2:$A$301,0), Skills!M3+1)</f>
        <v/>
      </c>
      <c r="F846">
        <f>IF(Skills!N3=TRUE,(Skills!L3/10)*(E846/1000),Skills!L3/10)+Skills!O3</f>
        <v/>
      </c>
      <c r="G846" t="inlineStr"/>
      <c r="H846" t="inlineStr"/>
      <c r="I846" t="inlineStr">
        <is>
          <t>1</t>
        </is>
      </c>
      <c r="J846" t="inlineStr"/>
      <c r="K846" t="inlineStr"/>
      <c r="L846" t="inlineStr"/>
      <c r="M846" t="inlineStr"/>
      <c r="N846" t="inlineStr"/>
      <c r="O846" t="inlineStr"/>
      <c r="P846" t="inlineStr"/>
      <c r="Q846" t="inlineStr"/>
      <c r="R846" t="inlineStr"/>
      <c r="S846" t="inlineStr"/>
      <c r="T846" t="inlineStr"/>
      <c r="U846">
        <f>INDEX(FactorTable!$B$2:$Y$301, MATCH(ROUND(MIN(300,MAX(1,U845)),0), FactorTable!$A$2:$A$301,0), 22)</f>
        <v/>
      </c>
      <c r="V846" t="inlineStr"/>
    </row>
    <row r="847">
      <c r="A847">
        <f>Skills!A4</f>
        <v/>
      </c>
      <c r="B847">
        <f>Skills!B4</f>
        <v/>
      </c>
      <c r="C847">
        <f>Inputs!$B$3&gt;=105</f>
        <v/>
      </c>
      <c r="D847">
        <f>IF(Skills!C4=1,60+Inputs!$B$25+Inputs!$B$29,IF(Skills!C4=2,90+Inputs!$B$26+Inputs!$B$29,IF(Skills!C4=3,120+(Inputs!$B$27+1)+Inputs!$B$29,MAX(0,(Inputs!$B$3-100)*3)+Inputs!$B$28+Inputs!$B$29)))</f>
        <v/>
      </c>
      <c r="E847">
        <f>INDEX(FactorTable!$B$2:$Y$301, MATCH(ROUND(MIN(300,MAX(1,D847)),0), FactorTable!$A$2:$A$301,0), Skills!M4+1)</f>
        <v/>
      </c>
      <c r="F847">
        <f>IF(Skills!N4=TRUE,(Skills!L4/10)*(E847/1000),Skills!L4/10)+Skills!O4</f>
        <v/>
      </c>
      <c r="G847" t="inlineStr"/>
      <c r="H847" t="inlineStr"/>
      <c r="I847" t="inlineStr">
        <is>
          <t>1</t>
        </is>
      </c>
      <c r="J847" t="inlineStr"/>
      <c r="K847" t="inlineStr"/>
      <c r="L847" t="inlineStr"/>
      <c r="M847" t="inlineStr"/>
      <c r="N847" t="inlineStr"/>
      <c r="O847" t="inlineStr"/>
      <c r="P847" t="inlineStr"/>
      <c r="Q847" t="inlineStr"/>
      <c r="R847" t="inlineStr"/>
      <c r="S847" t="inlineStr"/>
      <c r="T847" t="inlineStr"/>
      <c r="U847">
        <f>290*U846/1000</f>
        <v/>
      </c>
      <c r="V847" t="inlineStr"/>
    </row>
    <row r="848">
      <c r="A848">
        <f>Skills!A5</f>
        <v/>
      </c>
      <c r="B848">
        <f>Skills!B5</f>
        <v/>
      </c>
      <c r="C848">
        <f>Inputs!$B$3&gt;=35</f>
        <v/>
      </c>
      <c r="D848">
        <f>IF(Skills!C5=1,60+Inputs!$B$25+Inputs!$B$29,IF(Skills!C5=2,90+Inputs!$B$26+Inputs!$B$29,IF(Skills!C5=3,120+(Inputs!$B$27+1)+Inputs!$B$29,MAX(0,(Inputs!$B$3-100)*3)+Inputs!$B$28+Inputs!$B$29)))</f>
        <v/>
      </c>
      <c r="E848">
        <f>INDEX(FactorTable!$B$2:$Y$301, MATCH(ROUND(MIN(300,MAX(1,D848)),0), FactorTable!$A$2:$A$301,0), Skills!M5+1)</f>
        <v/>
      </c>
      <c r="F848">
        <f>IF(Skills!N5=TRUE,(Skills!L5/10)*(E848/1000),Skills!L5/10)+Skills!O5</f>
        <v/>
      </c>
      <c r="G848">
        <f>Skills!G5*IF(Skills!H5&gt;0,Skills!I5/Skills!H5,1)</f>
        <v/>
      </c>
      <c r="H848">
        <f>1-(1-Skills!J5/100)^Skills!K5</f>
        <v/>
      </c>
      <c r="I848" t="inlineStr">
        <is>
          <t>1</t>
        </is>
      </c>
      <c r="J848">
        <f>((Inputs!$B$6*(1+Inputs!$B$7/100))+(((Inputs!$B$12*(1+Inputs!$B$13/100))-(Inputs!$B$12*(1+Inputs!$B$13/100)))+0.25*(Inputs!$B$14-Inputs!$B$14))*(1+Inputs!$B$7/100))*(F848/100)</f>
        <v/>
      </c>
      <c r="K848">
        <f>J848*(1+((Inputs!$B$12*(1+Inputs!$B$13/100))*0.01+Inputs!$B$14*0.0025)/100)*(1+Inputs!$B$15/100)*(1+Inputs!$B$16/100)*(5000/(6000+Inputs!$B$42*(1-(Inputs!$B$19+0)/100)))*(1+(Inputs!$B$24+((C867=TRUE)*(F867-Calc!F24))+((C868=TRUE)*(F868-Calc!F25))+B881)/100)*(1+4.0*IF(C851=TRUE,F851,0)/100)*(1+(IF(Skills!A5="EMPOWERED_PIERCING_ARROW",Inputs!$B$17+((C865=TRUE)*(F865-Calc!F22)),Inputs!$B$18+((C870=TRUE)*(F870-Calc!F27))))/100)*((1+(((C856=TRUE)*F856)+((C857=TRUE)*IF(Inputs!$B$38="pvp",F857,(1-Summary!$B$55)*(F857)+Summary!$B$55*(0)))+((C858=TRUE)*F858*IF(AND(Inputs!$B$38&lt;&gt;"pvp",Inputs!$B$43&gt;0),(((R858-1)*(Skills!T15*(1+Inputs!$B$34/100))+MIN((Skills!T15*(1+Inputs!$B$34/100)),MAX(0,Inputs!$B$43-((R858-1)*Skills!D15))))/Inputs!$B$43),IF(Inputs!$B$38="pvp",MIN((Skills!T15*(1+Inputs!$B$34/100)),15)/15,(Skills!T15*(1+Inputs!$B$34/100))/Skills!D15)))+((C855=TRUE)*F855)+((C872=TRUE)*(F872-Calc!F29)))/100)*I848)</f>
        <v/>
      </c>
      <c r="L848">
        <f>K848*(MIN(Inputs!$B$22+((C866=TRUE)*(F866-Calc!F23)),Inputs!$B$23+((C871=TRUE)*(F871-Calc!F28)))/100+(Inputs!$B$23+((C871=TRUE)*(F871-Calc!F28)))/100)/2</f>
        <v/>
      </c>
      <c r="M848">
        <f>L848*(1+(Inputs!$B$10+0+B880)/100)</f>
        <v/>
      </c>
      <c r="N848">
        <f>L848*(1-MIN((Inputs!$B$9+((C862=TRUE)*(F862-Calc!F19))+B875),100)/100)+M848*(MIN((Inputs!$B$9+((C862=TRUE)*(F862-Calc!F19))+B875),100)/100)</f>
        <v/>
      </c>
      <c r="O848">
        <f>(1-Summary!$B$55)*T848+Summary!$B$55*V848</f>
        <v/>
      </c>
      <c r="P848">
        <f>IF(B885=0,0,O848/B885)</f>
        <v/>
      </c>
      <c r="Q848">
        <f>IFERROR(1/IF(Inputs!$B$38="pvp",15,MAX(0.1,Skills!D5-IF(Skills!E5=TRUE,Inputs!$B$32,0))),0)</f>
        <v/>
      </c>
      <c r="R848">
        <f>IF(AND(Inputs!$B$38&lt;&gt;"pvp",Inputs!$B$43&gt;0),IF(MAX(0,Inputs!$B$43-B882)&lt;=0,0,(INT(MAX(0,Inputs!$B$43-B882)/IF(Inputs!$B$38="pvp",15,MAX(0.1,Skills!D5-IF(Skills!E5=TRUE,Inputs!$B$32,0))))+1)),0)</f>
        <v/>
      </c>
      <c r="S848">
        <f>IFERROR((H848*N848*IF(AND(Inputs!$B$38&lt;&gt;"pvp",Inputs!$B$43&gt;0),((Skills!G5*((R848-1)*IF(Skills!H5&gt;0,Skills!I5/Skills!H5,1)+IF(Skills!H5&gt;0,MIN(Skills!I5,MAX(0,MAX(0,Inputs!$B$43-B882)-((R848-1)*IF(Inputs!$B$38="pvp",15,MAX(0.1,Skills!D5-IF(Skills!E5=TRUE,Inputs!$B$32,0))))))/Skills!H5,1)))/Inputs!$B$43),G848*Q848))/N848*IF(Inputs!$B$38="pvp",1,(1-Summary!$B$55)*1+Summary!$B$55*(MIN(Skills!R5,Inputs!$B$37))),0)</f>
        <v/>
      </c>
      <c r="T848">
        <f>IF(C848,(H848*N848*IF(AND(Inputs!$B$38&lt;&gt;"pvp",Inputs!$B$43&gt;0),((Skills!G5*((R848-1)*IF(Skills!H5&gt;0,Skills!I5/Skills!H5,1)+IF(Skills!H5&gt;0,MIN(Skills!I5,MAX(0,MAX(0,Inputs!$B$43-B882)-((R848-1)*IF(Inputs!$B$38="pvp",15,MAX(0.1,Skills!D5-IF(Skills!E5=TRUE,Inputs!$B$32,0))))))/Skills!H5,1)))/Inputs!$B$43),G848*Q848))*IF(Inputs!$B$38="pvp",1,1+(Inputs!$B$20+0+Skills!P5)/100),0)</f>
        <v/>
      </c>
      <c r="V848">
        <f>IF(C848,(H848*N848*IF(AND(Inputs!$B$38&lt;&gt;"pvp",Inputs!$B$43&gt;0),((Skills!G5*((R848-1)*IF(Skills!H5&gt;0,Skills!I5/Skills!H5,1)+IF(Skills!H5&gt;0,MIN(Skills!I5,MAX(0,MAX(0,Inputs!$B$43-B882)-((R848-1)*IF(Inputs!$B$38="pvp",15,MAX(0.1,Skills!D5-IF(Skills!E5=TRUE,Inputs!$B$32,0))))))/Skills!H5,1)))/Inputs!$B$43),G848*Q848))*IF(Inputs!$B$38="pvp",1,(1+(Inputs!$B$21+Skills!Q5)/100)*(MIN(Skills!R5,Inputs!$B$37))),0)</f>
        <v/>
      </c>
    </row>
    <row r="849">
      <c r="A849">
        <f>Skills!A6</f>
        <v/>
      </c>
      <c r="B849">
        <f>Skills!B6</f>
        <v/>
      </c>
      <c r="C849">
        <f>Inputs!$B$3&gt;=63</f>
        <v/>
      </c>
      <c r="D849">
        <f>IF(Skills!C6=1,60+Inputs!$B$25+Inputs!$B$29,IF(Skills!C6=2,90+Inputs!$B$26+Inputs!$B$29,IF(Skills!C6=3,120+(Inputs!$B$27+1)+Inputs!$B$29,MAX(0,(Inputs!$B$3-100)*3)+Inputs!$B$28+Inputs!$B$29)))</f>
        <v/>
      </c>
      <c r="E849">
        <f>INDEX(FactorTable!$B$2:$Y$301, MATCH(ROUND(MIN(300,MAX(1,D849)),0), FactorTable!$A$2:$A$301,0), Skills!M6+1)</f>
        <v/>
      </c>
      <c r="F849">
        <f>IF(Skills!N6=TRUE,(Skills!L6/10)*(E849/1000),Skills!L6/10)+Skills!O6</f>
        <v/>
      </c>
      <c r="G849">
        <f>Skills!G6*IF(Skills!H6&gt;0,Skills!I6/Skills!H6,1)</f>
        <v/>
      </c>
      <c r="H849">
        <f>1-(1-Skills!J6/100)^Skills!K6</f>
        <v/>
      </c>
      <c r="I849" t="inlineStr">
        <is>
          <t>1</t>
        </is>
      </c>
      <c r="J849">
        <f>((Inputs!$B$6*(1+Inputs!$B$7/100))+(((Inputs!$B$12*(1+Inputs!$B$13/100))-(Inputs!$B$12*(1+Inputs!$B$13/100)))+0.25*(Inputs!$B$14-Inputs!$B$14))*(1+Inputs!$B$7/100))*(F849/100)</f>
        <v/>
      </c>
      <c r="K849">
        <f>J849*(1+((Inputs!$B$12*(1+Inputs!$B$13/100))*0.01+Inputs!$B$14*0.0025)/100)*(1+Inputs!$B$15/100)*(1+Inputs!$B$16/100)*(5000/(6000+Inputs!$B$42*(1-(Inputs!$B$19+0)/100)))*(1+(Inputs!$B$24+((C867=TRUE)*(F867-Calc!F24))+((C868=TRUE)*(F868-Calc!F25))+B881)/100)*(1+1.0*IF(C851=TRUE,F851,0)/100)*(1+(IF(Skills!A6="EMPOWERED_PIERCING_ARROW",Inputs!$B$17+((C865=TRUE)*(F865-Calc!F22)),Inputs!$B$18+((C870=TRUE)*(F870-Calc!F27))))/100)*((1+(((C856=TRUE)*F856)+((C857=TRUE)*IF(Inputs!$B$38="pvp",F857,(1-Summary!$B$55)*(F857)+Summary!$B$55*(0)))+((C858=TRUE)*F858*IF(AND(Inputs!$B$38&lt;&gt;"pvp",Inputs!$B$43&gt;0),(((R858-1)*(Skills!T15*(1+Inputs!$B$34/100))+MIN((Skills!T15*(1+Inputs!$B$34/100)),MAX(0,Inputs!$B$43-((R858-1)*Skills!D15))))/Inputs!$B$43),IF(Inputs!$B$38="pvp",MIN((Skills!T15*(1+Inputs!$B$34/100)),15)/15,(Skills!T15*(1+Inputs!$B$34/100))/Skills!D15)))+((C855=TRUE)*F855)+((C872=TRUE)*(F872-Calc!F29)))/100)*I849)</f>
        <v/>
      </c>
      <c r="L849">
        <f>K849*(MIN(Inputs!$B$22+((C866=TRUE)*(F866-Calc!F23)),Inputs!$B$23+((C871=TRUE)*(F871-Calc!F28)))/100+(Inputs!$B$23+((C871=TRUE)*(F871-Calc!F28)))/100)/2</f>
        <v/>
      </c>
      <c r="M849">
        <f>L849*(1+(Inputs!$B$10+0+B880)/100)</f>
        <v/>
      </c>
      <c r="N849">
        <f>L849*(1-MIN((Inputs!$B$9+((C862=TRUE)*(F862-Calc!F19))+B875),100)/100)+M849*(MIN((Inputs!$B$9+((C862=TRUE)*(F862-Calc!F19))+B875),100)/100)</f>
        <v/>
      </c>
      <c r="O849">
        <f>(1-Summary!$B$55)*T849+Summary!$B$55*V849</f>
        <v/>
      </c>
      <c r="P849">
        <f>IF(B885=0,0,O849/B885)</f>
        <v/>
      </c>
      <c r="Q849">
        <f>IFERROR(1/IF(Inputs!$B$38="pvp",15,MAX(0.1,Skills!D6-IF(Skills!E6=TRUE,Inputs!$B$32,0))),0)</f>
        <v/>
      </c>
      <c r="R849">
        <f>IF(AND(Inputs!$B$38&lt;&gt;"pvp",Inputs!$B$43&gt;0),IF(MAX(0,Inputs!$B$43-B882)&lt;=0,0,(INT(MAX(0,Inputs!$B$43-B882)/IF(Inputs!$B$38="pvp",15,MAX(0.1,Skills!D6-IF(Skills!E6=TRUE,Inputs!$B$32,0))))+1)),0)</f>
        <v/>
      </c>
      <c r="S849">
        <f>IFERROR((H849*N849*IF(AND(Inputs!$B$38&lt;&gt;"pvp",Inputs!$B$43&gt;0),((Skills!G6*((R849-1)*IF(Skills!H6&gt;0,Skills!I6/Skills!H6,1)+IF(Skills!H6&gt;0,MIN(Skills!I6,MAX(0,MAX(0,Inputs!$B$43-B882)-((R849-1)*IF(Inputs!$B$38="pvp",15,MAX(0.1,Skills!D6-IF(Skills!E6=TRUE,Inputs!$B$32,0))))))/Skills!H6,1)))/Inputs!$B$43),G849*Q849))/N849*IF(Inputs!$B$38="pvp",1,(1-Summary!$B$55)*1+Summary!$B$55*(MIN(Skills!R6,Inputs!$B$37))),0)</f>
        <v/>
      </c>
      <c r="T849">
        <f>IF(C849,(H849*N849*IF(AND(Inputs!$B$38&lt;&gt;"pvp",Inputs!$B$43&gt;0),((Skills!G6*((R849-1)*IF(Skills!H6&gt;0,Skills!I6/Skills!H6,1)+IF(Skills!H6&gt;0,MIN(Skills!I6,MAX(0,MAX(0,Inputs!$B$43-B882)-((R849-1)*IF(Inputs!$B$38="pvp",15,MAX(0.1,Skills!D6-IF(Skills!E6=TRUE,Inputs!$B$32,0))))))/Skills!H6,1)))/Inputs!$B$43),G849*Q849))*IF(Inputs!$B$38="pvp",1,1+(Inputs!$B$20+0+Skills!P6)/100),0)</f>
        <v/>
      </c>
      <c r="V849">
        <f>IF(C849,(H849*N849*IF(AND(Inputs!$B$38&lt;&gt;"pvp",Inputs!$B$43&gt;0),((Skills!G6*((R849-1)*IF(Skills!H6&gt;0,Skills!I6/Skills!H6,1)+IF(Skills!H6&gt;0,MIN(Skills!I6,MAX(0,MAX(0,Inputs!$B$43-B882)-((R849-1)*IF(Inputs!$B$38="pvp",15,MAX(0.1,Skills!D6-IF(Skills!E6=TRUE,Inputs!$B$32,0))))))/Skills!H6,1)))/Inputs!$B$43),G849*Q849))*IF(Inputs!$B$38="pvp",1,(1+(Inputs!$B$21+Skills!Q6)/100)*(MIN(Skills!R6,Inputs!$B$37))),0)</f>
        <v/>
      </c>
    </row>
    <row r="850">
      <c r="A850">
        <f>Skills!A7</f>
        <v/>
      </c>
      <c r="B850">
        <f>Skills!B7</f>
        <v/>
      </c>
      <c r="C850">
        <f>Inputs!$B$3&gt;=69</f>
        <v/>
      </c>
      <c r="D850">
        <f>IF(Skills!C7=1,60+Inputs!$B$25+Inputs!$B$29,IF(Skills!C7=2,90+Inputs!$B$26+Inputs!$B$29,IF(Skills!C7=3,120+(Inputs!$B$27+1)+Inputs!$B$29,MAX(0,(Inputs!$B$3-100)*3)+Inputs!$B$28+Inputs!$B$29)))</f>
        <v/>
      </c>
      <c r="E850">
        <f>INDEX(FactorTable!$B$2:$Y$301, MATCH(ROUND(MIN(300,MAX(1,D850)),0), FactorTable!$A$2:$A$301,0), Skills!M7+1)</f>
        <v/>
      </c>
      <c r="F850">
        <f>IF(Skills!N7=TRUE,(Skills!L7/10)*(E850/1000),Skills!L7/10)+Skills!O7</f>
        <v/>
      </c>
      <c r="G850">
        <f>Skills!G7*IF(Skills!H7&gt;0,Skills!I7/Skills!H7,1)</f>
        <v/>
      </c>
      <c r="H850">
        <f>1-(1-Skills!J7/100)^Skills!K7</f>
        <v/>
      </c>
      <c r="I850" t="inlineStr">
        <is>
          <t>1</t>
        </is>
      </c>
      <c r="J850">
        <f>((Inputs!$B$6*(1+Inputs!$B$7/100))+(((Inputs!$B$12*(1+Inputs!$B$13/100))-(Inputs!$B$12*(1+Inputs!$B$13/100)))+0.25*(Inputs!$B$14-Inputs!$B$14))*(1+Inputs!$B$7/100))*(F850/100)</f>
        <v/>
      </c>
      <c r="K850">
        <f>J850*(1+((Inputs!$B$12*(1+Inputs!$B$13/100))*0.01+Inputs!$B$14*0.0025)/100)*(1+Inputs!$B$15/100)*(1+Inputs!$B$16/100)*(5000/(6000+Inputs!$B$42*(1-(Inputs!$B$19+0)/100)))*(1+(Inputs!$B$24+((C867=TRUE)*(F867-Calc!F24))+((C868=TRUE)*(F868-Calc!F25))+B881)/100)*(1+1.2*IF(C851=TRUE,F851,0)/100)*(1+(IF(Skills!A7="EMPOWERED_PIERCING_ARROW",Inputs!$B$17+((C865=TRUE)*(F865-Calc!F22)),Inputs!$B$18+((C870=TRUE)*(F870-Calc!F27))))/100)*((1+(((C856=TRUE)*F856)+((C857=TRUE)*IF(Inputs!$B$38="pvp",F857,(1-Summary!$B$55)*(F857)+Summary!$B$55*(0)))+((C858=TRUE)*F858*IF(AND(Inputs!$B$38&lt;&gt;"pvp",Inputs!$B$43&gt;0),(((R858-1)*(Skills!T15*(1+Inputs!$B$34/100))+MIN((Skills!T15*(1+Inputs!$B$34/100)),MAX(0,Inputs!$B$43-((R858-1)*Skills!D15))))/Inputs!$B$43),IF(Inputs!$B$38="pvp",MIN((Skills!T15*(1+Inputs!$B$34/100)),15)/15,(Skills!T15*(1+Inputs!$B$34/100))/Skills!D15)))+((C855=TRUE)*F855)+((C872=TRUE)*(F872-Calc!F29)))/100)*I850)</f>
        <v/>
      </c>
      <c r="L850">
        <f>K850*(MIN(Inputs!$B$22+((C866=TRUE)*(F866-Calc!F23)),Inputs!$B$23+((C871=TRUE)*(F871-Calc!F28)))/100+(Inputs!$B$23+((C871=TRUE)*(F871-Calc!F28)))/100)/2</f>
        <v/>
      </c>
      <c r="M850">
        <f>L850*(1+(Inputs!$B$10+0+B880)/100)</f>
        <v/>
      </c>
      <c r="N850">
        <f>L850*(1-MIN((Inputs!$B$9+((C862=TRUE)*(F862-Calc!F19))+B875),100)/100)+M850*(MIN((Inputs!$B$9+((C862=TRUE)*(F862-Calc!F19))+B875),100)/100)</f>
        <v/>
      </c>
      <c r="O850">
        <f>(1-Summary!$B$55)*T850+Summary!$B$55*V850</f>
        <v/>
      </c>
      <c r="P850">
        <f>IF(B885=0,0,O850/B885)</f>
        <v/>
      </c>
      <c r="Q850">
        <f>IFERROR(1/IF(Inputs!$B$38="pvp",15,MAX(0.1,Skills!D7-IF(Skills!E7=TRUE,Inputs!$B$32,0))),0)</f>
        <v/>
      </c>
      <c r="R850">
        <f>IF(AND(Inputs!$B$38&lt;&gt;"pvp",Inputs!$B$43&gt;0),IF(MAX(0,Inputs!$B$43-B882)&lt;=0,0,(INT(MAX(0,Inputs!$B$43-B882)/IF(Inputs!$B$38="pvp",15,MAX(0.1,Skills!D7-IF(Skills!E7=TRUE,Inputs!$B$32,0))))+1)),0)</f>
        <v/>
      </c>
      <c r="S850">
        <f>IFERROR((H850*N850*IF(AND(Inputs!$B$38&lt;&gt;"pvp",Inputs!$B$43&gt;0),((Skills!G7*((R850-1)*IF(Skills!H7&gt;0,Skills!I7/Skills!H7,1)+IF(Skills!H7&gt;0,MIN(Skills!I7,MAX(0,MAX(0,Inputs!$B$43-B882)-((R850-1)*IF(Inputs!$B$38="pvp",15,MAX(0.1,Skills!D7-IF(Skills!E7=TRUE,Inputs!$B$32,0))))))/Skills!H7,1)))/Inputs!$B$43),G850*Q850))/N850*IF(Inputs!$B$38="pvp",1,(1-Summary!$B$55)*1+Summary!$B$55*(MIN(Skills!R7,Inputs!$B$37))),0)</f>
        <v/>
      </c>
      <c r="T850">
        <f>IF(C850,(H850*N850*IF(AND(Inputs!$B$38&lt;&gt;"pvp",Inputs!$B$43&gt;0),((Skills!G7*((R850-1)*IF(Skills!H7&gt;0,Skills!I7/Skills!H7,1)+IF(Skills!H7&gt;0,MIN(Skills!I7,MAX(0,MAX(0,Inputs!$B$43-B882)-((R850-1)*IF(Inputs!$B$38="pvp",15,MAX(0.1,Skills!D7-IF(Skills!E7=TRUE,Inputs!$B$32,0))))))/Skills!H7,1)))/Inputs!$B$43),G850*Q850))*IF(Inputs!$B$38="pvp",1,1+(Inputs!$B$20+0+Skills!P7)/100),0)</f>
        <v/>
      </c>
      <c r="V850">
        <f>IF(C850,(H850*N850*IF(AND(Inputs!$B$38&lt;&gt;"pvp",Inputs!$B$43&gt;0),((Skills!G7*((R850-1)*IF(Skills!H7&gt;0,Skills!I7/Skills!H7,1)+IF(Skills!H7&gt;0,MIN(Skills!I7,MAX(0,MAX(0,Inputs!$B$43-B882)-((R850-1)*IF(Inputs!$B$38="pvp",15,MAX(0.1,Skills!D7-IF(Skills!E7=TRUE,Inputs!$B$32,0))))))/Skills!H7,1)))/Inputs!$B$43),G850*Q850))*IF(Inputs!$B$38="pvp",1,(1+(Inputs!$B$21+Skills!Q7)/100)*(MIN(Skills!R7,Inputs!$B$37))),0)</f>
        <v/>
      </c>
    </row>
    <row r="851">
      <c r="A851">
        <f>Skills!A8</f>
        <v/>
      </c>
      <c r="B851">
        <f>Skills!B8</f>
        <v/>
      </c>
      <c r="C851">
        <f>Inputs!$B$3&gt;=100</f>
        <v/>
      </c>
      <c r="D851">
        <f>IF(Skills!C8=1,60+Inputs!$B$25+Inputs!$B$29,IF(Skills!C8=2,90+Inputs!$B$26+Inputs!$B$29,IF(Skills!C8=3,120+(Inputs!$B$27+1)+Inputs!$B$29,MAX(0,(Inputs!$B$3-100)*3)+Inputs!$B$28+Inputs!$B$29)))</f>
        <v/>
      </c>
      <c r="E851">
        <f>INDEX(FactorTable!$B$2:$Y$301, MATCH(ROUND(MIN(300,MAX(1,D851)),0), FactorTable!$A$2:$A$301,0), Skills!M8+1)</f>
        <v/>
      </c>
      <c r="F851">
        <f>IF(Skills!N8=TRUE,(Skills!L8/10)*(E851/1000),Skills!L8/10)+Skills!O8</f>
        <v/>
      </c>
      <c r="G851" t="inlineStr"/>
      <c r="H851" t="inlineStr"/>
      <c r="I851" t="inlineStr">
        <is>
          <t>1</t>
        </is>
      </c>
      <c r="J851" t="inlineStr"/>
      <c r="K851" t="inlineStr"/>
      <c r="L851" t="inlineStr"/>
      <c r="M851" t="inlineStr"/>
      <c r="N851" t="inlineStr"/>
      <c r="O851" t="inlineStr"/>
      <c r="P851" t="inlineStr"/>
      <c r="Q851" t="inlineStr"/>
      <c r="R851" t="inlineStr"/>
      <c r="S851" t="inlineStr"/>
      <c r="T851" t="inlineStr"/>
      <c r="V851" t="inlineStr"/>
    </row>
    <row r="852">
      <c r="A852">
        <f>Skills!A9</f>
        <v/>
      </c>
      <c r="B852">
        <f>Skills!B9</f>
        <v/>
      </c>
      <c r="C852">
        <f>Inputs!$B$3&gt;=103</f>
        <v/>
      </c>
      <c r="D852">
        <f>IF(Skills!C9=1,60+Inputs!$B$25+Inputs!$B$29,IF(Skills!C9=2,90+Inputs!$B$26+Inputs!$B$29,IF(Skills!C9=3,120+(Inputs!$B$27+1)+Inputs!$B$29,MAX(0,(Inputs!$B$3-100)*3)+Inputs!$B$28+Inputs!$B$29)))</f>
        <v/>
      </c>
      <c r="E852">
        <f>INDEX(FactorTable!$B$2:$Y$301, MATCH(ROUND(MIN(300,MAX(1,D852)),0), FactorTable!$A$2:$A$301,0), Skills!M9+1)</f>
        <v/>
      </c>
      <c r="F852">
        <f>IF(Skills!N9=TRUE,(Skills!L9/10)*(E852/1000),Skills!L9/10)+Skills!O9</f>
        <v/>
      </c>
      <c r="G852">
        <f>Skills!G9*IF(Skills!H9&gt;0,Skills!I9/Skills!H9,1)</f>
        <v/>
      </c>
      <c r="H852">
        <f>1-(1-Skills!J9/100)^Skills!K9</f>
        <v/>
      </c>
      <c r="I852" t="inlineStr">
        <is>
          <t>1</t>
        </is>
      </c>
      <c r="J852">
        <f>((Inputs!$B$6*(1+Inputs!$B$7/100))+(((Inputs!$B$12*(1+Inputs!$B$13/100))-(Inputs!$B$12*(1+Inputs!$B$13/100)))+0.25*(Inputs!$B$14-Inputs!$B$14))*(1+Inputs!$B$7/100))*(F852/100)</f>
        <v/>
      </c>
      <c r="K852">
        <f>J852*(1+((Inputs!$B$12*(1+Inputs!$B$13/100))*0.01+Inputs!$B$14*0.0025)/100)*(1+Inputs!$B$15/100)*(1+Inputs!$B$16/100)*(5000/(6000+Inputs!$B$42*(1-(Inputs!$B$19+0)/100)))*(1+(Inputs!$B$24+((C867=TRUE)*(F867-Calc!F24))+((C868=TRUE)*(F868-Calc!F25))+B881)/100)*(1+(IF(Skills!A9="EMPOWERED_PIERCING_ARROW",Inputs!$B$17+((C865=TRUE)*(F865-Calc!F22)),Inputs!$B$18+((C870=TRUE)*(F870-Calc!F27))))/100)*((1+(((C856=TRUE)*F856)+((C857=TRUE)*IF(Inputs!$B$38="pvp",F857,(1-Summary!$B$55)*(F857)+Summary!$B$55*(0)))+((C858=TRUE)*F858*IF(AND(Inputs!$B$38&lt;&gt;"pvp",Inputs!$B$43&gt;0),(((R858-1)*(Skills!T15*(1+Inputs!$B$34/100))+MIN((Skills!T15*(1+Inputs!$B$34/100)),MAX(0,Inputs!$B$43-((R858-1)*Skills!D15))))/Inputs!$B$43),IF(Inputs!$B$38="pvp",MIN((Skills!T15*(1+Inputs!$B$34/100)),15)/15,(Skills!T15*(1+Inputs!$B$34/100))/Skills!D15)))+((C855=TRUE)*F855)+((C872=TRUE)*(F872-Calc!F29)))/100)*I852)</f>
        <v/>
      </c>
      <c r="L852">
        <f>K852*(MIN(Inputs!$B$22+((C866=TRUE)*(F866-Calc!F23)),Inputs!$B$23+((C871=TRUE)*(F871-Calc!F28)))/100+(Inputs!$B$23+((C871=TRUE)*(F871-Calc!F28)))/100)/2</f>
        <v/>
      </c>
      <c r="M852">
        <f>L852*(1+(Inputs!$B$10+0+B880)/100)</f>
        <v/>
      </c>
      <c r="N852">
        <f>L852*(1-MIN((Inputs!$B$9+((C862=TRUE)*(F862-Calc!F19))+B875),100)/100)+M852*(MIN((Inputs!$B$9+((C862=TRUE)*(F862-Calc!F19))+B875),100)/100)</f>
        <v/>
      </c>
      <c r="O852">
        <f>(1-Summary!$B$55)*T852+Summary!$B$55*V852</f>
        <v/>
      </c>
      <c r="P852">
        <f>IF(B885=0,0,O852/B885)</f>
        <v/>
      </c>
      <c r="Q852">
        <f>IFERROR(1/IF(Inputs!$B$38="pvp",15,MAX(0.1,Skills!D9-IF(Skills!E9=TRUE,Inputs!$B$32,0))),0)</f>
        <v/>
      </c>
      <c r="R852">
        <f>IF(AND(Inputs!$B$38&lt;&gt;"pvp",Inputs!$B$43&gt;0),IF(MAX(0,Inputs!$B$43-B882)&lt;=0,0,(INT(MAX(0,Inputs!$B$43-B882)/IF(Inputs!$B$38="pvp",15,MAX(0.1,Skills!D9-IF(Skills!E9=TRUE,Inputs!$B$32,0))))+1)),0)</f>
        <v/>
      </c>
      <c r="S852">
        <f>IFERROR((H852*N852*IF(AND(Inputs!$B$38&lt;&gt;"pvp",Inputs!$B$43&gt;0),((Skills!G9*((R852-1)*IF(Skills!H9&gt;0,Skills!I9/Skills!H9,1)+IF(Skills!H9&gt;0,MIN(Skills!I9,MAX(0,MAX(0,Inputs!$B$43-B882)-((R852-1)*IF(Inputs!$B$38="pvp",15,MAX(0.1,Skills!D9-IF(Skills!E9=TRUE,Inputs!$B$32,0))))))/Skills!H9,1)))/Inputs!$B$43),G852*Q852))/N852*IF(Inputs!$B$38="pvp",1,(1-Summary!$B$55)*1+Summary!$B$55*(MIN(Skills!R9,Inputs!$B$37))),0)</f>
        <v/>
      </c>
      <c r="T852">
        <f>IF(C852,(H852*N852*IF(AND(Inputs!$B$38&lt;&gt;"pvp",Inputs!$B$43&gt;0),((Skills!G9*((R852-1)*IF(Skills!H9&gt;0,Skills!I9/Skills!H9,1)+IF(Skills!H9&gt;0,MIN(Skills!I9,MAX(0,MAX(0,Inputs!$B$43-B882)-((R852-1)*IF(Inputs!$B$38="pvp",15,MAX(0.1,Skills!D9-IF(Skills!E9=TRUE,Inputs!$B$32,0))))))/Skills!H9,1)))/Inputs!$B$43),G852*Q852))*IF(Inputs!$B$38="pvp",1,1+(Inputs!$B$20+0+Skills!P9)/100),0)</f>
        <v/>
      </c>
      <c r="V852">
        <f>IF(C852,(H852*N852*IF(AND(Inputs!$B$38&lt;&gt;"pvp",Inputs!$B$43&gt;0),((Skills!G9*((R852-1)*IF(Skills!H9&gt;0,Skills!I9/Skills!H9,1)+IF(Skills!H9&gt;0,MIN(Skills!I9,MAX(0,MAX(0,Inputs!$B$43-B882)-((R852-1)*IF(Inputs!$B$38="pvp",15,MAX(0.1,Skills!D9-IF(Skills!E9=TRUE,Inputs!$B$32,0))))))/Skills!H9,1)))/Inputs!$B$43),G852*Q852))*IF(Inputs!$B$38="pvp",1,(1+(Inputs!$B$21+Skills!Q9)/100)*(MIN(Skills!R9,Inputs!$B$37))),0)</f>
        <v/>
      </c>
    </row>
    <row r="853">
      <c r="A853">
        <f>Skills!A10</f>
        <v/>
      </c>
      <c r="B853">
        <f>Skills!B10</f>
        <v/>
      </c>
      <c r="C853">
        <f>Inputs!$B$3&gt;=107</f>
        <v/>
      </c>
      <c r="D853">
        <f>IF(Skills!C10=1,60+Inputs!$B$25+Inputs!$B$29,IF(Skills!C10=2,90+Inputs!$B$26+Inputs!$B$29,IF(Skills!C10=3,120+(Inputs!$B$27+1)+Inputs!$B$29,MAX(0,(Inputs!$B$3-100)*3)+Inputs!$B$28+Inputs!$B$29)))</f>
        <v/>
      </c>
      <c r="E853">
        <f>INDEX(FactorTable!$B$2:$Y$301, MATCH(ROUND(MIN(300,MAX(1,D853)),0), FactorTable!$A$2:$A$301,0), Skills!M10+1)</f>
        <v/>
      </c>
      <c r="F853">
        <f>IF(Skills!N10=TRUE,(Skills!L10/10)*(E853/1000),Skills!L10/10)+Skills!O10</f>
        <v/>
      </c>
      <c r="G853">
        <f>Skills!G10*IF(Skills!H10&gt;0,Skills!I10/Skills!H10,1)</f>
        <v/>
      </c>
      <c r="H853">
        <f>1-(1-Skills!J10/100)^Skills!K10</f>
        <v/>
      </c>
      <c r="I853" t="inlineStr">
        <is>
          <t>1</t>
        </is>
      </c>
      <c r="J853">
        <f>((Inputs!$B$6*(1+Inputs!$B$7/100))+(((Inputs!$B$12*(1+Inputs!$B$13/100))-(Inputs!$B$12*(1+Inputs!$B$13/100)))+0.25*(Inputs!$B$14-Inputs!$B$14))*(1+Inputs!$B$7/100))*(F853/100)</f>
        <v/>
      </c>
      <c r="K853">
        <f>J853*(1+((Inputs!$B$12*(1+Inputs!$B$13/100))*0.01+Inputs!$B$14*0.0025)/100)*(1+Inputs!$B$15/100)*(1+Inputs!$B$16/100)*(5000/(6000+Inputs!$B$42*(1-(Inputs!$B$19+0)/100)))*(1+(Inputs!$B$24+((C867=TRUE)*(F867-Calc!F24))+((C868=TRUE)*(F868-Calc!F25))+B881)/100)*(1+(IF(Skills!A10="EMPOWERED_PIERCING_ARROW",Inputs!$B$17+((C865=TRUE)*(F865-Calc!F22)),Inputs!$B$18+((C870=TRUE)*(F870-Calc!F27))))/100)*((1+(((C856=TRUE)*F856)+((C857=TRUE)*IF(Inputs!$B$38="pvp",F857,(1-Summary!$B$55)*(F857)+Summary!$B$55*(0)))+((C858=TRUE)*F858*IF(AND(Inputs!$B$38&lt;&gt;"pvp",Inputs!$B$43&gt;0),(((R858-1)*(Skills!T15*(1+Inputs!$B$34/100))+MIN((Skills!T15*(1+Inputs!$B$34/100)),MAX(0,Inputs!$B$43-((R858-1)*Skills!D15))))/Inputs!$B$43),IF(Inputs!$B$38="pvp",MIN((Skills!T15*(1+Inputs!$B$34/100)),15)/15,(Skills!T15*(1+Inputs!$B$34/100))/Skills!D15)))+((C855=TRUE)*F855)+((C872=TRUE)*(F872-Calc!F29)))/100)*I853)</f>
        <v/>
      </c>
      <c r="L853">
        <f>K853*(MIN(Inputs!$B$22+((C866=TRUE)*(F866-Calc!F23)),Inputs!$B$23+((C871=TRUE)*(F871-Calc!F28)))/100+(Inputs!$B$23+((C871=TRUE)*(F871-Calc!F28)))/100)/2</f>
        <v/>
      </c>
      <c r="M853">
        <f>L853*(1+(Inputs!$B$10+0+B880)/100)</f>
        <v/>
      </c>
      <c r="N853">
        <f>L853*(1-MIN((Inputs!$B$9+((C862=TRUE)*(F862-Calc!F19))+B875),100)/100)+M853*(MIN((Inputs!$B$9+((C862=TRUE)*(F862-Calc!F19))+B875),100)/100)</f>
        <v/>
      </c>
      <c r="O853">
        <f>(1-Summary!$B$55)*T853+Summary!$B$55*V853</f>
        <v/>
      </c>
      <c r="P853">
        <f>IF(B885=0,0,O853/B885)</f>
        <v/>
      </c>
      <c r="Q853" t="n">
        <v>0</v>
      </c>
      <c r="R853" t="n">
        <v>0</v>
      </c>
      <c r="S853" t="n">
        <v>0</v>
      </c>
      <c r="T853">
        <f>IF(C853,(0.15*SUMPRODUCT((Skills!U2:U29=TRUE)*(C845:C872=TRUE)*S845:S872)*Skills!G10*N853)*IF(Inputs!$B$38="pvp",1,1+(Inputs!$B$20+0+Skills!P10)/100),0)</f>
        <v/>
      </c>
      <c r="V853">
        <f>IF(C853,(0.15*SUMPRODUCT((Skills!U2:U29=TRUE)*(C845:C872=TRUE)*S845:S872)*Skills!G10*N853)*IF(Inputs!$B$38="pvp",1,(1+(Inputs!$B$21+Skills!Q10)/100)*(MIN(Skills!R10,Inputs!$B$37))),0)</f>
        <v/>
      </c>
    </row>
    <row r="854">
      <c r="A854">
        <f>Skills!A11</f>
        <v/>
      </c>
      <c r="B854">
        <f>Skills!B11</f>
        <v/>
      </c>
      <c r="C854">
        <f>Inputs!$B$3&gt;=110</f>
        <v/>
      </c>
      <c r="D854">
        <f>IF(Skills!C11=1,60+Inputs!$B$25+Inputs!$B$29,IF(Skills!C11=2,90+Inputs!$B$26+Inputs!$B$29,IF(Skills!C11=3,120+(Inputs!$B$27+1)+Inputs!$B$29,MAX(0,(Inputs!$B$3-100)*3)+Inputs!$B$28+Inputs!$B$29)))</f>
        <v/>
      </c>
      <c r="E854">
        <f>INDEX(FactorTable!$B$2:$Y$301, MATCH(ROUND(MIN(300,MAX(1,D854)),0), FactorTable!$A$2:$A$301,0), Skills!M11+1)</f>
        <v/>
      </c>
      <c r="F854">
        <f>IF(Skills!N11=TRUE,(Skills!L11/10)*(E854/1000),Skills!L11/10)+Skills!O11</f>
        <v/>
      </c>
      <c r="G854">
        <f>Skills!G11*IF(Skills!H11&gt;0,Skills!I11/Skills!H11,1)</f>
        <v/>
      </c>
      <c r="H854">
        <f>1-(1-Skills!J11/100)^Skills!K11</f>
        <v/>
      </c>
      <c r="I854" t="inlineStr">
        <is>
          <t>1</t>
        </is>
      </c>
      <c r="J854">
        <f>((Inputs!$B$6*(1+Inputs!$B$7/100))+(((Inputs!$B$12*(1+Inputs!$B$13/100))-(Inputs!$B$12*(1+Inputs!$B$13/100)))+0.25*(Inputs!$B$14-Inputs!$B$14))*(1+Inputs!$B$7/100))*(F854/100)</f>
        <v/>
      </c>
      <c r="K854">
        <f>J854*(1+((Inputs!$B$12*(1+Inputs!$B$13/100))*0.01+Inputs!$B$14*0.0025)/100)*(1+Inputs!$B$15/100)*(1+Inputs!$B$16/100)*(5000/(6000+Inputs!$B$42*(1-(Inputs!$B$19+0)/100)))*(1+(Inputs!$B$24+((C867=TRUE)*(F867-Calc!F24))+((C868=TRUE)*(F868-Calc!F25))+B881)/100)*(1+(IF(Skills!A11="EMPOWERED_PIERCING_ARROW",Inputs!$B$17+((C865=TRUE)*(F865-Calc!F22)),Inputs!$B$18+((C870=TRUE)*(F870-Calc!F27))))/100)*((1+(((C856=TRUE)*F856)+((C857=TRUE)*IF(Inputs!$B$38="pvp",F857,(1-Summary!$B$55)*(F857)+Summary!$B$55*(0)))+((C858=TRUE)*F858*IF(AND(Inputs!$B$38&lt;&gt;"pvp",Inputs!$B$43&gt;0),(((R858-1)*(Skills!T15*(1+Inputs!$B$34/100))+MIN((Skills!T15*(1+Inputs!$B$34/100)),MAX(0,Inputs!$B$43-((R858-1)*Skills!D15))))/Inputs!$B$43),IF(Inputs!$B$38="pvp",MIN((Skills!T15*(1+Inputs!$B$34/100)),15)/15,(Skills!T15*(1+Inputs!$B$34/100))/Skills!D15)))+((C855=TRUE)*F855)+((C872=TRUE)*(F872-Calc!F29)))/100)*I854)</f>
        <v/>
      </c>
      <c r="L854">
        <f>K854*(MIN(Inputs!$B$22+((C866=TRUE)*(F866-Calc!F23)),Inputs!$B$23+((C871=TRUE)*(F871-Calc!F28)))/100+(Inputs!$B$23+((C871=TRUE)*(F871-Calc!F28)))/100)/2</f>
        <v/>
      </c>
      <c r="M854">
        <f>L854*(1+(Inputs!$B$10+0+B880)/100)</f>
        <v/>
      </c>
      <c r="N854">
        <f>L854*(1-MIN((Inputs!$B$9+((C862=TRUE)*(F862-Calc!F19))+B875),100)/100)+M854*(MIN((Inputs!$B$9+((C862=TRUE)*(F862-Calc!F19))+B875),100)/100)</f>
        <v/>
      </c>
      <c r="O854">
        <f>(1-Summary!$B$55)*T854+Summary!$B$55*V854</f>
        <v/>
      </c>
      <c r="P854">
        <f>IF(B885=0,0,O854/B885)</f>
        <v/>
      </c>
      <c r="Q854">
        <f>IFERROR(1/IF(Inputs!$B$38="pvp",15,MAX(0.1,Skills!D11-IF(Skills!E11=TRUE,Inputs!$B$32,0))),0)</f>
        <v/>
      </c>
      <c r="R854">
        <f>IF(AND(Inputs!$B$38&lt;&gt;"pvp",Inputs!$B$43&gt;0),IF(MAX(0,Inputs!$B$43-B882)&lt;=0,0,(INT(MAX(0,Inputs!$B$43-B882)/IF(Inputs!$B$38="pvp",15,MAX(0.1,Skills!D11-IF(Skills!E11=TRUE,Inputs!$B$32,0))))+1)),0)</f>
        <v/>
      </c>
      <c r="S854">
        <f>IFERROR((H854*N854*IF(AND(Inputs!$B$38&lt;&gt;"pvp",Inputs!$B$43&gt;0),((Skills!G11*((R854-1)*IF(Skills!H11&gt;0,Skills!I11/Skills!H11,1)+IF(Skills!H11&gt;0,MIN(Skills!I11,MAX(0,MAX(0,Inputs!$B$43-B882)-((R854-1)*IF(Inputs!$B$38="pvp",15,MAX(0.1,Skills!D11-IF(Skills!E11=TRUE,Inputs!$B$32,0))))))/Skills!H11,1)))/Inputs!$B$43),G854*Q854))/N854*IF(Inputs!$B$38="pvp",1,(1-Summary!$B$55)*1+Summary!$B$55*(MIN(Skills!R11,Inputs!$B$37))),0)</f>
        <v/>
      </c>
      <c r="T854">
        <f>IF(C854,(H854*N854*IF(AND(Inputs!$B$38&lt;&gt;"pvp",Inputs!$B$43&gt;0),((Skills!G11*((R854-1)*IF(Skills!H11&gt;0,Skills!I11/Skills!H11,1)+IF(Skills!H11&gt;0,MIN(Skills!I11,MAX(0,MAX(0,Inputs!$B$43-B882)-((R854-1)*IF(Inputs!$B$38="pvp",15,MAX(0.1,Skills!D11-IF(Skills!E11=TRUE,Inputs!$B$32,0))))))/Skills!H11,1)))/Inputs!$B$43),G854*Q854))*IF(Inputs!$B$38="pvp",1,1+(Inputs!$B$20+0+Skills!P11)/100),0)</f>
        <v/>
      </c>
      <c r="V854">
        <f>IF(C854,(H854*N854*IF(AND(Inputs!$B$38&lt;&gt;"pvp",Inputs!$B$43&gt;0),((Skills!G11*((R854-1)*IF(Skills!H11&gt;0,Skills!I11/Skills!H11,1)+IF(Skills!H11&gt;0,MIN(Skills!I11,MAX(0,MAX(0,Inputs!$B$43-B882)-((R854-1)*IF(Inputs!$B$38="pvp",15,MAX(0.1,Skills!D11-IF(Skills!E11=TRUE,Inputs!$B$32,0))))))/Skills!H11,1)))/Inputs!$B$43),G854*Q854))*IF(Inputs!$B$38="pvp",1,(1+(Inputs!$B$21+Skills!Q11)/100)*(MIN(Skills!R11,Inputs!$B$37))),0)</f>
        <v/>
      </c>
    </row>
    <row r="855">
      <c r="A855">
        <f>Skills!A12</f>
        <v/>
      </c>
      <c r="B855">
        <f>Skills!B12</f>
        <v/>
      </c>
      <c r="C855">
        <f>Inputs!$B$3&gt;=60</f>
        <v/>
      </c>
      <c r="D855">
        <f>IF(Skills!C12=1,60+Inputs!$B$25+Inputs!$B$29,IF(Skills!C12=2,90+Inputs!$B$26+Inputs!$B$29,IF(Skills!C12=3,120+(Inputs!$B$27+1)+Inputs!$B$29,MAX(0,(Inputs!$B$3-100)*3)+Inputs!$B$28+Inputs!$B$29)))</f>
        <v/>
      </c>
      <c r="E855">
        <f>INDEX(FactorTable!$B$2:$Y$301, MATCH(ROUND(MIN(300,MAX(1,D855)),0), FactorTable!$A$2:$A$301,0), Skills!M12+1)</f>
        <v/>
      </c>
      <c r="F855">
        <f>IF(Skills!N12=TRUE,(Skills!L12/10)*(E855/1000),Skills!L12/10)+Skills!O12</f>
        <v/>
      </c>
      <c r="G855">
        <f>Skills!G12*IF(Skills!H12&gt;0,Skills!I12/Skills!H12,1)</f>
        <v/>
      </c>
      <c r="H855">
        <f>1-(1-Skills!J12/100)^Skills!K12</f>
        <v/>
      </c>
      <c r="I855" t="inlineStr">
        <is>
          <t>1</t>
        </is>
      </c>
      <c r="J855" t="inlineStr"/>
      <c r="K855" t="inlineStr"/>
      <c r="L855" t="inlineStr"/>
      <c r="M855" t="inlineStr"/>
      <c r="N855" t="inlineStr"/>
      <c r="O855">
        <f>(1-Summary!$B$55)*T855+Summary!$B$55*V855</f>
        <v/>
      </c>
      <c r="P855">
        <f>IF(B885=0,0,O855/B885)</f>
        <v/>
      </c>
      <c r="Q855" t="n">
        <v>0</v>
      </c>
      <c r="R855" t="n">
        <v>0</v>
      </c>
      <c r="S855" t="n">
        <v>0</v>
      </c>
      <c r="T855" t="n">
        <v>0</v>
      </c>
      <c r="V855" t="n">
        <v>0</v>
      </c>
    </row>
    <row r="856">
      <c r="A856">
        <f>Skills!A13</f>
        <v/>
      </c>
      <c r="B856">
        <f>Skills!B13</f>
        <v/>
      </c>
      <c r="C856">
        <f>Inputs!$B$3&gt;=74</f>
        <v/>
      </c>
      <c r="D856">
        <f>IF(Skills!C13=1,60+Inputs!$B$25+Inputs!$B$29,IF(Skills!C13=2,90+Inputs!$B$26+Inputs!$B$29,IF(Skills!C13=3,120+(Inputs!$B$27+1)+Inputs!$B$29,MAX(0,(Inputs!$B$3-100)*3)+Inputs!$B$28+Inputs!$B$29)))</f>
        <v/>
      </c>
      <c r="E856">
        <f>INDEX(FactorTable!$B$2:$Y$301, MATCH(ROUND(MIN(300,MAX(1,D856)),0), FactorTable!$A$2:$A$301,0), Skills!M13+1)</f>
        <v/>
      </c>
      <c r="F856">
        <f>IF(Skills!N13=TRUE,(Skills!L13/10)*(E856/1000),Skills!L13/10)+Skills!O13</f>
        <v/>
      </c>
      <c r="G856">
        <f>Skills!G13*IF(Skills!H13&gt;0,Skills!I13/Skills!H13,1)</f>
        <v/>
      </c>
      <c r="H856">
        <f>1-(1-Skills!J13/100)^Skills!K13</f>
        <v/>
      </c>
      <c r="I856" t="inlineStr">
        <is>
          <t>1</t>
        </is>
      </c>
      <c r="J856" t="inlineStr"/>
      <c r="K856" t="inlineStr"/>
      <c r="L856" t="inlineStr"/>
      <c r="M856" t="inlineStr"/>
      <c r="N856" t="inlineStr"/>
      <c r="O856">
        <f>(1-Summary!$B$55)*T856+Summary!$B$55*V856</f>
        <v/>
      </c>
      <c r="P856">
        <f>IF(B885=0,0,O856/B885)</f>
        <v/>
      </c>
      <c r="Q856" t="n">
        <v>0</v>
      </c>
      <c r="R856" t="n">
        <v>0</v>
      </c>
      <c r="S856" t="n">
        <v>0</v>
      </c>
      <c r="T856" t="n">
        <v>0</v>
      </c>
      <c r="V856" t="n">
        <v>0</v>
      </c>
    </row>
    <row r="857">
      <c r="A857">
        <f>Skills!A14</f>
        <v/>
      </c>
      <c r="B857">
        <f>Skills!B14</f>
        <v/>
      </c>
      <c r="C857">
        <f>Inputs!$B$3&gt;=74</f>
        <v/>
      </c>
      <c r="D857">
        <f>IF(Skills!C14=1,60+Inputs!$B$25+Inputs!$B$29,IF(Skills!C14=2,90+Inputs!$B$26+Inputs!$B$29,IF(Skills!C14=3,120+(Inputs!$B$27+1)+Inputs!$B$29,MAX(0,(Inputs!$B$3-100)*3)+Inputs!$B$28+Inputs!$B$29)))</f>
        <v/>
      </c>
      <c r="E857">
        <f>INDEX(FactorTable!$B$2:$Y$301, MATCH(ROUND(MIN(300,MAX(1,D857)),0), FactorTable!$A$2:$A$301,0), Skills!M14+1)</f>
        <v/>
      </c>
      <c r="F857">
        <f>IF(Skills!N14=TRUE,(Skills!L14/10)*(E857/1000),Skills!L14/10)+Skills!O14</f>
        <v/>
      </c>
      <c r="G857">
        <f>Skills!G14*IF(Skills!H14&gt;0,Skills!I14/Skills!H14,1)</f>
        <v/>
      </c>
      <c r="H857">
        <f>1-(1-Skills!J14/100)^Skills!K14</f>
        <v/>
      </c>
      <c r="I857" t="inlineStr">
        <is>
          <t>1</t>
        </is>
      </c>
      <c r="J857" t="inlineStr"/>
      <c r="K857" t="inlineStr"/>
      <c r="L857" t="inlineStr"/>
      <c r="M857" t="inlineStr"/>
      <c r="N857" t="inlineStr"/>
      <c r="O857">
        <f>(1-Summary!$B$55)*T857+Summary!$B$55*V857</f>
        <v/>
      </c>
      <c r="P857">
        <f>IF(B885=0,0,O857/B885)</f>
        <v/>
      </c>
      <c r="Q857" t="n">
        <v>0</v>
      </c>
      <c r="R857" t="n">
        <v>0</v>
      </c>
      <c r="S857" t="n">
        <v>0</v>
      </c>
      <c r="T857" t="n">
        <v>0</v>
      </c>
      <c r="V857" t="n">
        <v>0</v>
      </c>
    </row>
    <row r="858">
      <c r="A858">
        <f>Skills!A15</f>
        <v/>
      </c>
      <c r="B858">
        <f>Skills!B15</f>
        <v/>
      </c>
      <c r="C858">
        <f>Inputs!$B$3&gt;=117</f>
        <v/>
      </c>
      <c r="D858">
        <f>IF(Skills!C15=1,60+Inputs!$B$25+Inputs!$B$29,IF(Skills!C15=2,90+Inputs!$B$26+Inputs!$B$29,IF(Skills!C15=3,120+(Inputs!$B$27+1)+Inputs!$B$29,MAX(0,(Inputs!$B$3-100)*3)+Inputs!$B$28+Inputs!$B$29)))</f>
        <v/>
      </c>
      <c r="E858">
        <f>INDEX(FactorTable!$B$2:$Y$301, MATCH(ROUND(MIN(300,MAX(1,D858)),0), FactorTable!$A$2:$A$301,0), Skills!M15+1)</f>
        <v/>
      </c>
      <c r="F858">
        <f>IF(Skills!N15=TRUE,(Skills!L15/10)*(E858/1000),Skills!L15/10)+Skills!O15</f>
        <v/>
      </c>
      <c r="G858">
        <f>Skills!G15*IF(Skills!H15&gt;0,Skills!I15/Skills!H15,1)</f>
        <v/>
      </c>
      <c r="H858">
        <f>1-(1-Skills!J15/100)^Skills!K15</f>
        <v/>
      </c>
      <c r="I858" t="inlineStr">
        <is>
          <t>1</t>
        </is>
      </c>
      <c r="J858" t="inlineStr"/>
      <c r="K858" t="inlineStr"/>
      <c r="L858" t="inlineStr"/>
      <c r="M858" t="inlineStr"/>
      <c r="N858" t="inlineStr"/>
      <c r="O858">
        <f>(1-Summary!$B$55)*T858+Summary!$B$55*V858</f>
        <v/>
      </c>
      <c r="P858">
        <f>IF(B885=0,0,O858/B885)</f>
        <v/>
      </c>
      <c r="Q858">
        <f>IFERROR(1/IF(Inputs!$B$38="pvp",15,MAX(0.1,Skills!D15-IF(Skills!E15=TRUE,Inputs!$B$32,0))),0)</f>
        <v/>
      </c>
      <c r="R858">
        <f>IF(AND(Inputs!$B$38&lt;&gt;"pvp",Inputs!$B$43&gt;0),IF(Inputs!$B$43&lt;=0,0,(INT(Inputs!$B$43/IF(Inputs!$B$38="pvp",15,MAX(0.1,Skills!D15-IF(Skills!E15=TRUE,Inputs!$B$32,0))))+1)),0)</f>
        <v/>
      </c>
      <c r="S858" t="n">
        <v>0</v>
      </c>
      <c r="T858" t="n">
        <v>0</v>
      </c>
      <c r="V858" t="n">
        <v>0</v>
      </c>
    </row>
    <row r="859">
      <c r="A859">
        <f>Skills!A16</f>
        <v/>
      </c>
      <c r="B859">
        <f>Skills!B16</f>
        <v/>
      </c>
      <c r="C859">
        <f>Inputs!$B$3&gt;=115</f>
        <v/>
      </c>
      <c r="D859">
        <f>IF(Skills!C16=1,60+Inputs!$B$25+Inputs!$B$29,IF(Skills!C16=2,90+Inputs!$B$26+Inputs!$B$29,IF(Skills!C16=3,120+(Inputs!$B$27+1)+Inputs!$B$29,MAX(0,(Inputs!$B$3-100)*3)+Inputs!$B$28+Inputs!$B$29)))</f>
        <v/>
      </c>
      <c r="E859">
        <f>INDEX(FactorTable!$B$2:$Y$301, MATCH(ROUND(MIN(300,MAX(1,D859)),0), FactorTable!$A$2:$A$301,0), Skills!M16+1)</f>
        <v/>
      </c>
      <c r="F859">
        <f>IF(Skills!N16=TRUE,(Skills!L16/10)*(E859/1000),Skills!L16/10)+Skills!O16</f>
        <v/>
      </c>
      <c r="G859">
        <f>Skills!G16*IF(Skills!H16&gt;0,Skills!I16/Skills!H16,1)</f>
        <v/>
      </c>
      <c r="H859">
        <f>1-(1-Skills!J16/100)^Skills!K16</f>
        <v/>
      </c>
      <c r="I859" t="inlineStr">
        <is>
          <t>1</t>
        </is>
      </c>
      <c r="J859" t="inlineStr"/>
      <c r="K859" t="inlineStr"/>
      <c r="L859" t="inlineStr"/>
      <c r="M859" t="inlineStr"/>
      <c r="N859" t="inlineStr"/>
      <c r="O859">
        <f>(1-Summary!$B$55)*T859+Summary!$B$55*V859</f>
        <v/>
      </c>
      <c r="P859">
        <f>IF(B885=0,0,O859/B885)</f>
        <v/>
      </c>
      <c r="Q859">
        <f>IFERROR(1/IF(Inputs!$B$38="pvp",15,MAX(0.1,Skills!D16-IF(Skills!E16=TRUE,Inputs!$B$32,0))),0)</f>
        <v/>
      </c>
      <c r="R859">
        <f>IF(AND(Inputs!$B$38&lt;&gt;"pvp",Inputs!$B$43&gt;0),IF(Inputs!$B$43&lt;=0,0,(INT(Inputs!$B$43/IF(Inputs!$B$38="pvp",15,MAX(0.1,Skills!D16-IF(Skills!E16=TRUE,Inputs!$B$32,0))))+1)),0)</f>
        <v/>
      </c>
      <c r="S859" t="n">
        <v>0</v>
      </c>
      <c r="T859" t="n">
        <v>0</v>
      </c>
      <c r="V859" t="n">
        <v>0</v>
      </c>
    </row>
    <row r="860">
      <c r="A860">
        <f>Skills!A17</f>
        <v/>
      </c>
      <c r="B860">
        <f>Skills!B17</f>
        <v/>
      </c>
      <c r="C860">
        <f>Inputs!$B$3&gt;=72</f>
        <v/>
      </c>
      <c r="D860">
        <f>IF(Skills!C17=1,60+Inputs!$B$25+Inputs!$B$29,IF(Skills!C17=2,90+Inputs!$B$26+Inputs!$B$29,IF(Skills!C17=3,120+(Inputs!$B$27+1)+Inputs!$B$29,MAX(0,(Inputs!$B$3-100)*3)+Inputs!$B$28+Inputs!$B$29)))</f>
        <v/>
      </c>
      <c r="E860">
        <f>INDEX(FactorTable!$B$2:$Y$301, MATCH(ROUND(MIN(300,MAX(1,D860)),0), FactorTable!$A$2:$A$301,0), Skills!M17+1)</f>
        <v/>
      </c>
      <c r="F860">
        <f>IF(Skills!N17=TRUE,(Skills!L17/10)*(E860/1000),Skills!L17/10)+Skills!O17</f>
        <v/>
      </c>
      <c r="G860">
        <f>Skills!G17*IF(Skills!H17&gt;0,Skills!I17/Skills!H17,1)</f>
        <v/>
      </c>
      <c r="H860">
        <f>1-(1-Skills!J17/100)^Skills!K17</f>
        <v/>
      </c>
      <c r="I860" t="inlineStr">
        <is>
          <t>1</t>
        </is>
      </c>
      <c r="J860" t="inlineStr"/>
      <c r="K860" t="inlineStr"/>
      <c r="L860" t="inlineStr"/>
      <c r="M860" t="inlineStr"/>
      <c r="N860" t="inlineStr"/>
      <c r="O860">
        <f>(1-Summary!$B$55)*T860+Summary!$B$55*V860</f>
        <v/>
      </c>
      <c r="P860">
        <f>IF(B885=0,0,O860/B885)</f>
        <v/>
      </c>
      <c r="Q860" t="n">
        <v>0</v>
      </c>
      <c r="R860" t="n">
        <v>0</v>
      </c>
      <c r="S860" t="n">
        <v>0</v>
      </c>
      <c r="T860" t="n">
        <v>0</v>
      </c>
      <c r="V860" t="n">
        <v>0</v>
      </c>
    </row>
    <row r="861">
      <c r="A861">
        <f>Skills!A18</f>
        <v/>
      </c>
      <c r="B861">
        <f>Skills!B18</f>
        <v/>
      </c>
      <c r="C861">
        <f>TRUE</f>
        <v/>
      </c>
      <c r="D861">
        <f>IF(Skills!C18=1,60+Inputs!$B$25+Inputs!$B$29,IF(Skills!C18=2,90+Inputs!$B$26+Inputs!$B$29,IF(Skills!C18=3,120+(Inputs!$B$27+1)+Inputs!$B$29,MAX(0,(Inputs!$B$3-100)*3)+Inputs!$B$28+Inputs!$B$29)))</f>
        <v/>
      </c>
      <c r="E861">
        <f>INDEX(FactorTable!$B$2:$Y$301, MATCH(ROUND(MIN(300,MAX(1,D861)),0), FactorTable!$A$2:$A$301,0), Skills!M18+1)</f>
        <v/>
      </c>
      <c r="F861">
        <f>IF(Skills!N18=TRUE,(Skills!L18/10)*(E861/1000),Skills!L18/10)+Skills!O18</f>
        <v/>
      </c>
      <c r="G861">
        <f>Skills!G18*IF(Skills!H18&gt;0,Skills!I18/Skills!H18,1)</f>
        <v/>
      </c>
      <c r="H861">
        <f>1-(1-Skills!J18/100)^Skills!K18</f>
        <v/>
      </c>
      <c r="I861" t="inlineStr">
        <is>
          <t>1</t>
        </is>
      </c>
      <c r="J861" t="inlineStr"/>
      <c r="K861" t="inlineStr"/>
      <c r="L861" t="inlineStr"/>
      <c r="M861" t="inlineStr"/>
      <c r="N861" t="inlineStr"/>
      <c r="O861">
        <f>(1-Summary!$B$55)*T861+Summary!$B$55*V861</f>
        <v/>
      </c>
      <c r="P861">
        <f>IF(B885=0,0,O861/B885)</f>
        <v/>
      </c>
      <c r="Q861">
        <f>IFERROR(1/IF(Inputs!$B$38="pvp",15,MAX(0.1,Skills!D18-IF(Skills!E18=TRUE,Inputs!$B$32,0))),0)</f>
        <v/>
      </c>
      <c r="R861">
        <f>IF(AND(Inputs!$B$38&lt;&gt;"pvp",Inputs!$B$43&gt;0),IF(Inputs!$B$43&lt;=0,0,(INT(Inputs!$B$43/IF(Inputs!$B$38="pvp",15,MAX(0.1,Skills!D18-IF(Skills!E18=TRUE,Inputs!$B$32,0))))+1)),0)</f>
        <v/>
      </c>
      <c r="S861" t="n">
        <v>0</v>
      </c>
      <c r="T861" t="n">
        <v>0</v>
      </c>
      <c r="V861" t="n">
        <v>0</v>
      </c>
    </row>
    <row r="862">
      <c r="A862">
        <f>Skills!A19</f>
        <v/>
      </c>
      <c r="B862">
        <f>Skills!B19</f>
        <v/>
      </c>
      <c r="C862">
        <f>Inputs!$B$3&gt;=15</f>
        <v/>
      </c>
      <c r="D862">
        <f>IF(Skills!C19=1,60+Inputs!$B$25+Inputs!$B$29,IF(Skills!C19=2,90+Inputs!$B$26+Inputs!$B$29,IF(Skills!C19=3,120+(Inputs!$B$27+1)+Inputs!$B$29,MAX(0,(Inputs!$B$3-100)*3)+Inputs!$B$28+Inputs!$B$29)))</f>
        <v/>
      </c>
      <c r="E862">
        <f>INDEX(FactorTable!$B$2:$Y$301, MATCH(ROUND(MIN(300,MAX(1,D862)),0), FactorTable!$A$2:$A$301,0), Skills!M19+1)</f>
        <v/>
      </c>
      <c r="F862">
        <f>IF(Skills!N19=TRUE,(Skills!L19/10)*(E862/1000),Skills!L19/10)+Skills!O19</f>
        <v/>
      </c>
      <c r="G862">
        <f>Skills!G19*IF(Skills!H19&gt;0,Skills!I19/Skills!H19,1)</f>
        <v/>
      </c>
      <c r="H862">
        <f>1-(1-Skills!J19/100)^Skills!K19</f>
        <v/>
      </c>
      <c r="I862" t="inlineStr">
        <is>
          <t>1</t>
        </is>
      </c>
      <c r="J862" t="inlineStr"/>
      <c r="K862" t="inlineStr"/>
      <c r="L862" t="inlineStr"/>
      <c r="M862" t="inlineStr"/>
      <c r="N862" t="inlineStr"/>
      <c r="O862">
        <f>(1-Summary!$B$55)*T862+Summary!$B$55*V862</f>
        <v/>
      </c>
      <c r="P862">
        <f>IF(B885=0,0,O862/B885)</f>
        <v/>
      </c>
      <c r="Q862" t="n">
        <v>0</v>
      </c>
      <c r="R862" t="n">
        <v>0</v>
      </c>
      <c r="S862" t="n">
        <v>0</v>
      </c>
      <c r="T862" t="n">
        <v>0</v>
      </c>
      <c r="V862" t="n">
        <v>0</v>
      </c>
    </row>
    <row r="863">
      <c r="A863">
        <f>Skills!A20</f>
        <v/>
      </c>
      <c r="B863">
        <f>Skills!B20</f>
        <v/>
      </c>
      <c r="C863">
        <f>Inputs!$B$3&gt;=10</f>
        <v/>
      </c>
      <c r="D863">
        <f>IF(Skills!C20=1,60+Inputs!$B$25+Inputs!$B$29,IF(Skills!C20=2,90+Inputs!$B$26+Inputs!$B$29,IF(Skills!C20=3,120+(Inputs!$B$27+1)+Inputs!$B$29,MAX(0,(Inputs!$B$3-100)*3)+Inputs!$B$28+Inputs!$B$29)))</f>
        <v/>
      </c>
      <c r="E863">
        <f>INDEX(FactorTable!$B$2:$Y$301, MATCH(ROUND(MIN(300,MAX(1,D863)),0), FactorTable!$A$2:$A$301,0), Skills!M20+1)</f>
        <v/>
      </c>
      <c r="F863">
        <f>IF(Skills!N20=TRUE,(Skills!L20/10)*(E863/1000),Skills!L20/10)+Skills!O20</f>
        <v/>
      </c>
      <c r="G863">
        <f>Skills!G20*IF(Skills!H20&gt;0,Skills!I20/Skills!H20,1)</f>
        <v/>
      </c>
      <c r="H863">
        <f>1-(1-Skills!J20/100)^Skills!K20</f>
        <v/>
      </c>
      <c r="I863" t="inlineStr">
        <is>
          <t>1</t>
        </is>
      </c>
      <c r="J863" t="inlineStr"/>
      <c r="K863" t="inlineStr"/>
      <c r="L863" t="inlineStr"/>
      <c r="M863" t="inlineStr"/>
      <c r="N863" t="inlineStr"/>
      <c r="O863">
        <f>(1-Summary!$B$55)*T863+Summary!$B$55*V863</f>
        <v/>
      </c>
      <c r="P863">
        <f>IF(B885=0,0,O863/B885)</f>
        <v/>
      </c>
      <c r="Q863" t="n">
        <v>0</v>
      </c>
      <c r="R863" t="n">
        <v>0</v>
      </c>
      <c r="S863" t="n">
        <v>0</v>
      </c>
      <c r="T863" t="n">
        <v>0</v>
      </c>
      <c r="V863" t="n">
        <v>0</v>
      </c>
    </row>
    <row r="864">
      <c r="A864">
        <f>Skills!A21</f>
        <v/>
      </c>
      <c r="B864">
        <f>Skills!B21</f>
        <v/>
      </c>
      <c r="C864">
        <f>Inputs!$B$3&gt;=33</f>
        <v/>
      </c>
      <c r="D864">
        <f>IF(Skills!C21=1,60+Inputs!$B$25+Inputs!$B$29,IF(Skills!C21=2,90+Inputs!$B$26+Inputs!$B$29,IF(Skills!C21=3,120+(Inputs!$B$27+1)+Inputs!$B$29,MAX(0,(Inputs!$B$3-100)*3)+Inputs!$B$28+Inputs!$B$29)))</f>
        <v/>
      </c>
      <c r="E864">
        <f>INDEX(FactorTable!$B$2:$Y$301, MATCH(ROUND(MIN(300,MAX(1,D864)),0), FactorTable!$A$2:$A$301,0), Skills!M21+1)</f>
        <v/>
      </c>
      <c r="F864">
        <f>IF(Skills!N21=TRUE,(Skills!L21/10)*(E864/1000),Skills!L21/10)+Skills!O21</f>
        <v/>
      </c>
      <c r="G864">
        <f>Skills!G21*IF(Skills!H21&gt;0,Skills!I21/Skills!H21,1)</f>
        <v/>
      </c>
      <c r="H864">
        <f>1-(1-Skills!J21/100)^Skills!K21</f>
        <v/>
      </c>
      <c r="I864" t="inlineStr">
        <is>
          <t>1</t>
        </is>
      </c>
      <c r="J864" t="inlineStr"/>
      <c r="K864" t="inlineStr"/>
      <c r="L864" t="inlineStr"/>
      <c r="M864" t="inlineStr"/>
      <c r="N864" t="inlineStr"/>
      <c r="O864">
        <f>(1-Summary!$B$55)*T864+Summary!$B$55*V864</f>
        <v/>
      </c>
      <c r="P864">
        <f>IF(B885=0,0,O864/B885)</f>
        <v/>
      </c>
      <c r="Q864" t="n">
        <v>0</v>
      </c>
      <c r="R864" t="n">
        <v>0</v>
      </c>
      <c r="S864" t="n">
        <v>0</v>
      </c>
      <c r="T864" t="n">
        <v>0</v>
      </c>
      <c r="V864" t="n">
        <v>0</v>
      </c>
    </row>
    <row r="865">
      <c r="A865">
        <f>Skills!A22</f>
        <v/>
      </c>
      <c r="B865">
        <f>Skills!B22</f>
        <v/>
      </c>
      <c r="C865">
        <f>Inputs!$B$3&gt;=38</f>
        <v/>
      </c>
      <c r="D865">
        <f>IF(Skills!C22=1,60+Inputs!$B$25+Inputs!$B$29,IF(Skills!C22=2,90+Inputs!$B$26+Inputs!$B$29,IF(Skills!C22=3,120+(Inputs!$B$27+1)+Inputs!$B$29,MAX(0,(Inputs!$B$3-100)*3)+Inputs!$B$28+Inputs!$B$29)))</f>
        <v/>
      </c>
      <c r="E865">
        <f>INDEX(FactorTable!$B$2:$Y$301, MATCH(ROUND(MIN(300,MAX(1,D865)),0), FactorTable!$A$2:$A$301,0), Skills!M22+1)</f>
        <v/>
      </c>
      <c r="F865">
        <f>IF(Skills!N22=TRUE,(Skills!L22/10)*(E865/1000),Skills!L22/10)+Skills!O22</f>
        <v/>
      </c>
      <c r="G865">
        <f>Skills!G22*IF(Skills!H22&gt;0,Skills!I22/Skills!H22,1)</f>
        <v/>
      </c>
      <c r="H865">
        <f>1-(1-Skills!J22/100)^Skills!K22</f>
        <v/>
      </c>
      <c r="I865" t="inlineStr">
        <is>
          <t>1</t>
        </is>
      </c>
      <c r="J865" t="inlineStr"/>
      <c r="K865" t="inlineStr"/>
      <c r="L865" t="inlineStr"/>
      <c r="M865" t="inlineStr"/>
      <c r="N865" t="inlineStr"/>
      <c r="O865">
        <f>(1-Summary!$B$55)*T865+Summary!$B$55*V865</f>
        <v/>
      </c>
      <c r="P865">
        <f>IF(B885=0,0,O865/B885)</f>
        <v/>
      </c>
      <c r="Q865" t="n">
        <v>0</v>
      </c>
      <c r="R865" t="n">
        <v>0</v>
      </c>
      <c r="S865" t="n">
        <v>0</v>
      </c>
      <c r="T865" t="n">
        <v>0</v>
      </c>
      <c r="V865" t="n">
        <v>0</v>
      </c>
    </row>
    <row r="866">
      <c r="A866">
        <f>Skills!A23</f>
        <v/>
      </c>
      <c r="B866">
        <f>Skills!B23</f>
        <v/>
      </c>
      <c r="C866">
        <f>Inputs!$B$3&gt;=43</f>
        <v/>
      </c>
      <c r="D866">
        <f>IF(Skills!C23=1,60+Inputs!$B$25+Inputs!$B$29,IF(Skills!C23=2,90+Inputs!$B$26+Inputs!$B$29,IF(Skills!C23=3,120+(Inputs!$B$27+1)+Inputs!$B$29,MAX(0,(Inputs!$B$3-100)*3)+Inputs!$B$28+Inputs!$B$29)))</f>
        <v/>
      </c>
      <c r="E866">
        <f>INDEX(FactorTable!$B$2:$Y$301, MATCH(ROUND(MIN(300,MAX(1,D866)),0), FactorTable!$A$2:$A$301,0), Skills!M23+1)</f>
        <v/>
      </c>
      <c r="F866">
        <f>IF(Skills!N23=TRUE,(Skills!L23/10)*(E866/1000),Skills!L23/10)+Skills!O23</f>
        <v/>
      </c>
      <c r="G866">
        <f>Skills!G23*IF(Skills!H23&gt;0,Skills!I23/Skills!H23,1)</f>
        <v/>
      </c>
      <c r="H866">
        <f>1-(1-Skills!J23/100)^Skills!K23</f>
        <v/>
      </c>
      <c r="I866" t="inlineStr">
        <is>
          <t>1</t>
        </is>
      </c>
      <c r="J866" t="inlineStr"/>
      <c r="K866" t="inlineStr"/>
      <c r="L866" t="inlineStr"/>
      <c r="M866" t="inlineStr"/>
      <c r="N866" t="inlineStr"/>
      <c r="O866">
        <f>(1-Summary!$B$55)*T866+Summary!$B$55*V866</f>
        <v/>
      </c>
      <c r="P866">
        <f>IF(B885=0,0,O866/B885)</f>
        <v/>
      </c>
      <c r="Q866" t="n">
        <v>0</v>
      </c>
      <c r="R866" t="n">
        <v>0</v>
      </c>
      <c r="S866" t="n">
        <v>0</v>
      </c>
      <c r="T866" t="n">
        <v>0</v>
      </c>
      <c r="V866" t="n">
        <v>0</v>
      </c>
    </row>
    <row r="867">
      <c r="A867">
        <f>Skills!A24</f>
        <v/>
      </c>
      <c r="B867">
        <f>Skills!B24</f>
        <v/>
      </c>
      <c r="C867">
        <f>Inputs!$B$3&gt;=75</f>
        <v/>
      </c>
      <c r="D867">
        <f>IF(Skills!C24=1,60+Inputs!$B$25+Inputs!$B$29,IF(Skills!C24=2,90+Inputs!$B$26+Inputs!$B$29,IF(Skills!C24=3,120+(Inputs!$B$27+1)+Inputs!$B$29,MAX(0,(Inputs!$B$3-100)*3)+Inputs!$B$28+Inputs!$B$29)))</f>
        <v/>
      </c>
      <c r="E867">
        <f>INDEX(FactorTable!$B$2:$Y$301, MATCH(ROUND(MIN(300,MAX(1,D867)),0), FactorTable!$A$2:$A$301,0), Skills!M24+1)</f>
        <v/>
      </c>
      <c r="F867">
        <f>IF(Skills!N24=TRUE,(Skills!L24/10)*(E867/1000),Skills!L24/10)+Skills!O24</f>
        <v/>
      </c>
      <c r="G867">
        <f>Skills!G24*IF(Skills!H24&gt;0,Skills!I24/Skills!H24,1)</f>
        <v/>
      </c>
      <c r="H867">
        <f>1-(1-Skills!J24/100)^Skills!K24</f>
        <v/>
      </c>
      <c r="I867" t="inlineStr">
        <is>
          <t>1</t>
        </is>
      </c>
      <c r="J867" t="inlineStr"/>
      <c r="K867" t="inlineStr"/>
      <c r="L867" t="inlineStr"/>
      <c r="M867" t="inlineStr"/>
      <c r="N867" t="inlineStr"/>
      <c r="O867">
        <f>(1-Summary!$B$55)*T867+Summary!$B$55*V867</f>
        <v/>
      </c>
      <c r="P867">
        <f>IF(B885=0,0,O867/B885)</f>
        <v/>
      </c>
      <c r="Q867" t="n">
        <v>0</v>
      </c>
      <c r="R867" t="n">
        <v>0</v>
      </c>
      <c r="S867" t="n">
        <v>0</v>
      </c>
      <c r="T867" t="n">
        <v>0</v>
      </c>
      <c r="V867" t="n">
        <v>0</v>
      </c>
    </row>
    <row r="868">
      <c r="A868">
        <f>Skills!A25</f>
        <v/>
      </c>
      <c r="B868">
        <f>Skills!B25</f>
        <v/>
      </c>
      <c r="C868">
        <f>Inputs!$B$3&gt;=125</f>
        <v/>
      </c>
      <c r="D868">
        <f>IF(Skills!C25=1,60+Inputs!$B$25+Inputs!$B$29,IF(Skills!C25=2,90+Inputs!$B$26+Inputs!$B$29,IF(Skills!C25=3,120+(Inputs!$B$27+1)+Inputs!$B$29,MAX(0,(Inputs!$B$3-100)*3)+Inputs!$B$28+Inputs!$B$29)))</f>
        <v/>
      </c>
      <c r="E868">
        <f>INDEX(FactorTable!$B$2:$Y$301, MATCH(ROUND(MIN(300,MAX(1,D868)),0), FactorTable!$A$2:$A$301,0), Skills!M25+1)</f>
        <v/>
      </c>
      <c r="F868">
        <f>IF(Skills!N25=TRUE,(Skills!L25/10)*(E868/1000),Skills!L25/10)+Skills!O25</f>
        <v/>
      </c>
      <c r="G868">
        <f>Skills!G25*IF(Skills!H25&gt;0,Skills!I25/Skills!H25,1)</f>
        <v/>
      </c>
      <c r="H868">
        <f>1-(1-Skills!J25/100)^Skills!K25</f>
        <v/>
      </c>
      <c r="I868" t="inlineStr">
        <is>
          <t>1</t>
        </is>
      </c>
      <c r="J868" t="inlineStr"/>
      <c r="K868" t="inlineStr"/>
      <c r="L868" t="inlineStr"/>
      <c r="M868" t="inlineStr"/>
      <c r="N868" t="inlineStr"/>
      <c r="O868">
        <f>(1-Summary!$B$55)*T868+Summary!$B$55*V868</f>
        <v/>
      </c>
      <c r="P868">
        <f>IF(B885=0,0,O868/B885)</f>
        <v/>
      </c>
      <c r="Q868" t="n">
        <v>0</v>
      </c>
      <c r="R868" t="n">
        <v>0</v>
      </c>
      <c r="S868" t="n">
        <v>0</v>
      </c>
      <c r="T868" t="n">
        <v>0</v>
      </c>
      <c r="V868" t="n">
        <v>0</v>
      </c>
    </row>
    <row r="869">
      <c r="A869">
        <f>Skills!A26</f>
        <v/>
      </c>
      <c r="B869">
        <f>Skills!B26</f>
        <v/>
      </c>
      <c r="C869">
        <f>Inputs!$B$3&gt;=125</f>
        <v/>
      </c>
      <c r="D869">
        <f>IF(Skills!C26=1,60+Inputs!$B$25+Inputs!$B$29,IF(Skills!C26=2,90+Inputs!$B$26+Inputs!$B$29,IF(Skills!C26=3,120+(Inputs!$B$27+1)+Inputs!$B$29,MAX(0,(Inputs!$B$3-100)*3)+Inputs!$B$28+Inputs!$B$29)))</f>
        <v/>
      </c>
      <c r="E869">
        <f>INDEX(FactorTable!$B$2:$Y$301, MATCH(ROUND(MIN(300,MAX(1,D869)),0), FactorTable!$A$2:$A$301,0), Skills!M26+1)</f>
        <v/>
      </c>
      <c r="F869">
        <f>IF(Skills!N26=TRUE,(Skills!L26/10)*(E869/1000),Skills!L26/10)+Skills!O26</f>
        <v/>
      </c>
      <c r="G869">
        <f>Skills!G26*IF(Skills!H26&gt;0,Skills!I26/Skills!H26,1)</f>
        <v/>
      </c>
      <c r="H869">
        <f>1-(1-Skills!J26/100)^Skills!K26</f>
        <v/>
      </c>
      <c r="I869" t="inlineStr">
        <is>
          <t>1</t>
        </is>
      </c>
      <c r="J869" t="inlineStr"/>
      <c r="K869" t="inlineStr"/>
      <c r="L869" t="inlineStr"/>
      <c r="M869" t="inlineStr"/>
      <c r="N869" t="inlineStr"/>
      <c r="O869">
        <f>(1-Summary!$B$55)*T869+Summary!$B$55*V869</f>
        <v/>
      </c>
      <c r="P869">
        <f>IF(B885=0,0,O869/B885)</f>
        <v/>
      </c>
      <c r="Q869" t="n">
        <v>0</v>
      </c>
      <c r="R869" t="n">
        <v>0</v>
      </c>
      <c r="S869" t="n">
        <v>0</v>
      </c>
      <c r="T869" t="n">
        <v>0</v>
      </c>
      <c r="V869" t="n">
        <v>0</v>
      </c>
    </row>
    <row r="870">
      <c r="A870">
        <f>Skills!A27</f>
        <v/>
      </c>
      <c r="B870">
        <f>Skills!B27</f>
        <v/>
      </c>
      <c r="C870">
        <f>Inputs!$B$3&gt;=120</f>
        <v/>
      </c>
      <c r="D870">
        <f>IF(Skills!C27=1,60+Inputs!$B$25+Inputs!$B$29,IF(Skills!C27=2,90+Inputs!$B$26+Inputs!$B$29,IF(Skills!C27=3,120+(Inputs!$B$27+1)+Inputs!$B$29,MAX(0,(Inputs!$B$3-100)*3)+Inputs!$B$28+Inputs!$B$29)))</f>
        <v/>
      </c>
      <c r="E870">
        <f>INDEX(FactorTable!$B$2:$Y$301, MATCH(ROUND(MIN(300,MAX(1,D870)),0), FactorTable!$A$2:$A$301,0), Skills!M27+1)</f>
        <v/>
      </c>
      <c r="F870">
        <f>IF(Skills!N27=TRUE,(Skills!L27/10)*(E870/1000),Skills!L27/10)+Skills!O27</f>
        <v/>
      </c>
      <c r="G870">
        <f>Skills!G27*IF(Skills!H27&gt;0,Skills!I27/Skills!H27,1)</f>
        <v/>
      </c>
      <c r="H870">
        <f>1-(1-Skills!J27/100)^Skills!K27</f>
        <v/>
      </c>
      <c r="I870" t="inlineStr">
        <is>
          <t>1</t>
        </is>
      </c>
      <c r="J870" t="inlineStr"/>
      <c r="K870" t="inlineStr"/>
      <c r="L870" t="inlineStr"/>
      <c r="M870" t="inlineStr"/>
      <c r="N870" t="inlineStr"/>
      <c r="O870">
        <f>(1-Summary!$B$55)*T870+Summary!$B$55*V870</f>
        <v/>
      </c>
      <c r="P870">
        <f>IF(B885=0,0,O870/B885)</f>
        <v/>
      </c>
      <c r="Q870" t="n">
        <v>0</v>
      </c>
      <c r="R870" t="n">
        <v>0</v>
      </c>
      <c r="S870" t="n">
        <v>0</v>
      </c>
      <c r="T870" t="n">
        <v>0</v>
      </c>
      <c r="V870" t="n">
        <v>0</v>
      </c>
    </row>
    <row r="871">
      <c r="A871">
        <f>Skills!A28</f>
        <v/>
      </c>
      <c r="B871">
        <f>Skills!B28</f>
        <v/>
      </c>
      <c r="C871">
        <f>Inputs!$B$3&gt;=120</f>
        <v/>
      </c>
      <c r="D871">
        <f>IF(Skills!C28=1,60+Inputs!$B$25+Inputs!$B$29,IF(Skills!C28=2,90+Inputs!$B$26+Inputs!$B$29,IF(Skills!C28=3,120+(Inputs!$B$27+1)+Inputs!$B$29,MAX(0,(Inputs!$B$3-100)*3)+Inputs!$B$28+Inputs!$B$29)))</f>
        <v/>
      </c>
      <c r="E871">
        <f>INDEX(FactorTable!$B$2:$Y$301, MATCH(ROUND(MIN(300,MAX(1,D871)),0), FactorTable!$A$2:$A$301,0), Skills!M28+1)</f>
        <v/>
      </c>
      <c r="F871">
        <f>IF(Skills!N28=TRUE,(Skills!L28/10)*(E871/1000),Skills!L28/10)+Skills!O28</f>
        <v/>
      </c>
      <c r="G871">
        <f>Skills!G28*IF(Skills!H28&gt;0,Skills!I28/Skills!H28,1)</f>
        <v/>
      </c>
      <c r="H871">
        <f>1-(1-Skills!J28/100)^Skills!K28</f>
        <v/>
      </c>
      <c r="I871" t="inlineStr">
        <is>
          <t>1</t>
        </is>
      </c>
      <c r="J871" t="inlineStr"/>
      <c r="K871" t="inlineStr"/>
      <c r="L871" t="inlineStr"/>
      <c r="M871" t="inlineStr"/>
      <c r="N871" t="inlineStr"/>
      <c r="O871">
        <f>(1-Summary!$B$55)*T871+Summary!$B$55*V871</f>
        <v/>
      </c>
      <c r="P871">
        <f>IF(B885=0,0,O871/B885)</f>
        <v/>
      </c>
      <c r="Q871" t="n">
        <v>0</v>
      </c>
      <c r="R871" t="n">
        <v>0</v>
      </c>
      <c r="S871" t="n">
        <v>0</v>
      </c>
      <c r="T871" t="n">
        <v>0</v>
      </c>
      <c r="V871" t="n">
        <v>0</v>
      </c>
    </row>
    <row r="872">
      <c r="A872">
        <f>Skills!A29</f>
        <v/>
      </c>
      <c r="B872">
        <f>Skills!B29</f>
        <v/>
      </c>
      <c r="C872">
        <f>Inputs!$B$3&gt;=45</f>
        <v/>
      </c>
      <c r="D872">
        <f>IF(Skills!C29=1,60+Inputs!$B$25+Inputs!$B$29,IF(Skills!C29=2,90+Inputs!$B$26+Inputs!$B$29,IF(Skills!C29=3,120+(Inputs!$B$27+1)+Inputs!$B$29,MAX(0,(Inputs!$B$3-100)*3)+Inputs!$B$28+Inputs!$B$29)))</f>
        <v/>
      </c>
      <c r="E872">
        <f>INDEX(FactorTable!$B$2:$Y$301, MATCH(ROUND(MIN(300,MAX(1,D872)),0), FactorTable!$A$2:$A$301,0), Skills!M29+1)</f>
        <v/>
      </c>
      <c r="F872">
        <f>IF(Skills!N29=TRUE,(Skills!L29/10)*(E872/1000),Skills!L29/10)+Skills!O29</f>
        <v/>
      </c>
      <c r="G872">
        <f>Skills!G29*IF(Skills!H29&gt;0,Skills!I29/Skills!H29,1)</f>
        <v/>
      </c>
      <c r="H872">
        <f>1-(1-Skills!J29/100)^Skills!K29</f>
        <v/>
      </c>
      <c r="I872" t="inlineStr">
        <is>
          <t>1</t>
        </is>
      </c>
      <c r="J872" t="inlineStr"/>
      <c r="K872" t="inlineStr"/>
      <c r="L872" t="inlineStr"/>
      <c r="M872" t="inlineStr"/>
      <c r="N872" t="inlineStr"/>
      <c r="O872">
        <f>(1-Summary!$B$55)*T872+Summary!$B$55*V872</f>
        <v/>
      </c>
      <c r="P872">
        <f>IF(B885=0,0,O872/B885)</f>
        <v/>
      </c>
      <c r="Q872" t="n">
        <v>0</v>
      </c>
      <c r="R872" t="n">
        <v>0</v>
      </c>
      <c r="S872" t="n">
        <v>0</v>
      </c>
      <c r="T872" t="n">
        <v>0</v>
      </c>
      <c r="V872" t="n">
        <v>0</v>
      </c>
    </row>
    <row r="874">
      <c r="A874" t="inlineStr">
        <is>
          <t>Attack% Bucket Multiplier</t>
        </is>
      </c>
      <c r="B874">
        <f>(1+(((C856=TRUE)*F856)+((C857=TRUE)*IF(Inputs!$B$38="pvp",F857,(1-Summary!$B$55)*(F857)+Summary!$B$55*(0)))+((C858=TRUE)*F858*IF(AND(Inputs!$B$38&lt;&gt;"pvp",Inputs!$B$43&gt;0),(((R858-1)*(Skills!T15*(1+Inputs!$B$34/100))+MIN((Skills!T15*(1+Inputs!$B$34/100)),MAX(0,Inputs!$B$43-((R858-1)*Skills!D15))))/Inputs!$B$43),IF(Inputs!$B$38="pvp",MIN((Skills!T15*(1+Inputs!$B$34/100)),15)/15,(Skills!T15*(1+Inputs!$B$34/100))/Skills!D15)))+((C855=TRUE)*F855)+((C872=TRUE)*(F872-Calc!F29)))/100)</f>
        <v/>
      </c>
    </row>
    <row r="875">
      <c r="A875" t="inlineStr">
        <is>
          <t>Global Crit Rate Bonus %</t>
        </is>
      </c>
      <c r="B875">
        <f>(C859=TRUE)*20*IF(AND(Inputs!$B$38&lt;&gt;"pvp",Inputs!$B$43&gt;0),(((R859-1)*(Skills!T16*(1+Inputs!$B$34/100))+MIN((Skills!T16*(1+Inputs!$B$34/100)),MAX(0,Inputs!$B$43-((R859-1)*Skills!D16))))/Inputs!$B$43),IF(Inputs!$B$38="pvp",MIN((Skills!T16*(1+Inputs!$B$34/100)),15)/15,(Skills!T16*(1+Inputs!$B$34/100))/Skills!D16))</f>
        <v/>
      </c>
    </row>
    <row r="876">
      <c r="A876" t="inlineStr">
        <is>
          <t>Attack Speed Buff Bonus %</t>
        </is>
      </c>
      <c r="B876">
        <f>((C861=TRUE)*F861*IF(AND(Inputs!$B$38&lt;&gt;"pvp",Inputs!$B$43&gt;0),(((R861-1)*(Skills!T18*(1+Inputs!$B$34/100))+MIN((Skills!T18*(1+Inputs!$B$34/100)),MAX(0,Inputs!$B$43-((R861-1)*Skills!D18))))/Inputs!$B$43),IF(Inputs!$B$38="pvp",MIN((Skills!T18*(1+Inputs!$B$34/100)),15)/15,(Skills!T18*(1+Inputs!$B$34/100))/Skills!D18)))</f>
        <v/>
      </c>
    </row>
    <row r="877">
      <c r="A877" t="inlineStr">
        <is>
          <t>Actions Per Second</t>
        </is>
      </c>
      <c r="B877">
        <f>1+MIN(150,150*(1-(1-(Inputs!$B$11+((C863=TRUE)*(F863-Calc!F20))+((C864=TRUE)*(F864-Calc!F21)))/150)*(1-B876/150)))/100</f>
        <v/>
      </c>
    </row>
    <row r="878">
      <c r="A878" t="inlineStr">
        <is>
          <t>Skill + Buff Cast Rate</t>
        </is>
      </c>
      <c r="B878">
        <f>IF(AND(Inputs!$B$38&lt;&gt;"pvp",Inputs!$B$43&gt;0),SUMPRODUCT((Skills!E2:E29=TRUE)*(C845:C872=TRUE)*R845:R872*Skills!F2:F29)/Inputs!$B$43,SUMPRODUCT((Skills!E2:E29=TRUE)*(C845:C872=TRUE)*Q845:Q872*Skills!F2:F29))</f>
        <v/>
      </c>
    </row>
    <row r="879">
      <c r="A879" t="inlineStr">
        <is>
          <t>Empowered Piercing Arrow Casts Per Second</t>
        </is>
      </c>
      <c r="B879">
        <f>MAX(0,B877-B878)</f>
        <v/>
      </c>
    </row>
    <row r="880">
      <c r="A880" t="inlineStr">
        <is>
          <t>Global Critical Damage Bonus % (Sharp Eyes)</t>
        </is>
      </c>
      <c r="B880">
        <f>(C859=TRUE)*F859*IF(AND(Inputs!$B$38&lt;&gt;"pvp",Inputs!$B$43&gt;0),(((R859-1)*(Skills!T16*(1+Inputs!$B$34/100))+MIN((Skills!T16*(1+Inputs!$B$34/100)),MAX(0,Inputs!$B$43-((R859-1)*Skills!D16))))/Inputs!$B$43),IF(Inputs!$B$38="pvp",MIN((Skills!T16*(1+Inputs!$B$34/100)),15)/15,(Skills!T16*(1+Inputs!$B$34/100))/Skills!D16))</f>
        <v/>
      </c>
    </row>
    <row r="881">
      <c r="A881" t="inlineStr">
        <is>
          <t>Global Final Damage Bonus % (Mortal Blow + Last Man Standing conditional half)</t>
        </is>
      </c>
      <c r="B881">
        <f>(C860=TRUE)*F860+((C869=TRUE)*IF(Inputs!$B$38="pvp",F869,(1-Summary!$B$55)*(F869)+Summary!$B$55*(0)))</f>
        <v/>
      </c>
    </row>
    <row r="882">
      <c r="A882" t="inlineStr">
        <is>
          <t>Buff-Casting Startup Delay (s, fixed-duration only)</t>
        </is>
      </c>
      <c r="B882">
        <f>IF(AND(Inputs!$B$38&lt;&gt;"pvp",Inputs!$B$43&gt;0),SUMPRODUCT((Skills!T2:T29&gt;0)*(Skills!E2:E29=TRUE)*(C845:C872=TRUE))/B877,0)</f>
        <v/>
      </c>
    </row>
    <row r="883">
      <c r="A883" t="inlineStr">
        <is>
          <t>Boss-Only Total DPS (this block's swept value)</t>
        </is>
      </c>
      <c r="B883">
        <f>SUM(T845:T872)</f>
        <v/>
      </c>
    </row>
    <row r="884">
      <c r="A884" t="inlineStr">
        <is>
          <t>Normal-Only Total DPS (this block's swept value)</t>
        </is>
      </c>
      <c r="B884">
        <f>SUM(V845:V872)</f>
        <v/>
      </c>
    </row>
    <row r="885">
      <c r="A885" s="5" t="inlineStr">
        <is>
          <t>TOTAL DPS</t>
        </is>
      </c>
      <c r="B885" s="5">
        <f>SUM(O845:O872)</f>
        <v/>
      </c>
    </row>
    <row r="888">
      <c r="A888" s="5" t="inlineStr">
        <is>
          <t>Stat: Skill Level Bonus — 4th Job</t>
        </is>
      </c>
    </row>
    <row r="889">
      <c r="A889" s="9" t="inlineStr">
        <is>
          <t>Key</t>
        </is>
      </c>
      <c r="B889" s="9" t="inlineStr">
        <is>
          <t>Name</t>
        </is>
      </c>
      <c r="C889" s="9" t="inlineStr">
        <is>
          <t>Unlocked</t>
        </is>
      </c>
      <c r="D889" s="9" t="inlineStr">
        <is>
          <t>InputLevel</t>
        </is>
      </c>
      <c r="E889" s="9" t="inlineStr">
        <is>
          <t>Factor</t>
        </is>
      </c>
      <c r="F889" s="9" t="inlineStr">
        <is>
          <t>CoefficientPercent</t>
        </is>
      </c>
      <c r="G889" s="9" t="inlineStr">
        <is>
          <t>EffectiveHits</t>
        </is>
      </c>
      <c r="H889" s="9" t="inlineStr">
        <is>
          <t>ProcProbability</t>
        </is>
      </c>
      <c r="I889" s="9" t="inlineStr">
        <is>
          <t>MapleHeroMultiplier</t>
        </is>
      </c>
      <c r="J889" s="9" t="inlineStr">
        <is>
          <t>BaseDamage</t>
        </is>
      </c>
      <c r="K889" s="9" t="inlineStr">
        <is>
          <t>BaseHitDamage</t>
        </is>
      </c>
      <c r="L889" s="9" t="inlineStr">
        <is>
          <t>NonCritAvg</t>
        </is>
      </c>
      <c r="M889" s="9" t="inlineStr">
        <is>
          <t>CritAvg</t>
        </is>
      </c>
      <c r="N889" s="9" t="inlineStr">
        <is>
          <t>ExpectedDamage(perHit)</t>
        </is>
      </c>
      <c r="O889" s="9" t="inlineStr">
        <is>
          <t>DPS</t>
        </is>
      </c>
      <c r="P889" s="9" t="inlineStr">
        <is>
          <t>% of Total</t>
        </is>
      </c>
      <c r="Q889" s="9" t="inlineStr">
        <is>
          <t>InvCooldown</t>
        </is>
      </c>
      <c r="R889" s="9" t="inlineStr">
        <is>
          <t>CastsInFight</t>
        </is>
      </c>
      <c r="S889" s="9" t="inlineStr">
        <is>
          <t>HitRate(perSec)</t>
        </is>
      </c>
      <c r="U889" t="inlineStr">
        <is>
          <t>helpers</t>
        </is>
      </c>
    </row>
    <row r="890">
      <c r="A890">
        <f>Skills!A2</f>
        <v/>
      </c>
      <c r="B890">
        <f>Skills!B2</f>
        <v/>
      </c>
      <c r="C890">
        <f>Inputs!$B$3&gt;=100</f>
        <v/>
      </c>
      <c r="D890" t="inlineStr"/>
      <c r="E890" t="inlineStr"/>
      <c r="F890">
        <f>U892+Skills!O2</f>
        <v/>
      </c>
      <c r="G890">
        <f>Skills!G2*IF(Skills!H2&gt;0,Skills!I2/Skills!H2,1)</f>
        <v/>
      </c>
      <c r="H890">
        <f>1-(1-Skills!J2/100)^Skills!K2</f>
        <v/>
      </c>
      <c r="I890" t="inlineStr">
        <is>
          <t>1</t>
        </is>
      </c>
      <c r="J890">
        <f>((Inputs!$B$6*(1+Inputs!$B$7/100))+(((Inputs!$B$12*(1+Inputs!$B$13/100))-(Inputs!$B$12*(1+Inputs!$B$13/100)))+0.25*(Inputs!$B$14-Inputs!$B$14))*(1+Inputs!$B$7/100))*(F890/100)</f>
        <v/>
      </c>
      <c r="K890">
        <f>J890*(1+((Inputs!$B$12*(1+Inputs!$B$13/100))*0.01+Inputs!$B$14*0.0025)/100)*(1+Inputs!$B$15/100)*(1+Inputs!$B$16/100)*(5000/(6000+Inputs!$B$42*(1-(Inputs!$B$19+0)/100)))*(1+(Inputs!$B$24+((C912=TRUE)*(F912-Calc!F24))+((C913=TRUE)*(F913-Calc!F25))+B926)/100)*(1+(IF(Skills!A2="EMPOWERED_PIERCING_ARROW",Inputs!$B$17+((C910=TRUE)*(F910-Calc!F22)),Inputs!$B$18+((C915=TRUE)*(F915-Calc!F27))))/100)*((1+(((C901=TRUE)*F901)+((C902=TRUE)*IF(Inputs!$B$38="pvp",F902,(1-Summary!$B$55)*(F902)+Summary!$B$55*(0)))+((C903=TRUE)*F903*IF(AND(Inputs!$B$38&lt;&gt;"pvp",Inputs!$B$43&gt;0),(((R903-1)*(Skills!T15*(1+Inputs!$B$34/100))+MIN((Skills!T15*(1+Inputs!$B$34/100)),MAX(0,Inputs!$B$43-((R903-1)*Skills!D15))))/Inputs!$B$43),IF(Inputs!$B$38="pvp",MIN((Skills!T15*(1+Inputs!$B$34/100)),15)/15,(Skills!T15*(1+Inputs!$B$34/100))/Skills!D15)))+((C900=TRUE)*F900)+((C917=TRUE)*(F917-Calc!F29)))/100)*I890)</f>
        <v/>
      </c>
      <c r="L890">
        <f>K890*(MIN(Inputs!$B$22+((C911=TRUE)*(F911-Calc!F23)),Inputs!$B$23+((C916=TRUE)*(F916-Calc!F28)))/100+(Inputs!$B$23+((C916=TRUE)*(F916-Calc!F28)))/100)/2</f>
        <v/>
      </c>
      <c r="M890">
        <f>L890*(1+(Inputs!$B$10+0+B925)/100)</f>
        <v/>
      </c>
      <c r="N890">
        <f>L890*(1-MIN((Inputs!$B$9+((C907=TRUE)*(F907-Calc!F19))+B920),100)/100)+M890*(MIN((Inputs!$B$9+((C907=TRUE)*(F907-Calc!F19))+B920),100)/100)</f>
        <v/>
      </c>
      <c r="O890">
        <f>(1-Summary!$B$55)*T890+Summary!$B$55*V890</f>
        <v/>
      </c>
      <c r="P890">
        <f>IF(B930=0,0,O890/B930)</f>
        <v/>
      </c>
      <c r="Q890" t="n">
        <v>0</v>
      </c>
      <c r="R890" t="n">
        <v>0</v>
      </c>
      <c r="S890">
        <f>IFERROR((Skills!G2*N890*B924)/N890*IF(Inputs!$B$38="pvp",1,(1-Summary!$B$55)*1+Summary!$B$55*(MIN((6+Inputs!$B$33),Inputs!$B$37))),0)</f>
        <v/>
      </c>
      <c r="T890">
        <f>IF(C890,(Skills!G2*N890*B924)*IF(Inputs!$B$38="pvp",1,1+(Inputs!$B$20+0+Skills!P2)/100),0)</f>
        <v/>
      </c>
      <c r="U890">
        <f>MAX(0,(Inputs!$B$3-100)*3)+(Inputs!$B$28+1)+Inputs!$B$29</f>
        <v/>
      </c>
      <c r="V890">
        <f>IF(C890,(Skills!G2*N890*B924)*IF(Inputs!$B$38="pvp",1,(1+(Inputs!$B$21+Skills!Q2)/100)*(MIN((6+Inputs!$B$33),Inputs!$B$37))),0)</f>
        <v/>
      </c>
    </row>
    <row r="891">
      <c r="A891">
        <f>Skills!A3</f>
        <v/>
      </c>
      <c r="B891">
        <f>Skills!B3</f>
        <v/>
      </c>
      <c r="C891">
        <f>Inputs!$B$3&gt;=50</f>
        <v/>
      </c>
      <c r="D891">
        <f>IF(Skills!C3=1,60+Inputs!$B$25+Inputs!$B$29,IF(Skills!C3=2,90+Inputs!$B$26+Inputs!$B$29,IF(Skills!C3=3,120+Inputs!$B$27+Inputs!$B$29,MAX(0,(Inputs!$B$3-100)*3)+(Inputs!$B$28+1)+Inputs!$B$29)))</f>
        <v/>
      </c>
      <c r="E891">
        <f>INDEX(FactorTable!$B$2:$Y$301, MATCH(ROUND(MIN(300,MAX(1,D891)),0), FactorTable!$A$2:$A$301,0), Skills!M3+1)</f>
        <v/>
      </c>
      <c r="F891">
        <f>IF(Skills!N3=TRUE,(Skills!L3/10)*(E891/1000),Skills!L3/10)+Skills!O3</f>
        <v/>
      </c>
      <c r="G891" t="inlineStr"/>
      <c r="H891" t="inlineStr"/>
      <c r="I891" t="inlineStr">
        <is>
          <t>1</t>
        </is>
      </c>
      <c r="J891" t="inlineStr"/>
      <c r="K891" t="inlineStr"/>
      <c r="L891" t="inlineStr"/>
      <c r="M891" t="inlineStr"/>
      <c r="N891" t="inlineStr"/>
      <c r="O891" t="inlineStr"/>
      <c r="P891" t="inlineStr"/>
      <c r="Q891" t="inlineStr"/>
      <c r="R891" t="inlineStr"/>
      <c r="S891" t="inlineStr"/>
      <c r="T891" t="inlineStr"/>
      <c r="U891">
        <f>INDEX(FactorTable!$B$2:$Y$301, MATCH(ROUND(MIN(300,MAX(1,U890)),0), FactorTable!$A$2:$A$301,0), 22)</f>
        <v/>
      </c>
      <c r="V891" t="inlineStr"/>
    </row>
    <row r="892">
      <c r="A892">
        <f>Skills!A4</f>
        <v/>
      </c>
      <c r="B892">
        <f>Skills!B4</f>
        <v/>
      </c>
      <c r="C892">
        <f>Inputs!$B$3&gt;=105</f>
        <v/>
      </c>
      <c r="D892">
        <f>IF(Skills!C4=1,60+Inputs!$B$25+Inputs!$B$29,IF(Skills!C4=2,90+Inputs!$B$26+Inputs!$B$29,IF(Skills!C4=3,120+Inputs!$B$27+Inputs!$B$29,MAX(0,(Inputs!$B$3-100)*3)+(Inputs!$B$28+1)+Inputs!$B$29)))</f>
        <v/>
      </c>
      <c r="E892">
        <f>INDEX(FactorTable!$B$2:$Y$301, MATCH(ROUND(MIN(300,MAX(1,D892)),0), FactorTable!$A$2:$A$301,0), Skills!M4+1)</f>
        <v/>
      </c>
      <c r="F892">
        <f>IF(Skills!N4=TRUE,(Skills!L4/10)*(E892/1000),Skills!L4/10)+Skills!O4</f>
        <v/>
      </c>
      <c r="G892" t="inlineStr"/>
      <c r="H892" t="inlineStr"/>
      <c r="I892" t="inlineStr">
        <is>
          <t>1</t>
        </is>
      </c>
      <c r="J892" t="inlineStr"/>
      <c r="K892" t="inlineStr"/>
      <c r="L892" t="inlineStr"/>
      <c r="M892" t="inlineStr"/>
      <c r="N892" t="inlineStr"/>
      <c r="O892" t="inlineStr"/>
      <c r="P892" t="inlineStr"/>
      <c r="Q892" t="inlineStr"/>
      <c r="R892" t="inlineStr"/>
      <c r="S892" t="inlineStr"/>
      <c r="T892" t="inlineStr"/>
      <c r="U892">
        <f>290*U891/1000</f>
        <v/>
      </c>
      <c r="V892" t="inlineStr"/>
    </row>
    <row r="893">
      <c r="A893">
        <f>Skills!A5</f>
        <v/>
      </c>
      <c r="B893">
        <f>Skills!B5</f>
        <v/>
      </c>
      <c r="C893">
        <f>Inputs!$B$3&gt;=35</f>
        <v/>
      </c>
      <c r="D893">
        <f>IF(Skills!C5=1,60+Inputs!$B$25+Inputs!$B$29,IF(Skills!C5=2,90+Inputs!$B$26+Inputs!$B$29,IF(Skills!C5=3,120+Inputs!$B$27+Inputs!$B$29,MAX(0,(Inputs!$B$3-100)*3)+(Inputs!$B$28+1)+Inputs!$B$29)))</f>
        <v/>
      </c>
      <c r="E893">
        <f>INDEX(FactorTable!$B$2:$Y$301, MATCH(ROUND(MIN(300,MAX(1,D893)),0), FactorTable!$A$2:$A$301,0), Skills!M5+1)</f>
        <v/>
      </c>
      <c r="F893">
        <f>IF(Skills!N5=TRUE,(Skills!L5/10)*(E893/1000),Skills!L5/10)+Skills!O5</f>
        <v/>
      </c>
      <c r="G893">
        <f>Skills!G5*IF(Skills!H5&gt;0,Skills!I5/Skills!H5,1)</f>
        <v/>
      </c>
      <c r="H893">
        <f>1-(1-Skills!J5/100)^Skills!K5</f>
        <v/>
      </c>
      <c r="I893" t="inlineStr">
        <is>
          <t>1</t>
        </is>
      </c>
      <c r="J893">
        <f>((Inputs!$B$6*(1+Inputs!$B$7/100))+(((Inputs!$B$12*(1+Inputs!$B$13/100))-(Inputs!$B$12*(1+Inputs!$B$13/100)))+0.25*(Inputs!$B$14-Inputs!$B$14))*(1+Inputs!$B$7/100))*(F893/100)</f>
        <v/>
      </c>
      <c r="K893">
        <f>J893*(1+((Inputs!$B$12*(1+Inputs!$B$13/100))*0.01+Inputs!$B$14*0.0025)/100)*(1+Inputs!$B$15/100)*(1+Inputs!$B$16/100)*(5000/(6000+Inputs!$B$42*(1-(Inputs!$B$19+0)/100)))*(1+(Inputs!$B$24+((C912=TRUE)*(F912-Calc!F24))+((C913=TRUE)*(F913-Calc!F25))+B926)/100)*(1+4.0*IF(C896=TRUE,F896,0)/100)*(1+(IF(Skills!A5="EMPOWERED_PIERCING_ARROW",Inputs!$B$17+((C910=TRUE)*(F910-Calc!F22)),Inputs!$B$18+((C915=TRUE)*(F915-Calc!F27))))/100)*((1+(((C901=TRUE)*F901)+((C902=TRUE)*IF(Inputs!$B$38="pvp",F902,(1-Summary!$B$55)*(F902)+Summary!$B$55*(0)))+((C903=TRUE)*F903*IF(AND(Inputs!$B$38&lt;&gt;"pvp",Inputs!$B$43&gt;0),(((R903-1)*(Skills!T15*(1+Inputs!$B$34/100))+MIN((Skills!T15*(1+Inputs!$B$34/100)),MAX(0,Inputs!$B$43-((R903-1)*Skills!D15))))/Inputs!$B$43),IF(Inputs!$B$38="pvp",MIN((Skills!T15*(1+Inputs!$B$34/100)),15)/15,(Skills!T15*(1+Inputs!$B$34/100))/Skills!D15)))+((C900=TRUE)*F900)+((C917=TRUE)*(F917-Calc!F29)))/100)*I893)</f>
        <v/>
      </c>
      <c r="L893">
        <f>K893*(MIN(Inputs!$B$22+((C911=TRUE)*(F911-Calc!F23)),Inputs!$B$23+((C916=TRUE)*(F916-Calc!F28)))/100+(Inputs!$B$23+((C916=TRUE)*(F916-Calc!F28)))/100)/2</f>
        <v/>
      </c>
      <c r="M893">
        <f>L893*(1+(Inputs!$B$10+0+B925)/100)</f>
        <v/>
      </c>
      <c r="N893">
        <f>L893*(1-MIN((Inputs!$B$9+((C907=TRUE)*(F907-Calc!F19))+B920),100)/100)+M893*(MIN((Inputs!$B$9+((C907=TRUE)*(F907-Calc!F19))+B920),100)/100)</f>
        <v/>
      </c>
      <c r="O893">
        <f>(1-Summary!$B$55)*T893+Summary!$B$55*V893</f>
        <v/>
      </c>
      <c r="P893">
        <f>IF(B930=0,0,O893/B930)</f>
        <v/>
      </c>
      <c r="Q893">
        <f>IFERROR(1/IF(Inputs!$B$38="pvp",15,MAX(0.1,Skills!D5-IF(Skills!E5=TRUE,Inputs!$B$32,0))),0)</f>
        <v/>
      </c>
      <c r="R893">
        <f>IF(AND(Inputs!$B$38&lt;&gt;"pvp",Inputs!$B$43&gt;0),IF(MAX(0,Inputs!$B$43-B927)&lt;=0,0,(INT(MAX(0,Inputs!$B$43-B927)/IF(Inputs!$B$38="pvp",15,MAX(0.1,Skills!D5-IF(Skills!E5=TRUE,Inputs!$B$32,0))))+1)),0)</f>
        <v/>
      </c>
      <c r="S893">
        <f>IFERROR((H893*N893*IF(AND(Inputs!$B$38&lt;&gt;"pvp",Inputs!$B$43&gt;0),((Skills!G5*((R893-1)*IF(Skills!H5&gt;0,Skills!I5/Skills!H5,1)+IF(Skills!H5&gt;0,MIN(Skills!I5,MAX(0,MAX(0,Inputs!$B$43-B927)-((R893-1)*IF(Inputs!$B$38="pvp",15,MAX(0.1,Skills!D5-IF(Skills!E5=TRUE,Inputs!$B$32,0))))))/Skills!H5,1)))/Inputs!$B$43),G893*Q893))/N893*IF(Inputs!$B$38="pvp",1,(1-Summary!$B$55)*1+Summary!$B$55*(MIN(Skills!R5,Inputs!$B$37))),0)</f>
        <v/>
      </c>
      <c r="T893">
        <f>IF(C893,(H893*N893*IF(AND(Inputs!$B$38&lt;&gt;"pvp",Inputs!$B$43&gt;0),((Skills!G5*((R893-1)*IF(Skills!H5&gt;0,Skills!I5/Skills!H5,1)+IF(Skills!H5&gt;0,MIN(Skills!I5,MAX(0,MAX(0,Inputs!$B$43-B927)-((R893-1)*IF(Inputs!$B$38="pvp",15,MAX(0.1,Skills!D5-IF(Skills!E5=TRUE,Inputs!$B$32,0))))))/Skills!H5,1)))/Inputs!$B$43),G893*Q893))*IF(Inputs!$B$38="pvp",1,1+(Inputs!$B$20+0+Skills!P5)/100),0)</f>
        <v/>
      </c>
      <c r="V893">
        <f>IF(C893,(H893*N893*IF(AND(Inputs!$B$38&lt;&gt;"pvp",Inputs!$B$43&gt;0),((Skills!G5*((R893-1)*IF(Skills!H5&gt;0,Skills!I5/Skills!H5,1)+IF(Skills!H5&gt;0,MIN(Skills!I5,MAX(0,MAX(0,Inputs!$B$43-B927)-((R893-1)*IF(Inputs!$B$38="pvp",15,MAX(0.1,Skills!D5-IF(Skills!E5=TRUE,Inputs!$B$32,0))))))/Skills!H5,1)))/Inputs!$B$43),G893*Q893))*IF(Inputs!$B$38="pvp",1,(1+(Inputs!$B$21+Skills!Q5)/100)*(MIN(Skills!R5,Inputs!$B$37))),0)</f>
        <v/>
      </c>
    </row>
    <row r="894">
      <c r="A894">
        <f>Skills!A6</f>
        <v/>
      </c>
      <c r="B894">
        <f>Skills!B6</f>
        <v/>
      </c>
      <c r="C894">
        <f>Inputs!$B$3&gt;=63</f>
        <v/>
      </c>
      <c r="D894">
        <f>IF(Skills!C6=1,60+Inputs!$B$25+Inputs!$B$29,IF(Skills!C6=2,90+Inputs!$B$26+Inputs!$B$29,IF(Skills!C6=3,120+Inputs!$B$27+Inputs!$B$29,MAX(0,(Inputs!$B$3-100)*3)+(Inputs!$B$28+1)+Inputs!$B$29)))</f>
        <v/>
      </c>
      <c r="E894">
        <f>INDEX(FactorTable!$B$2:$Y$301, MATCH(ROUND(MIN(300,MAX(1,D894)),0), FactorTable!$A$2:$A$301,0), Skills!M6+1)</f>
        <v/>
      </c>
      <c r="F894">
        <f>IF(Skills!N6=TRUE,(Skills!L6/10)*(E894/1000),Skills!L6/10)+Skills!O6</f>
        <v/>
      </c>
      <c r="G894">
        <f>Skills!G6*IF(Skills!H6&gt;0,Skills!I6/Skills!H6,1)</f>
        <v/>
      </c>
      <c r="H894">
        <f>1-(1-Skills!J6/100)^Skills!K6</f>
        <v/>
      </c>
      <c r="I894" t="inlineStr">
        <is>
          <t>1</t>
        </is>
      </c>
      <c r="J894">
        <f>((Inputs!$B$6*(1+Inputs!$B$7/100))+(((Inputs!$B$12*(1+Inputs!$B$13/100))-(Inputs!$B$12*(1+Inputs!$B$13/100)))+0.25*(Inputs!$B$14-Inputs!$B$14))*(1+Inputs!$B$7/100))*(F894/100)</f>
        <v/>
      </c>
      <c r="K894">
        <f>J894*(1+((Inputs!$B$12*(1+Inputs!$B$13/100))*0.01+Inputs!$B$14*0.0025)/100)*(1+Inputs!$B$15/100)*(1+Inputs!$B$16/100)*(5000/(6000+Inputs!$B$42*(1-(Inputs!$B$19+0)/100)))*(1+(Inputs!$B$24+((C912=TRUE)*(F912-Calc!F24))+((C913=TRUE)*(F913-Calc!F25))+B926)/100)*(1+1.0*IF(C896=TRUE,F896,0)/100)*(1+(IF(Skills!A6="EMPOWERED_PIERCING_ARROW",Inputs!$B$17+((C910=TRUE)*(F910-Calc!F22)),Inputs!$B$18+((C915=TRUE)*(F915-Calc!F27))))/100)*((1+(((C901=TRUE)*F901)+((C902=TRUE)*IF(Inputs!$B$38="pvp",F902,(1-Summary!$B$55)*(F902)+Summary!$B$55*(0)))+((C903=TRUE)*F903*IF(AND(Inputs!$B$38&lt;&gt;"pvp",Inputs!$B$43&gt;0),(((R903-1)*(Skills!T15*(1+Inputs!$B$34/100))+MIN((Skills!T15*(1+Inputs!$B$34/100)),MAX(0,Inputs!$B$43-((R903-1)*Skills!D15))))/Inputs!$B$43),IF(Inputs!$B$38="pvp",MIN((Skills!T15*(1+Inputs!$B$34/100)),15)/15,(Skills!T15*(1+Inputs!$B$34/100))/Skills!D15)))+((C900=TRUE)*F900)+((C917=TRUE)*(F917-Calc!F29)))/100)*I894)</f>
        <v/>
      </c>
      <c r="L894">
        <f>K894*(MIN(Inputs!$B$22+((C911=TRUE)*(F911-Calc!F23)),Inputs!$B$23+((C916=TRUE)*(F916-Calc!F28)))/100+(Inputs!$B$23+((C916=TRUE)*(F916-Calc!F28)))/100)/2</f>
        <v/>
      </c>
      <c r="M894">
        <f>L894*(1+(Inputs!$B$10+0+B925)/100)</f>
        <v/>
      </c>
      <c r="N894">
        <f>L894*(1-MIN((Inputs!$B$9+((C907=TRUE)*(F907-Calc!F19))+B920),100)/100)+M894*(MIN((Inputs!$B$9+((C907=TRUE)*(F907-Calc!F19))+B920),100)/100)</f>
        <v/>
      </c>
      <c r="O894">
        <f>(1-Summary!$B$55)*T894+Summary!$B$55*V894</f>
        <v/>
      </c>
      <c r="P894">
        <f>IF(B930=0,0,O894/B930)</f>
        <v/>
      </c>
      <c r="Q894">
        <f>IFERROR(1/IF(Inputs!$B$38="pvp",15,MAX(0.1,Skills!D6-IF(Skills!E6=TRUE,Inputs!$B$32,0))),0)</f>
        <v/>
      </c>
      <c r="R894">
        <f>IF(AND(Inputs!$B$38&lt;&gt;"pvp",Inputs!$B$43&gt;0),IF(MAX(0,Inputs!$B$43-B927)&lt;=0,0,(INT(MAX(0,Inputs!$B$43-B927)/IF(Inputs!$B$38="pvp",15,MAX(0.1,Skills!D6-IF(Skills!E6=TRUE,Inputs!$B$32,0))))+1)),0)</f>
        <v/>
      </c>
      <c r="S894">
        <f>IFERROR((H894*N894*IF(AND(Inputs!$B$38&lt;&gt;"pvp",Inputs!$B$43&gt;0),((Skills!G6*((R894-1)*IF(Skills!H6&gt;0,Skills!I6/Skills!H6,1)+IF(Skills!H6&gt;0,MIN(Skills!I6,MAX(0,MAX(0,Inputs!$B$43-B927)-((R894-1)*IF(Inputs!$B$38="pvp",15,MAX(0.1,Skills!D6-IF(Skills!E6=TRUE,Inputs!$B$32,0))))))/Skills!H6,1)))/Inputs!$B$43),G894*Q894))/N894*IF(Inputs!$B$38="pvp",1,(1-Summary!$B$55)*1+Summary!$B$55*(MIN(Skills!R6,Inputs!$B$37))),0)</f>
        <v/>
      </c>
      <c r="T894">
        <f>IF(C894,(H894*N894*IF(AND(Inputs!$B$38&lt;&gt;"pvp",Inputs!$B$43&gt;0),((Skills!G6*((R894-1)*IF(Skills!H6&gt;0,Skills!I6/Skills!H6,1)+IF(Skills!H6&gt;0,MIN(Skills!I6,MAX(0,MAX(0,Inputs!$B$43-B927)-((R894-1)*IF(Inputs!$B$38="pvp",15,MAX(0.1,Skills!D6-IF(Skills!E6=TRUE,Inputs!$B$32,0))))))/Skills!H6,1)))/Inputs!$B$43),G894*Q894))*IF(Inputs!$B$38="pvp",1,1+(Inputs!$B$20+0+Skills!P6)/100),0)</f>
        <v/>
      </c>
      <c r="V894">
        <f>IF(C894,(H894*N894*IF(AND(Inputs!$B$38&lt;&gt;"pvp",Inputs!$B$43&gt;0),((Skills!G6*((R894-1)*IF(Skills!H6&gt;0,Skills!I6/Skills!H6,1)+IF(Skills!H6&gt;0,MIN(Skills!I6,MAX(0,MAX(0,Inputs!$B$43-B927)-((R894-1)*IF(Inputs!$B$38="pvp",15,MAX(0.1,Skills!D6-IF(Skills!E6=TRUE,Inputs!$B$32,0))))))/Skills!H6,1)))/Inputs!$B$43),G894*Q894))*IF(Inputs!$B$38="pvp",1,(1+(Inputs!$B$21+Skills!Q6)/100)*(MIN(Skills!R6,Inputs!$B$37))),0)</f>
        <v/>
      </c>
    </row>
    <row r="895">
      <c r="A895">
        <f>Skills!A7</f>
        <v/>
      </c>
      <c r="B895">
        <f>Skills!B7</f>
        <v/>
      </c>
      <c r="C895">
        <f>Inputs!$B$3&gt;=69</f>
        <v/>
      </c>
      <c r="D895">
        <f>IF(Skills!C7=1,60+Inputs!$B$25+Inputs!$B$29,IF(Skills!C7=2,90+Inputs!$B$26+Inputs!$B$29,IF(Skills!C7=3,120+Inputs!$B$27+Inputs!$B$29,MAX(0,(Inputs!$B$3-100)*3)+(Inputs!$B$28+1)+Inputs!$B$29)))</f>
        <v/>
      </c>
      <c r="E895">
        <f>INDEX(FactorTable!$B$2:$Y$301, MATCH(ROUND(MIN(300,MAX(1,D895)),0), FactorTable!$A$2:$A$301,0), Skills!M7+1)</f>
        <v/>
      </c>
      <c r="F895">
        <f>IF(Skills!N7=TRUE,(Skills!L7/10)*(E895/1000),Skills!L7/10)+Skills!O7</f>
        <v/>
      </c>
      <c r="G895">
        <f>Skills!G7*IF(Skills!H7&gt;0,Skills!I7/Skills!H7,1)</f>
        <v/>
      </c>
      <c r="H895">
        <f>1-(1-Skills!J7/100)^Skills!K7</f>
        <v/>
      </c>
      <c r="I895" t="inlineStr">
        <is>
          <t>1</t>
        </is>
      </c>
      <c r="J895">
        <f>((Inputs!$B$6*(1+Inputs!$B$7/100))+(((Inputs!$B$12*(1+Inputs!$B$13/100))-(Inputs!$B$12*(1+Inputs!$B$13/100)))+0.25*(Inputs!$B$14-Inputs!$B$14))*(1+Inputs!$B$7/100))*(F895/100)</f>
        <v/>
      </c>
      <c r="K895">
        <f>J895*(1+((Inputs!$B$12*(1+Inputs!$B$13/100))*0.01+Inputs!$B$14*0.0025)/100)*(1+Inputs!$B$15/100)*(1+Inputs!$B$16/100)*(5000/(6000+Inputs!$B$42*(1-(Inputs!$B$19+0)/100)))*(1+(Inputs!$B$24+((C912=TRUE)*(F912-Calc!F24))+((C913=TRUE)*(F913-Calc!F25))+B926)/100)*(1+1.2*IF(C896=TRUE,F896,0)/100)*(1+(IF(Skills!A7="EMPOWERED_PIERCING_ARROW",Inputs!$B$17+((C910=TRUE)*(F910-Calc!F22)),Inputs!$B$18+((C915=TRUE)*(F915-Calc!F27))))/100)*((1+(((C901=TRUE)*F901)+((C902=TRUE)*IF(Inputs!$B$38="pvp",F902,(1-Summary!$B$55)*(F902)+Summary!$B$55*(0)))+((C903=TRUE)*F903*IF(AND(Inputs!$B$38&lt;&gt;"pvp",Inputs!$B$43&gt;0),(((R903-1)*(Skills!T15*(1+Inputs!$B$34/100))+MIN((Skills!T15*(1+Inputs!$B$34/100)),MAX(0,Inputs!$B$43-((R903-1)*Skills!D15))))/Inputs!$B$43),IF(Inputs!$B$38="pvp",MIN((Skills!T15*(1+Inputs!$B$34/100)),15)/15,(Skills!T15*(1+Inputs!$B$34/100))/Skills!D15)))+((C900=TRUE)*F900)+((C917=TRUE)*(F917-Calc!F29)))/100)*I895)</f>
        <v/>
      </c>
      <c r="L895">
        <f>K895*(MIN(Inputs!$B$22+((C911=TRUE)*(F911-Calc!F23)),Inputs!$B$23+((C916=TRUE)*(F916-Calc!F28)))/100+(Inputs!$B$23+((C916=TRUE)*(F916-Calc!F28)))/100)/2</f>
        <v/>
      </c>
      <c r="M895">
        <f>L895*(1+(Inputs!$B$10+0+B925)/100)</f>
        <v/>
      </c>
      <c r="N895">
        <f>L895*(1-MIN((Inputs!$B$9+((C907=TRUE)*(F907-Calc!F19))+B920),100)/100)+M895*(MIN((Inputs!$B$9+((C907=TRUE)*(F907-Calc!F19))+B920),100)/100)</f>
        <v/>
      </c>
      <c r="O895">
        <f>(1-Summary!$B$55)*T895+Summary!$B$55*V895</f>
        <v/>
      </c>
      <c r="P895">
        <f>IF(B930=0,0,O895/B930)</f>
        <v/>
      </c>
      <c r="Q895">
        <f>IFERROR(1/IF(Inputs!$B$38="pvp",15,MAX(0.1,Skills!D7-IF(Skills!E7=TRUE,Inputs!$B$32,0))),0)</f>
        <v/>
      </c>
      <c r="R895">
        <f>IF(AND(Inputs!$B$38&lt;&gt;"pvp",Inputs!$B$43&gt;0),IF(MAX(0,Inputs!$B$43-B927)&lt;=0,0,(INT(MAX(0,Inputs!$B$43-B927)/IF(Inputs!$B$38="pvp",15,MAX(0.1,Skills!D7-IF(Skills!E7=TRUE,Inputs!$B$32,0))))+1)),0)</f>
        <v/>
      </c>
      <c r="S895">
        <f>IFERROR((H895*N895*IF(AND(Inputs!$B$38&lt;&gt;"pvp",Inputs!$B$43&gt;0),((Skills!G7*((R895-1)*IF(Skills!H7&gt;0,Skills!I7/Skills!H7,1)+IF(Skills!H7&gt;0,MIN(Skills!I7,MAX(0,MAX(0,Inputs!$B$43-B927)-((R895-1)*IF(Inputs!$B$38="pvp",15,MAX(0.1,Skills!D7-IF(Skills!E7=TRUE,Inputs!$B$32,0))))))/Skills!H7,1)))/Inputs!$B$43),G895*Q895))/N895*IF(Inputs!$B$38="pvp",1,(1-Summary!$B$55)*1+Summary!$B$55*(MIN(Skills!R7,Inputs!$B$37))),0)</f>
        <v/>
      </c>
      <c r="T895">
        <f>IF(C895,(H895*N895*IF(AND(Inputs!$B$38&lt;&gt;"pvp",Inputs!$B$43&gt;0),((Skills!G7*((R895-1)*IF(Skills!H7&gt;0,Skills!I7/Skills!H7,1)+IF(Skills!H7&gt;0,MIN(Skills!I7,MAX(0,MAX(0,Inputs!$B$43-B927)-((R895-1)*IF(Inputs!$B$38="pvp",15,MAX(0.1,Skills!D7-IF(Skills!E7=TRUE,Inputs!$B$32,0))))))/Skills!H7,1)))/Inputs!$B$43),G895*Q895))*IF(Inputs!$B$38="pvp",1,1+(Inputs!$B$20+0+Skills!P7)/100),0)</f>
        <v/>
      </c>
      <c r="V895">
        <f>IF(C895,(H895*N895*IF(AND(Inputs!$B$38&lt;&gt;"pvp",Inputs!$B$43&gt;0),((Skills!G7*((R895-1)*IF(Skills!H7&gt;0,Skills!I7/Skills!H7,1)+IF(Skills!H7&gt;0,MIN(Skills!I7,MAX(0,MAX(0,Inputs!$B$43-B927)-((R895-1)*IF(Inputs!$B$38="pvp",15,MAX(0.1,Skills!D7-IF(Skills!E7=TRUE,Inputs!$B$32,0))))))/Skills!H7,1)))/Inputs!$B$43),G895*Q895))*IF(Inputs!$B$38="pvp",1,(1+(Inputs!$B$21+Skills!Q7)/100)*(MIN(Skills!R7,Inputs!$B$37))),0)</f>
        <v/>
      </c>
    </row>
    <row r="896">
      <c r="A896">
        <f>Skills!A8</f>
        <v/>
      </c>
      <c r="B896">
        <f>Skills!B8</f>
        <v/>
      </c>
      <c r="C896">
        <f>Inputs!$B$3&gt;=100</f>
        <v/>
      </c>
      <c r="D896">
        <f>IF(Skills!C8=1,60+Inputs!$B$25+Inputs!$B$29,IF(Skills!C8=2,90+Inputs!$B$26+Inputs!$B$29,IF(Skills!C8=3,120+Inputs!$B$27+Inputs!$B$29,MAX(0,(Inputs!$B$3-100)*3)+(Inputs!$B$28+1)+Inputs!$B$29)))</f>
        <v/>
      </c>
      <c r="E896">
        <f>INDEX(FactorTable!$B$2:$Y$301, MATCH(ROUND(MIN(300,MAX(1,D896)),0), FactorTable!$A$2:$A$301,0), Skills!M8+1)</f>
        <v/>
      </c>
      <c r="F896">
        <f>IF(Skills!N8=TRUE,(Skills!L8/10)*(E896/1000),Skills!L8/10)+Skills!O8</f>
        <v/>
      </c>
      <c r="G896" t="inlineStr"/>
      <c r="H896" t="inlineStr"/>
      <c r="I896" t="inlineStr">
        <is>
          <t>1</t>
        </is>
      </c>
      <c r="J896" t="inlineStr"/>
      <c r="K896" t="inlineStr"/>
      <c r="L896" t="inlineStr"/>
      <c r="M896" t="inlineStr"/>
      <c r="N896" t="inlineStr"/>
      <c r="O896" t="inlineStr"/>
      <c r="P896" t="inlineStr"/>
      <c r="Q896" t="inlineStr"/>
      <c r="R896" t="inlineStr"/>
      <c r="S896" t="inlineStr"/>
      <c r="T896" t="inlineStr"/>
      <c r="V896" t="inlineStr"/>
    </row>
    <row r="897">
      <c r="A897">
        <f>Skills!A9</f>
        <v/>
      </c>
      <c r="B897">
        <f>Skills!B9</f>
        <v/>
      </c>
      <c r="C897">
        <f>Inputs!$B$3&gt;=103</f>
        <v/>
      </c>
      <c r="D897">
        <f>IF(Skills!C9=1,60+Inputs!$B$25+Inputs!$B$29,IF(Skills!C9=2,90+Inputs!$B$26+Inputs!$B$29,IF(Skills!C9=3,120+Inputs!$B$27+Inputs!$B$29,MAX(0,(Inputs!$B$3-100)*3)+(Inputs!$B$28+1)+Inputs!$B$29)))</f>
        <v/>
      </c>
      <c r="E897">
        <f>INDEX(FactorTable!$B$2:$Y$301, MATCH(ROUND(MIN(300,MAX(1,D897)),0), FactorTable!$A$2:$A$301,0), Skills!M9+1)</f>
        <v/>
      </c>
      <c r="F897">
        <f>IF(Skills!N9=TRUE,(Skills!L9/10)*(E897/1000),Skills!L9/10)+Skills!O9</f>
        <v/>
      </c>
      <c r="G897">
        <f>Skills!G9*IF(Skills!H9&gt;0,Skills!I9/Skills!H9,1)</f>
        <v/>
      </c>
      <c r="H897">
        <f>1-(1-Skills!J9/100)^Skills!K9</f>
        <v/>
      </c>
      <c r="I897" t="inlineStr">
        <is>
          <t>1</t>
        </is>
      </c>
      <c r="J897">
        <f>((Inputs!$B$6*(1+Inputs!$B$7/100))+(((Inputs!$B$12*(1+Inputs!$B$13/100))-(Inputs!$B$12*(1+Inputs!$B$13/100)))+0.25*(Inputs!$B$14-Inputs!$B$14))*(1+Inputs!$B$7/100))*(F897/100)</f>
        <v/>
      </c>
      <c r="K897">
        <f>J897*(1+((Inputs!$B$12*(1+Inputs!$B$13/100))*0.01+Inputs!$B$14*0.0025)/100)*(1+Inputs!$B$15/100)*(1+Inputs!$B$16/100)*(5000/(6000+Inputs!$B$42*(1-(Inputs!$B$19+0)/100)))*(1+(Inputs!$B$24+((C912=TRUE)*(F912-Calc!F24))+((C913=TRUE)*(F913-Calc!F25))+B926)/100)*(1+(IF(Skills!A9="EMPOWERED_PIERCING_ARROW",Inputs!$B$17+((C910=TRUE)*(F910-Calc!F22)),Inputs!$B$18+((C915=TRUE)*(F915-Calc!F27))))/100)*((1+(((C901=TRUE)*F901)+((C902=TRUE)*IF(Inputs!$B$38="pvp",F902,(1-Summary!$B$55)*(F902)+Summary!$B$55*(0)))+((C903=TRUE)*F903*IF(AND(Inputs!$B$38&lt;&gt;"pvp",Inputs!$B$43&gt;0),(((R903-1)*(Skills!T15*(1+Inputs!$B$34/100))+MIN((Skills!T15*(1+Inputs!$B$34/100)),MAX(0,Inputs!$B$43-((R903-1)*Skills!D15))))/Inputs!$B$43),IF(Inputs!$B$38="pvp",MIN((Skills!T15*(1+Inputs!$B$34/100)),15)/15,(Skills!T15*(1+Inputs!$B$34/100))/Skills!D15)))+((C900=TRUE)*F900)+((C917=TRUE)*(F917-Calc!F29)))/100)*I897)</f>
        <v/>
      </c>
      <c r="L897">
        <f>K897*(MIN(Inputs!$B$22+((C911=TRUE)*(F911-Calc!F23)),Inputs!$B$23+((C916=TRUE)*(F916-Calc!F28)))/100+(Inputs!$B$23+((C916=TRUE)*(F916-Calc!F28)))/100)/2</f>
        <v/>
      </c>
      <c r="M897">
        <f>L897*(1+(Inputs!$B$10+0+B925)/100)</f>
        <v/>
      </c>
      <c r="N897">
        <f>L897*(1-MIN((Inputs!$B$9+((C907=TRUE)*(F907-Calc!F19))+B920),100)/100)+M897*(MIN((Inputs!$B$9+((C907=TRUE)*(F907-Calc!F19))+B920),100)/100)</f>
        <v/>
      </c>
      <c r="O897">
        <f>(1-Summary!$B$55)*T897+Summary!$B$55*V897</f>
        <v/>
      </c>
      <c r="P897">
        <f>IF(B930=0,0,O897/B930)</f>
        <v/>
      </c>
      <c r="Q897">
        <f>IFERROR(1/IF(Inputs!$B$38="pvp",15,MAX(0.1,Skills!D9-IF(Skills!E9=TRUE,Inputs!$B$32,0))),0)</f>
        <v/>
      </c>
      <c r="R897">
        <f>IF(AND(Inputs!$B$38&lt;&gt;"pvp",Inputs!$B$43&gt;0),IF(MAX(0,Inputs!$B$43-B927)&lt;=0,0,(INT(MAX(0,Inputs!$B$43-B927)/IF(Inputs!$B$38="pvp",15,MAX(0.1,Skills!D9-IF(Skills!E9=TRUE,Inputs!$B$32,0))))+1)),0)</f>
        <v/>
      </c>
      <c r="S897">
        <f>IFERROR((H897*N897*IF(AND(Inputs!$B$38&lt;&gt;"pvp",Inputs!$B$43&gt;0),((Skills!G9*((R897-1)*IF(Skills!H9&gt;0,Skills!I9/Skills!H9,1)+IF(Skills!H9&gt;0,MIN(Skills!I9,MAX(0,MAX(0,Inputs!$B$43-B927)-((R897-1)*IF(Inputs!$B$38="pvp",15,MAX(0.1,Skills!D9-IF(Skills!E9=TRUE,Inputs!$B$32,0))))))/Skills!H9,1)))/Inputs!$B$43),G897*Q897))/N897*IF(Inputs!$B$38="pvp",1,(1-Summary!$B$55)*1+Summary!$B$55*(MIN(Skills!R9,Inputs!$B$37))),0)</f>
        <v/>
      </c>
      <c r="T897">
        <f>IF(C897,(H897*N897*IF(AND(Inputs!$B$38&lt;&gt;"pvp",Inputs!$B$43&gt;0),((Skills!G9*((R897-1)*IF(Skills!H9&gt;0,Skills!I9/Skills!H9,1)+IF(Skills!H9&gt;0,MIN(Skills!I9,MAX(0,MAX(0,Inputs!$B$43-B927)-((R897-1)*IF(Inputs!$B$38="pvp",15,MAX(0.1,Skills!D9-IF(Skills!E9=TRUE,Inputs!$B$32,0))))))/Skills!H9,1)))/Inputs!$B$43),G897*Q897))*IF(Inputs!$B$38="pvp",1,1+(Inputs!$B$20+0+Skills!P9)/100),0)</f>
        <v/>
      </c>
      <c r="V897">
        <f>IF(C897,(H897*N897*IF(AND(Inputs!$B$38&lt;&gt;"pvp",Inputs!$B$43&gt;0),((Skills!G9*((R897-1)*IF(Skills!H9&gt;0,Skills!I9/Skills!H9,1)+IF(Skills!H9&gt;0,MIN(Skills!I9,MAX(0,MAX(0,Inputs!$B$43-B927)-((R897-1)*IF(Inputs!$B$38="pvp",15,MAX(0.1,Skills!D9-IF(Skills!E9=TRUE,Inputs!$B$32,0))))))/Skills!H9,1)))/Inputs!$B$43),G897*Q897))*IF(Inputs!$B$38="pvp",1,(1+(Inputs!$B$21+Skills!Q9)/100)*(MIN(Skills!R9,Inputs!$B$37))),0)</f>
        <v/>
      </c>
    </row>
    <row r="898">
      <c r="A898">
        <f>Skills!A10</f>
        <v/>
      </c>
      <c r="B898">
        <f>Skills!B10</f>
        <v/>
      </c>
      <c r="C898">
        <f>Inputs!$B$3&gt;=107</f>
        <v/>
      </c>
      <c r="D898">
        <f>IF(Skills!C10=1,60+Inputs!$B$25+Inputs!$B$29,IF(Skills!C10=2,90+Inputs!$B$26+Inputs!$B$29,IF(Skills!C10=3,120+Inputs!$B$27+Inputs!$B$29,MAX(0,(Inputs!$B$3-100)*3)+(Inputs!$B$28+1)+Inputs!$B$29)))</f>
        <v/>
      </c>
      <c r="E898">
        <f>INDEX(FactorTable!$B$2:$Y$301, MATCH(ROUND(MIN(300,MAX(1,D898)),0), FactorTable!$A$2:$A$301,0), Skills!M10+1)</f>
        <v/>
      </c>
      <c r="F898">
        <f>IF(Skills!N10=TRUE,(Skills!L10/10)*(E898/1000),Skills!L10/10)+Skills!O10</f>
        <v/>
      </c>
      <c r="G898">
        <f>Skills!G10*IF(Skills!H10&gt;0,Skills!I10/Skills!H10,1)</f>
        <v/>
      </c>
      <c r="H898">
        <f>1-(1-Skills!J10/100)^Skills!K10</f>
        <v/>
      </c>
      <c r="I898" t="inlineStr">
        <is>
          <t>1</t>
        </is>
      </c>
      <c r="J898">
        <f>((Inputs!$B$6*(1+Inputs!$B$7/100))+(((Inputs!$B$12*(1+Inputs!$B$13/100))-(Inputs!$B$12*(1+Inputs!$B$13/100)))+0.25*(Inputs!$B$14-Inputs!$B$14))*(1+Inputs!$B$7/100))*(F898/100)</f>
        <v/>
      </c>
      <c r="K898">
        <f>J898*(1+((Inputs!$B$12*(1+Inputs!$B$13/100))*0.01+Inputs!$B$14*0.0025)/100)*(1+Inputs!$B$15/100)*(1+Inputs!$B$16/100)*(5000/(6000+Inputs!$B$42*(1-(Inputs!$B$19+0)/100)))*(1+(Inputs!$B$24+((C912=TRUE)*(F912-Calc!F24))+((C913=TRUE)*(F913-Calc!F25))+B926)/100)*(1+(IF(Skills!A10="EMPOWERED_PIERCING_ARROW",Inputs!$B$17+((C910=TRUE)*(F910-Calc!F22)),Inputs!$B$18+((C915=TRUE)*(F915-Calc!F27))))/100)*((1+(((C901=TRUE)*F901)+((C902=TRUE)*IF(Inputs!$B$38="pvp",F902,(1-Summary!$B$55)*(F902)+Summary!$B$55*(0)))+((C903=TRUE)*F903*IF(AND(Inputs!$B$38&lt;&gt;"pvp",Inputs!$B$43&gt;0),(((R903-1)*(Skills!T15*(1+Inputs!$B$34/100))+MIN((Skills!T15*(1+Inputs!$B$34/100)),MAX(0,Inputs!$B$43-((R903-1)*Skills!D15))))/Inputs!$B$43),IF(Inputs!$B$38="pvp",MIN((Skills!T15*(1+Inputs!$B$34/100)),15)/15,(Skills!T15*(1+Inputs!$B$34/100))/Skills!D15)))+((C900=TRUE)*F900)+((C917=TRUE)*(F917-Calc!F29)))/100)*I898)</f>
        <v/>
      </c>
      <c r="L898">
        <f>K898*(MIN(Inputs!$B$22+((C911=TRUE)*(F911-Calc!F23)),Inputs!$B$23+((C916=TRUE)*(F916-Calc!F28)))/100+(Inputs!$B$23+((C916=TRUE)*(F916-Calc!F28)))/100)/2</f>
        <v/>
      </c>
      <c r="M898">
        <f>L898*(1+(Inputs!$B$10+0+B925)/100)</f>
        <v/>
      </c>
      <c r="N898">
        <f>L898*(1-MIN((Inputs!$B$9+((C907=TRUE)*(F907-Calc!F19))+B920),100)/100)+M898*(MIN((Inputs!$B$9+((C907=TRUE)*(F907-Calc!F19))+B920),100)/100)</f>
        <v/>
      </c>
      <c r="O898">
        <f>(1-Summary!$B$55)*T898+Summary!$B$55*V898</f>
        <v/>
      </c>
      <c r="P898">
        <f>IF(B930=0,0,O898/B930)</f>
        <v/>
      </c>
      <c r="Q898" t="n">
        <v>0</v>
      </c>
      <c r="R898" t="n">
        <v>0</v>
      </c>
      <c r="S898" t="n">
        <v>0</v>
      </c>
      <c r="T898">
        <f>IF(C898,(0.15*SUMPRODUCT((Skills!U2:U29=TRUE)*(C890:C917=TRUE)*S890:S917)*Skills!G10*N898)*IF(Inputs!$B$38="pvp",1,1+(Inputs!$B$20+0+Skills!P10)/100),0)</f>
        <v/>
      </c>
      <c r="V898">
        <f>IF(C898,(0.15*SUMPRODUCT((Skills!U2:U29=TRUE)*(C890:C917=TRUE)*S890:S917)*Skills!G10*N898)*IF(Inputs!$B$38="pvp",1,(1+(Inputs!$B$21+Skills!Q10)/100)*(MIN(Skills!R10,Inputs!$B$37))),0)</f>
        <v/>
      </c>
    </row>
    <row r="899">
      <c r="A899">
        <f>Skills!A11</f>
        <v/>
      </c>
      <c r="B899">
        <f>Skills!B11</f>
        <v/>
      </c>
      <c r="C899">
        <f>Inputs!$B$3&gt;=110</f>
        <v/>
      </c>
      <c r="D899">
        <f>IF(Skills!C11=1,60+Inputs!$B$25+Inputs!$B$29,IF(Skills!C11=2,90+Inputs!$B$26+Inputs!$B$29,IF(Skills!C11=3,120+Inputs!$B$27+Inputs!$B$29,MAX(0,(Inputs!$B$3-100)*3)+(Inputs!$B$28+1)+Inputs!$B$29)))</f>
        <v/>
      </c>
      <c r="E899">
        <f>INDEX(FactorTable!$B$2:$Y$301, MATCH(ROUND(MIN(300,MAX(1,D899)),0), FactorTable!$A$2:$A$301,0), Skills!M11+1)</f>
        <v/>
      </c>
      <c r="F899">
        <f>IF(Skills!N11=TRUE,(Skills!L11/10)*(E899/1000),Skills!L11/10)+Skills!O11</f>
        <v/>
      </c>
      <c r="G899">
        <f>Skills!G11*IF(Skills!H11&gt;0,Skills!I11/Skills!H11,1)</f>
        <v/>
      </c>
      <c r="H899">
        <f>1-(1-Skills!J11/100)^Skills!K11</f>
        <v/>
      </c>
      <c r="I899" t="inlineStr">
        <is>
          <t>1</t>
        </is>
      </c>
      <c r="J899">
        <f>((Inputs!$B$6*(1+Inputs!$B$7/100))+(((Inputs!$B$12*(1+Inputs!$B$13/100))-(Inputs!$B$12*(1+Inputs!$B$13/100)))+0.25*(Inputs!$B$14-Inputs!$B$14))*(1+Inputs!$B$7/100))*(F899/100)</f>
        <v/>
      </c>
      <c r="K899">
        <f>J899*(1+((Inputs!$B$12*(1+Inputs!$B$13/100))*0.01+Inputs!$B$14*0.0025)/100)*(1+Inputs!$B$15/100)*(1+Inputs!$B$16/100)*(5000/(6000+Inputs!$B$42*(1-(Inputs!$B$19+0)/100)))*(1+(Inputs!$B$24+((C912=TRUE)*(F912-Calc!F24))+((C913=TRUE)*(F913-Calc!F25))+B926)/100)*(1+(IF(Skills!A11="EMPOWERED_PIERCING_ARROW",Inputs!$B$17+((C910=TRUE)*(F910-Calc!F22)),Inputs!$B$18+((C915=TRUE)*(F915-Calc!F27))))/100)*((1+(((C901=TRUE)*F901)+((C902=TRUE)*IF(Inputs!$B$38="pvp",F902,(1-Summary!$B$55)*(F902)+Summary!$B$55*(0)))+((C903=TRUE)*F903*IF(AND(Inputs!$B$38&lt;&gt;"pvp",Inputs!$B$43&gt;0),(((R903-1)*(Skills!T15*(1+Inputs!$B$34/100))+MIN((Skills!T15*(1+Inputs!$B$34/100)),MAX(0,Inputs!$B$43-((R903-1)*Skills!D15))))/Inputs!$B$43),IF(Inputs!$B$38="pvp",MIN((Skills!T15*(1+Inputs!$B$34/100)),15)/15,(Skills!T15*(1+Inputs!$B$34/100))/Skills!D15)))+((C900=TRUE)*F900)+((C917=TRUE)*(F917-Calc!F29)))/100)*I899)</f>
        <v/>
      </c>
      <c r="L899">
        <f>K899*(MIN(Inputs!$B$22+((C911=TRUE)*(F911-Calc!F23)),Inputs!$B$23+((C916=TRUE)*(F916-Calc!F28)))/100+(Inputs!$B$23+((C916=TRUE)*(F916-Calc!F28)))/100)/2</f>
        <v/>
      </c>
      <c r="M899">
        <f>L899*(1+(Inputs!$B$10+0+B925)/100)</f>
        <v/>
      </c>
      <c r="N899">
        <f>L899*(1-MIN((Inputs!$B$9+((C907=TRUE)*(F907-Calc!F19))+B920),100)/100)+M899*(MIN((Inputs!$B$9+((C907=TRUE)*(F907-Calc!F19))+B920),100)/100)</f>
        <v/>
      </c>
      <c r="O899">
        <f>(1-Summary!$B$55)*T899+Summary!$B$55*V899</f>
        <v/>
      </c>
      <c r="P899">
        <f>IF(B930=0,0,O899/B930)</f>
        <v/>
      </c>
      <c r="Q899">
        <f>IFERROR(1/IF(Inputs!$B$38="pvp",15,MAX(0.1,Skills!D11-IF(Skills!E11=TRUE,Inputs!$B$32,0))),0)</f>
        <v/>
      </c>
      <c r="R899">
        <f>IF(AND(Inputs!$B$38&lt;&gt;"pvp",Inputs!$B$43&gt;0),IF(MAX(0,Inputs!$B$43-B927)&lt;=0,0,(INT(MAX(0,Inputs!$B$43-B927)/IF(Inputs!$B$38="pvp",15,MAX(0.1,Skills!D11-IF(Skills!E11=TRUE,Inputs!$B$32,0))))+1)),0)</f>
        <v/>
      </c>
      <c r="S899">
        <f>IFERROR((H899*N899*IF(AND(Inputs!$B$38&lt;&gt;"pvp",Inputs!$B$43&gt;0),((Skills!G11*((R899-1)*IF(Skills!H11&gt;0,Skills!I11/Skills!H11,1)+IF(Skills!H11&gt;0,MIN(Skills!I11,MAX(0,MAX(0,Inputs!$B$43-B927)-((R899-1)*IF(Inputs!$B$38="pvp",15,MAX(0.1,Skills!D11-IF(Skills!E11=TRUE,Inputs!$B$32,0))))))/Skills!H11,1)))/Inputs!$B$43),G899*Q899))/N899*IF(Inputs!$B$38="pvp",1,(1-Summary!$B$55)*1+Summary!$B$55*(MIN(Skills!R11,Inputs!$B$37))),0)</f>
        <v/>
      </c>
      <c r="T899">
        <f>IF(C899,(H899*N899*IF(AND(Inputs!$B$38&lt;&gt;"pvp",Inputs!$B$43&gt;0),((Skills!G11*((R899-1)*IF(Skills!H11&gt;0,Skills!I11/Skills!H11,1)+IF(Skills!H11&gt;0,MIN(Skills!I11,MAX(0,MAX(0,Inputs!$B$43-B927)-((R899-1)*IF(Inputs!$B$38="pvp",15,MAX(0.1,Skills!D11-IF(Skills!E11=TRUE,Inputs!$B$32,0))))))/Skills!H11,1)))/Inputs!$B$43),G899*Q899))*IF(Inputs!$B$38="pvp",1,1+(Inputs!$B$20+0+Skills!P11)/100),0)</f>
        <v/>
      </c>
      <c r="V899">
        <f>IF(C899,(H899*N899*IF(AND(Inputs!$B$38&lt;&gt;"pvp",Inputs!$B$43&gt;0),((Skills!G11*((R899-1)*IF(Skills!H11&gt;0,Skills!I11/Skills!H11,1)+IF(Skills!H11&gt;0,MIN(Skills!I11,MAX(0,MAX(0,Inputs!$B$43-B927)-((R899-1)*IF(Inputs!$B$38="pvp",15,MAX(0.1,Skills!D11-IF(Skills!E11=TRUE,Inputs!$B$32,0))))))/Skills!H11,1)))/Inputs!$B$43),G899*Q899))*IF(Inputs!$B$38="pvp",1,(1+(Inputs!$B$21+Skills!Q11)/100)*(MIN(Skills!R11,Inputs!$B$37))),0)</f>
        <v/>
      </c>
    </row>
    <row r="900">
      <c r="A900">
        <f>Skills!A12</f>
        <v/>
      </c>
      <c r="B900">
        <f>Skills!B12</f>
        <v/>
      </c>
      <c r="C900">
        <f>Inputs!$B$3&gt;=60</f>
        <v/>
      </c>
      <c r="D900">
        <f>IF(Skills!C12=1,60+Inputs!$B$25+Inputs!$B$29,IF(Skills!C12=2,90+Inputs!$B$26+Inputs!$B$29,IF(Skills!C12=3,120+Inputs!$B$27+Inputs!$B$29,MAX(0,(Inputs!$B$3-100)*3)+(Inputs!$B$28+1)+Inputs!$B$29)))</f>
        <v/>
      </c>
      <c r="E900">
        <f>INDEX(FactorTable!$B$2:$Y$301, MATCH(ROUND(MIN(300,MAX(1,D900)),0), FactorTable!$A$2:$A$301,0), Skills!M12+1)</f>
        <v/>
      </c>
      <c r="F900">
        <f>IF(Skills!N12=TRUE,(Skills!L12/10)*(E900/1000),Skills!L12/10)+Skills!O12</f>
        <v/>
      </c>
      <c r="G900">
        <f>Skills!G12*IF(Skills!H12&gt;0,Skills!I12/Skills!H12,1)</f>
        <v/>
      </c>
      <c r="H900">
        <f>1-(1-Skills!J12/100)^Skills!K12</f>
        <v/>
      </c>
      <c r="I900" t="inlineStr">
        <is>
          <t>1</t>
        </is>
      </c>
      <c r="J900" t="inlineStr"/>
      <c r="K900" t="inlineStr"/>
      <c r="L900" t="inlineStr"/>
      <c r="M900" t="inlineStr"/>
      <c r="N900" t="inlineStr"/>
      <c r="O900">
        <f>(1-Summary!$B$55)*T900+Summary!$B$55*V900</f>
        <v/>
      </c>
      <c r="P900">
        <f>IF(B930=0,0,O900/B930)</f>
        <v/>
      </c>
      <c r="Q900" t="n">
        <v>0</v>
      </c>
      <c r="R900" t="n">
        <v>0</v>
      </c>
      <c r="S900" t="n">
        <v>0</v>
      </c>
      <c r="T900" t="n">
        <v>0</v>
      </c>
      <c r="V900" t="n">
        <v>0</v>
      </c>
    </row>
    <row r="901">
      <c r="A901">
        <f>Skills!A13</f>
        <v/>
      </c>
      <c r="B901">
        <f>Skills!B13</f>
        <v/>
      </c>
      <c r="C901">
        <f>Inputs!$B$3&gt;=74</f>
        <v/>
      </c>
      <c r="D901">
        <f>IF(Skills!C13=1,60+Inputs!$B$25+Inputs!$B$29,IF(Skills!C13=2,90+Inputs!$B$26+Inputs!$B$29,IF(Skills!C13=3,120+Inputs!$B$27+Inputs!$B$29,MAX(0,(Inputs!$B$3-100)*3)+(Inputs!$B$28+1)+Inputs!$B$29)))</f>
        <v/>
      </c>
      <c r="E901">
        <f>INDEX(FactorTable!$B$2:$Y$301, MATCH(ROUND(MIN(300,MAX(1,D901)),0), FactorTable!$A$2:$A$301,0), Skills!M13+1)</f>
        <v/>
      </c>
      <c r="F901">
        <f>IF(Skills!N13=TRUE,(Skills!L13/10)*(E901/1000),Skills!L13/10)+Skills!O13</f>
        <v/>
      </c>
      <c r="G901">
        <f>Skills!G13*IF(Skills!H13&gt;0,Skills!I13/Skills!H13,1)</f>
        <v/>
      </c>
      <c r="H901">
        <f>1-(1-Skills!J13/100)^Skills!K13</f>
        <v/>
      </c>
      <c r="I901" t="inlineStr">
        <is>
          <t>1</t>
        </is>
      </c>
      <c r="J901" t="inlineStr"/>
      <c r="K901" t="inlineStr"/>
      <c r="L901" t="inlineStr"/>
      <c r="M901" t="inlineStr"/>
      <c r="N901" t="inlineStr"/>
      <c r="O901">
        <f>(1-Summary!$B$55)*T901+Summary!$B$55*V901</f>
        <v/>
      </c>
      <c r="P901">
        <f>IF(B930=0,0,O901/B930)</f>
        <v/>
      </c>
      <c r="Q901" t="n">
        <v>0</v>
      </c>
      <c r="R901" t="n">
        <v>0</v>
      </c>
      <c r="S901" t="n">
        <v>0</v>
      </c>
      <c r="T901" t="n">
        <v>0</v>
      </c>
      <c r="V901" t="n">
        <v>0</v>
      </c>
    </row>
    <row r="902">
      <c r="A902">
        <f>Skills!A14</f>
        <v/>
      </c>
      <c r="B902">
        <f>Skills!B14</f>
        <v/>
      </c>
      <c r="C902">
        <f>Inputs!$B$3&gt;=74</f>
        <v/>
      </c>
      <c r="D902">
        <f>IF(Skills!C14=1,60+Inputs!$B$25+Inputs!$B$29,IF(Skills!C14=2,90+Inputs!$B$26+Inputs!$B$29,IF(Skills!C14=3,120+Inputs!$B$27+Inputs!$B$29,MAX(0,(Inputs!$B$3-100)*3)+(Inputs!$B$28+1)+Inputs!$B$29)))</f>
        <v/>
      </c>
      <c r="E902">
        <f>INDEX(FactorTable!$B$2:$Y$301, MATCH(ROUND(MIN(300,MAX(1,D902)),0), FactorTable!$A$2:$A$301,0), Skills!M14+1)</f>
        <v/>
      </c>
      <c r="F902">
        <f>IF(Skills!N14=TRUE,(Skills!L14/10)*(E902/1000),Skills!L14/10)+Skills!O14</f>
        <v/>
      </c>
      <c r="G902">
        <f>Skills!G14*IF(Skills!H14&gt;0,Skills!I14/Skills!H14,1)</f>
        <v/>
      </c>
      <c r="H902">
        <f>1-(1-Skills!J14/100)^Skills!K14</f>
        <v/>
      </c>
      <c r="I902" t="inlineStr">
        <is>
          <t>1</t>
        </is>
      </c>
      <c r="J902" t="inlineStr"/>
      <c r="K902" t="inlineStr"/>
      <c r="L902" t="inlineStr"/>
      <c r="M902" t="inlineStr"/>
      <c r="N902" t="inlineStr"/>
      <c r="O902">
        <f>(1-Summary!$B$55)*T902+Summary!$B$55*V902</f>
        <v/>
      </c>
      <c r="P902">
        <f>IF(B930=0,0,O902/B930)</f>
        <v/>
      </c>
      <c r="Q902" t="n">
        <v>0</v>
      </c>
      <c r="R902" t="n">
        <v>0</v>
      </c>
      <c r="S902" t="n">
        <v>0</v>
      </c>
      <c r="T902" t="n">
        <v>0</v>
      </c>
      <c r="V902" t="n">
        <v>0</v>
      </c>
    </row>
    <row r="903">
      <c r="A903">
        <f>Skills!A15</f>
        <v/>
      </c>
      <c r="B903">
        <f>Skills!B15</f>
        <v/>
      </c>
      <c r="C903">
        <f>Inputs!$B$3&gt;=117</f>
        <v/>
      </c>
      <c r="D903">
        <f>IF(Skills!C15=1,60+Inputs!$B$25+Inputs!$B$29,IF(Skills!C15=2,90+Inputs!$B$26+Inputs!$B$29,IF(Skills!C15=3,120+Inputs!$B$27+Inputs!$B$29,MAX(0,(Inputs!$B$3-100)*3)+(Inputs!$B$28+1)+Inputs!$B$29)))</f>
        <v/>
      </c>
      <c r="E903">
        <f>INDEX(FactorTable!$B$2:$Y$301, MATCH(ROUND(MIN(300,MAX(1,D903)),0), FactorTable!$A$2:$A$301,0), Skills!M15+1)</f>
        <v/>
      </c>
      <c r="F903">
        <f>IF(Skills!N15=TRUE,(Skills!L15/10)*(E903/1000),Skills!L15/10)+Skills!O15</f>
        <v/>
      </c>
      <c r="G903">
        <f>Skills!G15*IF(Skills!H15&gt;0,Skills!I15/Skills!H15,1)</f>
        <v/>
      </c>
      <c r="H903">
        <f>1-(1-Skills!J15/100)^Skills!K15</f>
        <v/>
      </c>
      <c r="I903" t="inlineStr">
        <is>
          <t>1</t>
        </is>
      </c>
      <c r="J903" t="inlineStr"/>
      <c r="K903" t="inlineStr"/>
      <c r="L903" t="inlineStr"/>
      <c r="M903" t="inlineStr"/>
      <c r="N903" t="inlineStr"/>
      <c r="O903">
        <f>(1-Summary!$B$55)*T903+Summary!$B$55*V903</f>
        <v/>
      </c>
      <c r="P903">
        <f>IF(B930=0,0,O903/B930)</f>
        <v/>
      </c>
      <c r="Q903">
        <f>IFERROR(1/IF(Inputs!$B$38="pvp",15,MAX(0.1,Skills!D15-IF(Skills!E15=TRUE,Inputs!$B$32,0))),0)</f>
        <v/>
      </c>
      <c r="R903">
        <f>IF(AND(Inputs!$B$38&lt;&gt;"pvp",Inputs!$B$43&gt;0),IF(Inputs!$B$43&lt;=0,0,(INT(Inputs!$B$43/IF(Inputs!$B$38="pvp",15,MAX(0.1,Skills!D15-IF(Skills!E15=TRUE,Inputs!$B$32,0))))+1)),0)</f>
        <v/>
      </c>
      <c r="S903" t="n">
        <v>0</v>
      </c>
      <c r="T903" t="n">
        <v>0</v>
      </c>
      <c r="V903" t="n">
        <v>0</v>
      </c>
    </row>
    <row r="904">
      <c r="A904">
        <f>Skills!A16</f>
        <v/>
      </c>
      <c r="B904">
        <f>Skills!B16</f>
        <v/>
      </c>
      <c r="C904">
        <f>Inputs!$B$3&gt;=115</f>
        <v/>
      </c>
      <c r="D904">
        <f>IF(Skills!C16=1,60+Inputs!$B$25+Inputs!$B$29,IF(Skills!C16=2,90+Inputs!$B$26+Inputs!$B$29,IF(Skills!C16=3,120+Inputs!$B$27+Inputs!$B$29,MAX(0,(Inputs!$B$3-100)*3)+(Inputs!$B$28+1)+Inputs!$B$29)))</f>
        <v/>
      </c>
      <c r="E904">
        <f>INDEX(FactorTable!$B$2:$Y$301, MATCH(ROUND(MIN(300,MAX(1,D904)),0), FactorTable!$A$2:$A$301,0), Skills!M16+1)</f>
        <v/>
      </c>
      <c r="F904">
        <f>IF(Skills!N16=TRUE,(Skills!L16/10)*(E904/1000),Skills!L16/10)+Skills!O16</f>
        <v/>
      </c>
      <c r="G904">
        <f>Skills!G16*IF(Skills!H16&gt;0,Skills!I16/Skills!H16,1)</f>
        <v/>
      </c>
      <c r="H904">
        <f>1-(1-Skills!J16/100)^Skills!K16</f>
        <v/>
      </c>
      <c r="I904" t="inlineStr">
        <is>
          <t>1</t>
        </is>
      </c>
      <c r="J904" t="inlineStr"/>
      <c r="K904" t="inlineStr"/>
      <c r="L904" t="inlineStr"/>
      <c r="M904" t="inlineStr"/>
      <c r="N904" t="inlineStr"/>
      <c r="O904">
        <f>(1-Summary!$B$55)*T904+Summary!$B$55*V904</f>
        <v/>
      </c>
      <c r="P904">
        <f>IF(B930=0,0,O904/B930)</f>
        <v/>
      </c>
      <c r="Q904">
        <f>IFERROR(1/IF(Inputs!$B$38="pvp",15,MAX(0.1,Skills!D16-IF(Skills!E16=TRUE,Inputs!$B$32,0))),0)</f>
        <v/>
      </c>
      <c r="R904">
        <f>IF(AND(Inputs!$B$38&lt;&gt;"pvp",Inputs!$B$43&gt;0),IF(Inputs!$B$43&lt;=0,0,(INT(Inputs!$B$43/IF(Inputs!$B$38="pvp",15,MAX(0.1,Skills!D16-IF(Skills!E16=TRUE,Inputs!$B$32,0))))+1)),0)</f>
        <v/>
      </c>
      <c r="S904" t="n">
        <v>0</v>
      </c>
      <c r="T904" t="n">
        <v>0</v>
      </c>
      <c r="V904" t="n">
        <v>0</v>
      </c>
    </row>
    <row r="905">
      <c r="A905">
        <f>Skills!A17</f>
        <v/>
      </c>
      <c r="B905">
        <f>Skills!B17</f>
        <v/>
      </c>
      <c r="C905">
        <f>Inputs!$B$3&gt;=72</f>
        <v/>
      </c>
      <c r="D905">
        <f>IF(Skills!C17=1,60+Inputs!$B$25+Inputs!$B$29,IF(Skills!C17=2,90+Inputs!$B$26+Inputs!$B$29,IF(Skills!C17=3,120+Inputs!$B$27+Inputs!$B$29,MAX(0,(Inputs!$B$3-100)*3)+(Inputs!$B$28+1)+Inputs!$B$29)))</f>
        <v/>
      </c>
      <c r="E905">
        <f>INDEX(FactorTable!$B$2:$Y$301, MATCH(ROUND(MIN(300,MAX(1,D905)),0), FactorTable!$A$2:$A$301,0), Skills!M17+1)</f>
        <v/>
      </c>
      <c r="F905">
        <f>IF(Skills!N17=TRUE,(Skills!L17/10)*(E905/1000),Skills!L17/10)+Skills!O17</f>
        <v/>
      </c>
      <c r="G905">
        <f>Skills!G17*IF(Skills!H17&gt;0,Skills!I17/Skills!H17,1)</f>
        <v/>
      </c>
      <c r="H905">
        <f>1-(1-Skills!J17/100)^Skills!K17</f>
        <v/>
      </c>
      <c r="I905" t="inlineStr">
        <is>
          <t>1</t>
        </is>
      </c>
      <c r="J905" t="inlineStr"/>
      <c r="K905" t="inlineStr"/>
      <c r="L905" t="inlineStr"/>
      <c r="M905" t="inlineStr"/>
      <c r="N905" t="inlineStr"/>
      <c r="O905">
        <f>(1-Summary!$B$55)*T905+Summary!$B$55*V905</f>
        <v/>
      </c>
      <c r="P905">
        <f>IF(B930=0,0,O905/B930)</f>
        <v/>
      </c>
      <c r="Q905" t="n">
        <v>0</v>
      </c>
      <c r="R905" t="n">
        <v>0</v>
      </c>
      <c r="S905" t="n">
        <v>0</v>
      </c>
      <c r="T905" t="n">
        <v>0</v>
      </c>
      <c r="V905" t="n">
        <v>0</v>
      </c>
    </row>
    <row r="906">
      <c r="A906">
        <f>Skills!A18</f>
        <v/>
      </c>
      <c r="B906">
        <f>Skills!B18</f>
        <v/>
      </c>
      <c r="C906">
        <f>TRUE</f>
        <v/>
      </c>
      <c r="D906">
        <f>IF(Skills!C18=1,60+Inputs!$B$25+Inputs!$B$29,IF(Skills!C18=2,90+Inputs!$B$26+Inputs!$B$29,IF(Skills!C18=3,120+Inputs!$B$27+Inputs!$B$29,MAX(0,(Inputs!$B$3-100)*3)+(Inputs!$B$28+1)+Inputs!$B$29)))</f>
        <v/>
      </c>
      <c r="E906">
        <f>INDEX(FactorTable!$B$2:$Y$301, MATCH(ROUND(MIN(300,MAX(1,D906)),0), FactorTable!$A$2:$A$301,0), Skills!M18+1)</f>
        <v/>
      </c>
      <c r="F906">
        <f>IF(Skills!N18=TRUE,(Skills!L18/10)*(E906/1000),Skills!L18/10)+Skills!O18</f>
        <v/>
      </c>
      <c r="G906">
        <f>Skills!G18*IF(Skills!H18&gt;0,Skills!I18/Skills!H18,1)</f>
        <v/>
      </c>
      <c r="H906">
        <f>1-(1-Skills!J18/100)^Skills!K18</f>
        <v/>
      </c>
      <c r="I906" t="inlineStr">
        <is>
          <t>1</t>
        </is>
      </c>
      <c r="J906" t="inlineStr"/>
      <c r="K906" t="inlineStr"/>
      <c r="L906" t="inlineStr"/>
      <c r="M906" t="inlineStr"/>
      <c r="N906" t="inlineStr"/>
      <c r="O906">
        <f>(1-Summary!$B$55)*T906+Summary!$B$55*V906</f>
        <v/>
      </c>
      <c r="P906">
        <f>IF(B930=0,0,O906/B930)</f>
        <v/>
      </c>
      <c r="Q906">
        <f>IFERROR(1/IF(Inputs!$B$38="pvp",15,MAX(0.1,Skills!D18-IF(Skills!E18=TRUE,Inputs!$B$32,0))),0)</f>
        <v/>
      </c>
      <c r="R906">
        <f>IF(AND(Inputs!$B$38&lt;&gt;"pvp",Inputs!$B$43&gt;0),IF(Inputs!$B$43&lt;=0,0,(INT(Inputs!$B$43/IF(Inputs!$B$38="pvp",15,MAX(0.1,Skills!D18-IF(Skills!E18=TRUE,Inputs!$B$32,0))))+1)),0)</f>
        <v/>
      </c>
      <c r="S906" t="n">
        <v>0</v>
      </c>
      <c r="T906" t="n">
        <v>0</v>
      </c>
      <c r="V906" t="n">
        <v>0</v>
      </c>
    </row>
    <row r="907">
      <c r="A907">
        <f>Skills!A19</f>
        <v/>
      </c>
      <c r="B907">
        <f>Skills!B19</f>
        <v/>
      </c>
      <c r="C907">
        <f>Inputs!$B$3&gt;=15</f>
        <v/>
      </c>
      <c r="D907">
        <f>IF(Skills!C19=1,60+Inputs!$B$25+Inputs!$B$29,IF(Skills!C19=2,90+Inputs!$B$26+Inputs!$B$29,IF(Skills!C19=3,120+Inputs!$B$27+Inputs!$B$29,MAX(0,(Inputs!$B$3-100)*3)+(Inputs!$B$28+1)+Inputs!$B$29)))</f>
        <v/>
      </c>
      <c r="E907">
        <f>INDEX(FactorTable!$B$2:$Y$301, MATCH(ROUND(MIN(300,MAX(1,D907)),0), FactorTable!$A$2:$A$301,0), Skills!M19+1)</f>
        <v/>
      </c>
      <c r="F907">
        <f>IF(Skills!N19=TRUE,(Skills!L19/10)*(E907/1000),Skills!L19/10)+Skills!O19</f>
        <v/>
      </c>
      <c r="G907">
        <f>Skills!G19*IF(Skills!H19&gt;0,Skills!I19/Skills!H19,1)</f>
        <v/>
      </c>
      <c r="H907">
        <f>1-(1-Skills!J19/100)^Skills!K19</f>
        <v/>
      </c>
      <c r="I907" t="inlineStr">
        <is>
          <t>1</t>
        </is>
      </c>
      <c r="J907" t="inlineStr"/>
      <c r="K907" t="inlineStr"/>
      <c r="L907" t="inlineStr"/>
      <c r="M907" t="inlineStr"/>
      <c r="N907" t="inlineStr"/>
      <c r="O907">
        <f>(1-Summary!$B$55)*T907+Summary!$B$55*V907</f>
        <v/>
      </c>
      <c r="P907">
        <f>IF(B930=0,0,O907/B930)</f>
        <v/>
      </c>
      <c r="Q907" t="n">
        <v>0</v>
      </c>
      <c r="R907" t="n">
        <v>0</v>
      </c>
      <c r="S907" t="n">
        <v>0</v>
      </c>
      <c r="T907" t="n">
        <v>0</v>
      </c>
      <c r="V907" t="n">
        <v>0</v>
      </c>
    </row>
    <row r="908">
      <c r="A908">
        <f>Skills!A20</f>
        <v/>
      </c>
      <c r="B908">
        <f>Skills!B20</f>
        <v/>
      </c>
      <c r="C908">
        <f>Inputs!$B$3&gt;=10</f>
        <v/>
      </c>
      <c r="D908">
        <f>IF(Skills!C20=1,60+Inputs!$B$25+Inputs!$B$29,IF(Skills!C20=2,90+Inputs!$B$26+Inputs!$B$29,IF(Skills!C20=3,120+Inputs!$B$27+Inputs!$B$29,MAX(0,(Inputs!$B$3-100)*3)+(Inputs!$B$28+1)+Inputs!$B$29)))</f>
        <v/>
      </c>
      <c r="E908">
        <f>INDEX(FactorTable!$B$2:$Y$301, MATCH(ROUND(MIN(300,MAX(1,D908)),0), FactorTable!$A$2:$A$301,0), Skills!M20+1)</f>
        <v/>
      </c>
      <c r="F908">
        <f>IF(Skills!N20=TRUE,(Skills!L20/10)*(E908/1000),Skills!L20/10)+Skills!O20</f>
        <v/>
      </c>
      <c r="G908">
        <f>Skills!G20*IF(Skills!H20&gt;0,Skills!I20/Skills!H20,1)</f>
        <v/>
      </c>
      <c r="H908">
        <f>1-(1-Skills!J20/100)^Skills!K20</f>
        <v/>
      </c>
      <c r="I908" t="inlineStr">
        <is>
          <t>1</t>
        </is>
      </c>
      <c r="J908" t="inlineStr"/>
      <c r="K908" t="inlineStr"/>
      <c r="L908" t="inlineStr"/>
      <c r="M908" t="inlineStr"/>
      <c r="N908" t="inlineStr"/>
      <c r="O908">
        <f>(1-Summary!$B$55)*T908+Summary!$B$55*V908</f>
        <v/>
      </c>
      <c r="P908">
        <f>IF(B930=0,0,O908/B930)</f>
        <v/>
      </c>
      <c r="Q908" t="n">
        <v>0</v>
      </c>
      <c r="R908" t="n">
        <v>0</v>
      </c>
      <c r="S908" t="n">
        <v>0</v>
      </c>
      <c r="T908" t="n">
        <v>0</v>
      </c>
      <c r="V908" t="n">
        <v>0</v>
      </c>
    </row>
    <row r="909">
      <c r="A909">
        <f>Skills!A21</f>
        <v/>
      </c>
      <c r="B909">
        <f>Skills!B21</f>
        <v/>
      </c>
      <c r="C909">
        <f>Inputs!$B$3&gt;=33</f>
        <v/>
      </c>
      <c r="D909">
        <f>IF(Skills!C21=1,60+Inputs!$B$25+Inputs!$B$29,IF(Skills!C21=2,90+Inputs!$B$26+Inputs!$B$29,IF(Skills!C21=3,120+Inputs!$B$27+Inputs!$B$29,MAX(0,(Inputs!$B$3-100)*3)+(Inputs!$B$28+1)+Inputs!$B$29)))</f>
        <v/>
      </c>
      <c r="E909">
        <f>INDEX(FactorTable!$B$2:$Y$301, MATCH(ROUND(MIN(300,MAX(1,D909)),0), FactorTable!$A$2:$A$301,0), Skills!M21+1)</f>
        <v/>
      </c>
      <c r="F909">
        <f>IF(Skills!N21=TRUE,(Skills!L21/10)*(E909/1000),Skills!L21/10)+Skills!O21</f>
        <v/>
      </c>
      <c r="G909">
        <f>Skills!G21*IF(Skills!H21&gt;0,Skills!I21/Skills!H21,1)</f>
        <v/>
      </c>
      <c r="H909">
        <f>1-(1-Skills!J21/100)^Skills!K21</f>
        <v/>
      </c>
      <c r="I909" t="inlineStr">
        <is>
          <t>1</t>
        </is>
      </c>
      <c r="J909" t="inlineStr"/>
      <c r="K909" t="inlineStr"/>
      <c r="L909" t="inlineStr"/>
      <c r="M909" t="inlineStr"/>
      <c r="N909" t="inlineStr"/>
      <c r="O909">
        <f>(1-Summary!$B$55)*T909+Summary!$B$55*V909</f>
        <v/>
      </c>
      <c r="P909">
        <f>IF(B930=0,0,O909/B930)</f>
        <v/>
      </c>
      <c r="Q909" t="n">
        <v>0</v>
      </c>
      <c r="R909" t="n">
        <v>0</v>
      </c>
      <c r="S909" t="n">
        <v>0</v>
      </c>
      <c r="T909" t="n">
        <v>0</v>
      </c>
      <c r="V909" t="n">
        <v>0</v>
      </c>
    </row>
    <row r="910">
      <c r="A910">
        <f>Skills!A22</f>
        <v/>
      </c>
      <c r="B910">
        <f>Skills!B22</f>
        <v/>
      </c>
      <c r="C910">
        <f>Inputs!$B$3&gt;=38</f>
        <v/>
      </c>
      <c r="D910">
        <f>IF(Skills!C22=1,60+Inputs!$B$25+Inputs!$B$29,IF(Skills!C22=2,90+Inputs!$B$26+Inputs!$B$29,IF(Skills!C22=3,120+Inputs!$B$27+Inputs!$B$29,MAX(0,(Inputs!$B$3-100)*3)+(Inputs!$B$28+1)+Inputs!$B$29)))</f>
        <v/>
      </c>
      <c r="E910">
        <f>INDEX(FactorTable!$B$2:$Y$301, MATCH(ROUND(MIN(300,MAX(1,D910)),0), FactorTable!$A$2:$A$301,0), Skills!M22+1)</f>
        <v/>
      </c>
      <c r="F910">
        <f>IF(Skills!N22=TRUE,(Skills!L22/10)*(E910/1000),Skills!L22/10)+Skills!O22</f>
        <v/>
      </c>
      <c r="G910">
        <f>Skills!G22*IF(Skills!H22&gt;0,Skills!I22/Skills!H22,1)</f>
        <v/>
      </c>
      <c r="H910">
        <f>1-(1-Skills!J22/100)^Skills!K22</f>
        <v/>
      </c>
      <c r="I910" t="inlineStr">
        <is>
          <t>1</t>
        </is>
      </c>
      <c r="J910" t="inlineStr"/>
      <c r="K910" t="inlineStr"/>
      <c r="L910" t="inlineStr"/>
      <c r="M910" t="inlineStr"/>
      <c r="N910" t="inlineStr"/>
      <c r="O910">
        <f>(1-Summary!$B$55)*T910+Summary!$B$55*V910</f>
        <v/>
      </c>
      <c r="P910">
        <f>IF(B930=0,0,O910/B930)</f>
        <v/>
      </c>
      <c r="Q910" t="n">
        <v>0</v>
      </c>
      <c r="R910" t="n">
        <v>0</v>
      </c>
      <c r="S910" t="n">
        <v>0</v>
      </c>
      <c r="T910" t="n">
        <v>0</v>
      </c>
      <c r="V910" t="n">
        <v>0</v>
      </c>
    </row>
    <row r="911">
      <c r="A911">
        <f>Skills!A23</f>
        <v/>
      </c>
      <c r="B911">
        <f>Skills!B23</f>
        <v/>
      </c>
      <c r="C911">
        <f>Inputs!$B$3&gt;=43</f>
        <v/>
      </c>
      <c r="D911">
        <f>IF(Skills!C23=1,60+Inputs!$B$25+Inputs!$B$29,IF(Skills!C23=2,90+Inputs!$B$26+Inputs!$B$29,IF(Skills!C23=3,120+Inputs!$B$27+Inputs!$B$29,MAX(0,(Inputs!$B$3-100)*3)+(Inputs!$B$28+1)+Inputs!$B$29)))</f>
        <v/>
      </c>
      <c r="E911">
        <f>INDEX(FactorTable!$B$2:$Y$301, MATCH(ROUND(MIN(300,MAX(1,D911)),0), FactorTable!$A$2:$A$301,0), Skills!M23+1)</f>
        <v/>
      </c>
      <c r="F911">
        <f>IF(Skills!N23=TRUE,(Skills!L23/10)*(E911/1000),Skills!L23/10)+Skills!O23</f>
        <v/>
      </c>
      <c r="G911">
        <f>Skills!G23*IF(Skills!H23&gt;0,Skills!I23/Skills!H23,1)</f>
        <v/>
      </c>
      <c r="H911">
        <f>1-(1-Skills!J23/100)^Skills!K23</f>
        <v/>
      </c>
      <c r="I911" t="inlineStr">
        <is>
          <t>1</t>
        </is>
      </c>
      <c r="J911" t="inlineStr"/>
      <c r="K911" t="inlineStr"/>
      <c r="L911" t="inlineStr"/>
      <c r="M911" t="inlineStr"/>
      <c r="N911" t="inlineStr"/>
      <c r="O911">
        <f>(1-Summary!$B$55)*T911+Summary!$B$55*V911</f>
        <v/>
      </c>
      <c r="P911">
        <f>IF(B930=0,0,O911/B930)</f>
        <v/>
      </c>
      <c r="Q911" t="n">
        <v>0</v>
      </c>
      <c r="R911" t="n">
        <v>0</v>
      </c>
      <c r="S911" t="n">
        <v>0</v>
      </c>
      <c r="T911" t="n">
        <v>0</v>
      </c>
      <c r="V911" t="n">
        <v>0</v>
      </c>
    </row>
    <row r="912">
      <c r="A912">
        <f>Skills!A24</f>
        <v/>
      </c>
      <c r="B912">
        <f>Skills!B24</f>
        <v/>
      </c>
      <c r="C912">
        <f>Inputs!$B$3&gt;=75</f>
        <v/>
      </c>
      <c r="D912">
        <f>IF(Skills!C24=1,60+Inputs!$B$25+Inputs!$B$29,IF(Skills!C24=2,90+Inputs!$B$26+Inputs!$B$29,IF(Skills!C24=3,120+Inputs!$B$27+Inputs!$B$29,MAX(0,(Inputs!$B$3-100)*3)+(Inputs!$B$28+1)+Inputs!$B$29)))</f>
        <v/>
      </c>
      <c r="E912">
        <f>INDEX(FactorTable!$B$2:$Y$301, MATCH(ROUND(MIN(300,MAX(1,D912)),0), FactorTable!$A$2:$A$301,0), Skills!M24+1)</f>
        <v/>
      </c>
      <c r="F912">
        <f>IF(Skills!N24=TRUE,(Skills!L24/10)*(E912/1000),Skills!L24/10)+Skills!O24</f>
        <v/>
      </c>
      <c r="G912">
        <f>Skills!G24*IF(Skills!H24&gt;0,Skills!I24/Skills!H24,1)</f>
        <v/>
      </c>
      <c r="H912">
        <f>1-(1-Skills!J24/100)^Skills!K24</f>
        <v/>
      </c>
      <c r="I912" t="inlineStr">
        <is>
          <t>1</t>
        </is>
      </c>
      <c r="J912" t="inlineStr"/>
      <c r="K912" t="inlineStr"/>
      <c r="L912" t="inlineStr"/>
      <c r="M912" t="inlineStr"/>
      <c r="N912" t="inlineStr"/>
      <c r="O912">
        <f>(1-Summary!$B$55)*T912+Summary!$B$55*V912</f>
        <v/>
      </c>
      <c r="P912">
        <f>IF(B930=0,0,O912/B930)</f>
        <v/>
      </c>
      <c r="Q912" t="n">
        <v>0</v>
      </c>
      <c r="R912" t="n">
        <v>0</v>
      </c>
      <c r="S912" t="n">
        <v>0</v>
      </c>
      <c r="T912" t="n">
        <v>0</v>
      </c>
      <c r="V912" t="n">
        <v>0</v>
      </c>
    </row>
    <row r="913">
      <c r="A913">
        <f>Skills!A25</f>
        <v/>
      </c>
      <c r="B913">
        <f>Skills!B25</f>
        <v/>
      </c>
      <c r="C913">
        <f>Inputs!$B$3&gt;=125</f>
        <v/>
      </c>
      <c r="D913">
        <f>IF(Skills!C25=1,60+Inputs!$B$25+Inputs!$B$29,IF(Skills!C25=2,90+Inputs!$B$26+Inputs!$B$29,IF(Skills!C25=3,120+Inputs!$B$27+Inputs!$B$29,MAX(0,(Inputs!$B$3-100)*3)+(Inputs!$B$28+1)+Inputs!$B$29)))</f>
        <v/>
      </c>
      <c r="E913">
        <f>INDEX(FactorTable!$B$2:$Y$301, MATCH(ROUND(MIN(300,MAX(1,D913)),0), FactorTable!$A$2:$A$301,0), Skills!M25+1)</f>
        <v/>
      </c>
      <c r="F913">
        <f>IF(Skills!N25=TRUE,(Skills!L25/10)*(E913/1000),Skills!L25/10)+Skills!O25</f>
        <v/>
      </c>
      <c r="G913">
        <f>Skills!G25*IF(Skills!H25&gt;0,Skills!I25/Skills!H25,1)</f>
        <v/>
      </c>
      <c r="H913">
        <f>1-(1-Skills!J25/100)^Skills!K25</f>
        <v/>
      </c>
      <c r="I913" t="inlineStr">
        <is>
          <t>1</t>
        </is>
      </c>
      <c r="J913" t="inlineStr"/>
      <c r="K913" t="inlineStr"/>
      <c r="L913" t="inlineStr"/>
      <c r="M913" t="inlineStr"/>
      <c r="N913" t="inlineStr"/>
      <c r="O913">
        <f>(1-Summary!$B$55)*T913+Summary!$B$55*V913</f>
        <v/>
      </c>
      <c r="P913">
        <f>IF(B930=0,0,O913/B930)</f>
        <v/>
      </c>
      <c r="Q913" t="n">
        <v>0</v>
      </c>
      <c r="R913" t="n">
        <v>0</v>
      </c>
      <c r="S913" t="n">
        <v>0</v>
      </c>
      <c r="T913" t="n">
        <v>0</v>
      </c>
      <c r="V913" t="n">
        <v>0</v>
      </c>
    </row>
    <row r="914">
      <c r="A914">
        <f>Skills!A26</f>
        <v/>
      </c>
      <c r="B914">
        <f>Skills!B26</f>
        <v/>
      </c>
      <c r="C914">
        <f>Inputs!$B$3&gt;=125</f>
        <v/>
      </c>
      <c r="D914">
        <f>IF(Skills!C26=1,60+Inputs!$B$25+Inputs!$B$29,IF(Skills!C26=2,90+Inputs!$B$26+Inputs!$B$29,IF(Skills!C26=3,120+Inputs!$B$27+Inputs!$B$29,MAX(0,(Inputs!$B$3-100)*3)+(Inputs!$B$28+1)+Inputs!$B$29)))</f>
        <v/>
      </c>
      <c r="E914">
        <f>INDEX(FactorTable!$B$2:$Y$301, MATCH(ROUND(MIN(300,MAX(1,D914)),0), FactorTable!$A$2:$A$301,0), Skills!M26+1)</f>
        <v/>
      </c>
      <c r="F914">
        <f>IF(Skills!N26=TRUE,(Skills!L26/10)*(E914/1000),Skills!L26/10)+Skills!O26</f>
        <v/>
      </c>
      <c r="G914">
        <f>Skills!G26*IF(Skills!H26&gt;0,Skills!I26/Skills!H26,1)</f>
        <v/>
      </c>
      <c r="H914">
        <f>1-(1-Skills!J26/100)^Skills!K26</f>
        <v/>
      </c>
      <c r="I914" t="inlineStr">
        <is>
          <t>1</t>
        </is>
      </c>
      <c r="J914" t="inlineStr"/>
      <c r="K914" t="inlineStr"/>
      <c r="L914" t="inlineStr"/>
      <c r="M914" t="inlineStr"/>
      <c r="N914" t="inlineStr"/>
      <c r="O914">
        <f>(1-Summary!$B$55)*T914+Summary!$B$55*V914</f>
        <v/>
      </c>
      <c r="P914">
        <f>IF(B930=0,0,O914/B930)</f>
        <v/>
      </c>
      <c r="Q914" t="n">
        <v>0</v>
      </c>
      <c r="R914" t="n">
        <v>0</v>
      </c>
      <c r="S914" t="n">
        <v>0</v>
      </c>
      <c r="T914" t="n">
        <v>0</v>
      </c>
      <c r="V914" t="n">
        <v>0</v>
      </c>
    </row>
    <row r="915">
      <c r="A915">
        <f>Skills!A27</f>
        <v/>
      </c>
      <c r="B915">
        <f>Skills!B27</f>
        <v/>
      </c>
      <c r="C915">
        <f>Inputs!$B$3&gt;=120</f>
        <v/>
      </c>
      <c r="D915">
        <f>IF(Skills!C27=1,60+Inputs!$B$25+Inputs!$B$29,IF(Skills!C27=2,90+Inputs!$B$26+Inputs!$B$29,IF(Skills!C27=3,120+Inputs!$B$27+Inputs!$B$29,MAX(0,(Inputs!$B$3-100)*3)+(Inputs!$B$28+1)+Inputs!$B$29)))</f>
        <v/>
      </c>
      <c r="E915">
        <f>INDEX(FactorTable!$B$2:$Y$301, MATCH(ROUND(MIN(300,MAX(1,D915)),0), FactorTable!$A$2:$A$301,0), Skills!M27+1)</f>
        <v/>
      </c>
      <c r="F915">
        <f>IF(Skills!N27=TRUE,(Skills!L27/10)*(E915/1000),Skills!L27/10)+Skills!O27</f>
        <v/>
      </c>
      <c r="G915">
        <f>Skills!G27*IF(Skills!H27&gt;0,Skills!I27/Skills!H27,1)</f>
        <v/>
      </c>
      <c r="H915">
        <f>1-(1-Skills!J27/100)^Skills!K27</f>
        <v/>
      </c>
      <c r="I915" t="inlineStr">
        <is>
          <t>1</t>
        </is>
      </c>
      <c r="J915" t="inlineStr"/>
      <c r="K915" t="inlineStr"/>
      <c r="L915" t="inlineStr"/>
      <c r="M915" t="inlineStr"/>
      <c r="N915" t="inlineStr"/>
      <c r="O915">
        <f>(1-Summary!$B$55)*T915+Summary!$B$55*V915</f>
        <v/>
      </c>
      <c r="P915">
        <f>IF(B930=0,0,O915/B930)</f>
        <v/>
      </c>
      <c r="Q915" t="n">
        <v>0</v>
      </c>
      <c r="R915" t="n">
        <v>0</v>
      </c>
      <c r="S915" t="n">
        <v>0</v>
      </c>
      <c r="T915" t="n">
        <v>0</v>
      </c>
      <c r="V915" t="n">
        <v>0</v>
      </c>
    </row>
    <row r="916">
      <c r="A916">
        <f>Skills!A28</f>
        <v/>
      </c>
      <c r="B916">
        <f>Skills!B28</f>
        <v/>
      </c>
      <c r="C916">
        <f>Inputs!$B$3&gt;=120</f>
        <v/>
      </c>
      <c r="D916">
        <f>IF(Skills!C28=1,60+Inputs!$B$25+Inputs!$B$29,IF(Skills!C28=2,90+Inputs!$B$26+Inputs!$B$29,IF(Skills!C28=3,120+Inputs!$B$27+Inputs!$B$29,MAX(0,(Inputs!$B$3-100)*3)+(Inputs!$B$28+1)+Inputs!$B$29)))</f>
        <v/>
      </c>
      <c r="E916">
        <f>INDEX(FactorTable!$B$2:$Y$301, MATCH(ROUND(MIN(300,MAX(1,D916)),0), FactorTable!$A$2:$A$301,0), Skills!M28+1)</f>
        <v/>
      </c>
      <c r="F916">
        <f>IF(Skills!N28=TRUE,(Skills!L28/10)*(E916/1000),Skills!L28/10)+Skills!O28</f>
        <v/>
      </c>
      <c r="G916">
        <f>Skills!G28*IF(Skills!H28&gt;0,Skills!I28/Skills!H28,1)</f>
        <v/>
      </c>
      <c r="H916">
        <f>1-(1-Skills!J28/100)^Skills!K28</f>
        <v/>
      </c>
      <c r="I916" t="inlineStr">
        <is>
          <t>1</t>
        </is>
      </c>
      <c r="J916" t="inlineStr"/>
      <c r="K916" t="inlineStr"/>
      <c r="L916" t="inlineStr"/>
      <c r="M916" t="inlineStr"/>
      <c r="N916" t="inlineStr"/>
      <c r="O916">
        <f>(1-Summary!$B$55)*T916+Summary!$B$55*V916</f>
        <v/>
      </c>
      <c r="P916">
        <f>IF(B930=0,0,O916/B930)</f>
        <v/>
      </c>
      <c r="Q916" t="n">
        <v>0</v>
      </c>
      <c r="R916" t="n">
        <v>0</v>
      </c>
      <c r="S916" t="n">
        <v>0</v>
      </c>
      <c r="T916" t="n">
        <v>0</v>
      </c>
      <c r="V916" t="n">
        <v>0</v>
      </c>
    </row>
    <row r="917">
      <c r="A917">
        <f>Skills!A29</f>
        <v/>
      </c>
      <c r="B917">
        <f>Skills!B29</f>
        <v/>
      </c>
      <c r="C917">
        <f>Inputs!$B$3&gt;=45</f>
        <v/>
      </c>
      <c r="D917">
        <f>IF(Skills!C29=1,60+Inputs!$B$25+Inputs!$B$29,IF(Skills!C29=2,90+Inputs!$B$26+Inputs!$B$29,IF(Skills!C29=3,120+Inputs!$B$27+Inputs!$B$29,MAX(0,(Inputs!$B$3-100)*3)+(Inputs!$B$28+1)+Inputs!$B$29)))</f>
        <v/>
      </c>
      <c r="E917">
        <f>INDEX(FactorTable!$B$2:$Y$301, MATCH(ROUND(MIN(300,MAX(1,D917)),0), FactorTable!$A$2:$A$301,0), Skills!M29+1)</f>
        <v/>
      </c>
      <c r="F917">
        <f>IF(Skills!N29=TRUE,(Skills!L29/10)*(E917/1000),Skills!L29/10)+Skills!O29</f>
        <v/>
      </c>
      <c r="G917">
        <f>Skills!G29*IF(Skills!H29&gt;0,Skills!I29/Skills!H29,1)</f>
        <v/>
      </c>
      <c r="H917">
        <f>1-(1-Skills!J29/100)^Skills!K29</f>
        <v/>
      </c>
      <c r="I917" t="inlineStr">
        <is>
          <t>1</t>
        </is>
      </c>
      <c r="J917" t="inlineStr"/>
      <c r="K917" t="inlineStr"/>
      <c r="L917" t="inlineStr"/>
      <c r="M917" t="inlineStr"/>
      <c r="N917" t="inlineStr"/>
      <c r="O917">
        <f>(1-Summary!$B$55)*T917+Summary!$B$55*V917</f>
        <v/>
      </c>
      <c r="P917">
        <f>IF(B930=0,0,O917/B930)</f>
        <v/>
      </c>
      <c r="Q917" t="n">
        <v>0</v>
      </c>
      <c r="R917" t="n">
        <v>0</v>
      </c>
      <c r="S917" t="n">
        <v>0</v>
      </c>
      <c r="T917" t="n">
        <v>0</v>
      </c>
      <c r="V917" t="n">
        <v>0</v>
      </c>
    </row>
    <row r="919">
      <c r="A919" t="inlineStr">
        <is>
          <t>Attack% Bucket Multiplier</t>
        </is>
      </c>
      <c r="B919">
        <f>(1+(((C901=TRUE)*F901)+((C902=TRUE)*IF(Inputs!$B$38="pvp",F902,(1-Summary!$B$55)*(F902)+Summary!$B$55*(0)))+((C903=TRUE)*F903*IF(AND(Inputs!$B$38&lt;&gt;"pvp",Inputs!$B$43&gt;0),(((R903-1)*(Skills!T15*(1+Inputs!$B$34/100))+MIN((Skills!T15*(1+Inputs!$B$34/100)),MAX(0,Inputs!$B$43-((R903-1)*Skills!D15))))/Inputs!$B$43),IF(Inputs!$B$38="pvp",MIN((Skills!T15*(1+Inputs!$B$34/100)),15)/15,(Skills!T15*(1+Inputs!$B$34/100))/Skills!D15)))+((C900=TRUE)*F900)+((C917=TRUE)*(F917-Calc!F29)))/100)</f>
        <v/>
      </c>
    </row>
    <row r="920">
      <c r="A920" t="inlineStr">
        <is>
          <t>Global Crit Rate Bonus %</t>
        </is>
      </c>
      <c r="B920">
        <f>(C904=TRUE)*20*IF(AND(Inputs!$B$38&lt;&gt;"pvp",Inputs!$B$43&gt;0),(((R904-1)*(Skills!T16*(1+Inputs!$B$34/100))+MIN((Skills!T16*(1+Inputs!$B$34/100)),MAX(0,Inputs!$B$43-((R904-1)*Skills!D16))))/Inputs!$B$43),IF(Inputs!$B$38="pvp",MIN((Skills!T16*(1+Inputs!$B$34/100)),15)/15,(Skills!T16*(1+Inputs!$B$34/100))/Skills!D16))</f>
        <v/>
      </c>
    </row>
    <row r="921">
      <c r="A921" t="inlineStr">
        <is>
          <t>Attack Speed Buff Bonus %</t>
        </is>
      </c>
      <c r="B921">
        <f>((C906=TRUE)*F906*IF(AND(Inputs!$B$38&lt;&gt;"pvp",Inputs!$B$43&gt;0),(((R906-1)*(Skills!T18*(1+Inputs!$B$34/100))+MIN((Skills!T18*(1+Inputs!$B$34/100)),MAX(0,Inputs!$B$43-((R906-1)*Skills!D18))))/Inputs!$B$43),IF(Inputs!$B$38="pvp",MIN((Skills!T18*(1+Inputs!$B$34/100)),15)/15,(Skills!T18*(1+Inputs!$B$34/100))/Skills!D18)))</f>
        <v/>
      </c>
    </row>
    <row r="922">
      <c r="A922" t="inlineStr">
        <is>
          <t>Actions Per Second</t>
        </is>
      </c>
      <c r="B922">
        <f>1+MIN(150,150*(1-(1-(Inputs!$B$11+((C908=TRUE)*(F908-Calc!F20))+((C909=TRUE)*(F909-Calc!F21)))/150)*(1-B921/150)))/100</f>
        <v/>
      </c>
    </row>
    <row r="923">
      <c r="A923" t="inlineStr">
        <is>
          <t>Skill + Buff Cast Rate</t>
        </is>
      </c>
      <c r="B923">
        <f>IF(AND(Inputs!$B$38&lt;&gt;"pvp",Inputs!$B$43&gt;0),SUMPRODUCT((Skills!E2:E29=TRUE)*(C890:C917=TRUE)*R890:R917*Skills!F2:F29)/Inputs!$B$43,SUMPRODUCT((Skills!E2:E29=TRUE)*(C890:C917=TRUE)*Q890:Q917*Skills!F2:F29))</f>
        <v/>
      </c>
    </row>
    <row r="924">
      <c r="A924" t="inlineStr">
        <is>
          <t>Empowered Piercing Arrow Casts Per Second</t>
        </is>
      </c>
      <c r="B924">
        <f>MAX(0,B922-B923)</f>
        <v/>
      </c>
    </row>
    <row r="925">
      <c r="A925" t="inlineStr">
        <is>
          <t>Global Critical Damage Bonus % (Sharp Eyes)</t>
        </is>
      </c>
      <c r="B925">
        <f>(C904=TRUE)*F904*IF(AND(Inputs!$B$38&lt;&gt;"pvp",Inputs!$B$43&gt;0),(((R904-1)*(Skills!T16*(1+Inputs!$B$34/100))+MIN((Skills!T16*(1+Inputs!$B$34/100)),MAX(0,Inputs!$B$43-((R904-1)*Skills!D16))))/Inputs!$B$43),IF(Inputs!$B$38="pvp",MIN((Skills!T16*(1+Inputs!$B$34/100)),15)/15,(Skills!T16*(1+Inputs!$B$34/100))/Skills!D16))</f>
        <v/>
      </c>
    </row>
    <row r="926">
      <c r="A926" t="inlineStr">
        <is>
          <t>Global Final Damage Bonus % (Mortal Blow + Last Man Standing conditional half)</t>
        </is>
      </c>
      <c r="B926">
        <f>(C905=TRUE)*F905+((C914=TRUE)*IF(Inputs!$B$38="pvp",F914,(1-Summary!$B$55)*(F914)+Summary!$B$55*(0)))</f>
        <v/>
      </c>
    </row>
    <row r="927">
      <c r="A927" t="inlineStr">
        <is>
          <t>Buff-Casting Startup Delay (s, fixed-duration only)</t>
        </is>
      </c>
      <c r="B927">
        <f>IF(AND(Inputs!$B$38&lt;&gt;"pvp",Inputs!$B$43&gt;0),SUMPRODUCT((Skills!T2:T29&gt;0)*(Skills!E2:E29=TRUE)*(C890:C917=TRUE))/B922,0)</f>
        <v/>
      </c>
    </row>
    <row r="928">
      <c r="A928" t="inlineStr">
        <is>
          <t>Boss-Only Total DPS (this block's swept value)</t>
        </is>
      </c>
      <c r="B928">
        <f>SUM(T890:T917)</f>
        <v/>
      </c>
    </row>
    <row r="929">
      <c r="A929" t="inlineStr">
        <is>
          <t>Normal-Only Total DPS (this block's swept value)</t>
        </is>
      </c>
      <c r="B929">
        <f>SUM(V890:V917)</f>
        <v/>
      </c>
    </row>
    <row r="930">
      <c r="A930" s="5" t="inlineStr">
        <is>
          <t>TOTAL DPS</t>
        </is>
      </c>
      <c r="B930" s="5">
        <f>SUM(O890:O917)</f>
        <v/>
      </c>
    </row>
    <row r="933">
      <c r="A933" s="5" t="inlineStr">
        <is>
          <t>Stat: Skill Level Bonus — All Skills</t>
        </is>
      </c>
    </row>
    <row r="934">
      <c r="A934" s="9" t="inlineStr">
        <is>
          <t>Key</t>
        </is>
      </c>
      <c r="B934" s="9" t="inlineStr">
        <is>
          <t>Name</t>
        </is>
      </c>
      <c r="C934" s="9" t="inlineStr">
        <is>
          <t>Unlocked</t>
        </is>
      </c>
      <c r="D934" s="9" t="inlineStr">
        <is>
          <t>InputLevel</t>
        </is>
      </c>
      <c r="E934" s="9" t="inlineStr">
        <is>
          <t>Factor</t>
        </is>
      </c>
      <c r="F934" s="9" t="inlineStr">
        <is>
          <t>CoefficientPercent</t>
        </is>
      </c>
      <c r="G934" s="9" t="inlineStr">
        <is>
          <t>EffectiveHits</t>
        </is>
      </c>
      <c r="H934" s="9" t="inlineStr">
        <is>
          <t>ProcProbability</t>
        </is>
      </c>
      <c r="I934" s="9" t="inlineStr">
        <is>
          <t>MapleHeroMultiplier</t>
        </is>
      </c>
      <c r="J934" s="9" t="inlineStr">
        <is>
          <t>BaseDamage</t>
        </is>
      </c>
      <c r="K934" s="9" t="inlineStr">
        <is>
          <t>BaseHitDamage</t>
        </is>
      </c>
      <c r="L934" s="9" t="inlineStr">
        <is>
          <t>NonCritAvg</t>
        </is>
      </c>
      <c r="M934" s="9" t="inlineStr">
        <is>
          <t>CritAvg</t>
        </is>
      </c>
      <c r="N934" s="9" t="inlineStr">
        <is>
          <t>ExpectedDamage(perHit)</t>
        </is>
      </c>
      <c r="O934" s="9" t="inlineStr">
        <is>
          <t>DPS</t>
        </is>
      </c>
      <c r="P934" s="9" t="inlineStr">
        <is>
          <t>% of Total</t>
        </is>
      </c>
      <c r="Q934" s="9" t="inlineStr">
        <is>
          <t>InvCooldown</t>
        </is>
      </c>
      <c r="R934" s="9" t="inlineStr">
        <is>
          <t>CastsInFight</t>
        </is>
      </c>
      <c r="S934" s="9" t="inlineStr">
        <is>
          <t>HitRate(perSec)</t>
        </is>
      </c>
      <c r="U934" t="inlineStr">
        <is>
          <t>helpers</t>
        </is>
      </c>
    </row>
    <row r="935">
      <c r="A935">
        <f>Skills!A2</f>
        <v/>
      </c>
      <c r="B935">
        <f>Skills!B2</f>
        <v/>
      </c>
      <c r="C935">
        <f>Inputs!$B$3&gt;=100</f>
        <v/>
      </c>
      <c r="D935" t="inlineStr"/>
      <c r="E935" t="inlineStr"/>
      <c r="F935">
        <f>U937+Skills!O2</f>
        <v/>
      </c>
      <c r="G935">
        <f>Skills!G2*IF(Skills!H2&gt;0,Skills!I2/Skills!H2,1)</f>
        <v/>
      </c>
      <c r="H935">
        <f>1-(1-Skills!J2/100)^Skills!K2</f>
        <v/>
      </c>
      <c r="I935" t="inlineStr">
        <is>
          <t>1</t>
        </is>
      </c>
      <c r="J935">
        <f>((Inputs!$B$6*(1+Inputs!$B$7/100))+(((Inputs!$B$12*(1+Inputs!$B$13/100))-(Inputs!$B$12*(1+Inputs!$B$13/100)))+0.25*(Inputs!$B$14-Inputs!$B$14))*(1+Inputs!$B$7/100))*(F935/100)</f>
        <v/>
      </c>
      <c r="K935">
        <f>J935*(1+((Inputs!$B$12*(1+Inputs!$B$13/100))*0.01+Inputs!$B$14*0.0025)/100)*(1+Inputs!$B$15/100)*(1+Inputs!$B$16/100)*(5000/(6000+Inputs!$B$42*(1-(Inputs!$B$19+0)/100)))*(1+(Inputs!$B$24+((C957=TRUE)*(F957-Calc!F24))+((C958=TRUE)*(F958-Calc!F25))+B971)/100)*(1+(IF(Skills!A2="EMPOWERED_PIERCING_ARROW",Inputs!$B$17+((C955=TRUE)*(F955-Calc!F22)),Inputs!$B$18+((C960=TRUE)*(F960-Calc!F27))))/100)*((1+(((C946=TRUE)*F946)+((C947=TRUE)*IF(Inputs!$B$38="pvp",F947,(1-Summary!$B$55)*(F947)+Summary!$B$55*(0)))+((C948=TRUE)*F948*IF(AND(Inputs!$B$38&lt;&gt;"pvp",Inputs!$B$43&gt;0),(((R948-1)*(Skills!T15*(1+Inputs!$B$34/100))+MIN((Skills!T15*(1+Inputs!$B$34/100)),MAX(0,Inputs!$B$43-((R948-1)*Skills!D15))))/Inputs!$B$43),IF(Inputs!$B$38="pvp",MIN((Skills!T15*(1+Inputs!$B$34/100)),15)/15,(Skills!T15*(1+Inputs!$B$34/100))/Skills!D15)))+((C945=TRUE)*F945)+((C962=TRUE)*(F962-Calc!F29)))/100)*I935)</f>
        <v/>
      </c>
      <c r="L935">
        <f>K935*(MIN(Inputs!$B$22+((C956=TRUE)*(F956-Calc!F23)),Inputs!$B$23+((C961=TRUE)*(F961-Calc!F28)))/100+(Inputs!$B$23+((C961=TRUE)*(F961-Calc!F28)))/100)/2</f>
        <v/>
      </c>
      <c r="M935">
        <f>L935*(1+(Inputs!$B$10+0+B970)/100)</f>
        <v/>
      </c>
      <c r="N935">
        <f>L935*(1-MIN((Inputs!$B$9+((C952=TRUE)*(F952-Calc!F19))+B965),100)/100)+M935*(MIN((Inputs!$B$9+((C952=TRUE)*(F952-Calc!F19))+B965),100)/100)</f>
        <v/>
      </c>
      <c r="O935">
        <f>(1-Summary!$B$55)*T935+Summary!$B$55*V935</f>
        <v/>
      </c>
      <c r="P935">
        <f>IF(B975=0,0,O935/B975)</f>
        <v/>
      </c>
      <c r="Q935" t="n">
        <v>0</v>
      </c>
      <c r="R935" t="n">
        <v>0</v>
      </c>
      <c r="S935">
        <f>IFERROR((Skills!G2*N935*B969)/N935*IF(Inputs!$B$38="pvp",1,(1-Summary!$B$55)*1+Summary!$B$55*(MIN((6+Inputs!$B$33),Inputs!$B$37))),0)</f>
        <v/>
      </c>
      <c r="T935">
        <f>IF(C935,(Skills!G2*N935*B969)*IF(Inputs!$B$38="pvp",1,1+(Inputs!$B$20+0+Skills!P2)/100),0)</f>
        <v/>
      </c>
      <c r="U935">
        <f>MAX(0,(Inputs!$B$3-100)*3)+Inputs!$B$28+(Inputs!$B$29+1)</f>
        <v/>
      </c>
      <c r="V935">
        <f>IF(C935,(Skills!G2*N935*B969)*IF(Inputs!$B$38="pvp",1,(1+(Inputs!$B$21+Skills!Q2)/100)*(MIN((6+Inputs!$B$33),Inputs!$B$37))),0)</f>
        <v/>
      </c>
    </row>
    <row r="936">
      <c r="A936">
        <f>Skills!A3</f>
        <v/>
      </c>
      <c r="B936">
        <f>Skills!B3</f>
        <v/>
      </c>
      <c r="C936">
        <f>Inputs!$B$3&gt;=50</f>
        <v/>
      </c>
      <c r="D936">
        <f>IF(Skills!C3=1,60+Inputs!$B$25+(Inputs!$B$29+1),IF(Skills!C3=2,90+Inputs!$B$26+(Inputs!$B$29+1),IF(Skills!C3=3,120+Inputs!$B$27+(Inputs!$B$29+1),MAX(0,(Inputs!$B$3-100)*3)+Inputs!$B$28+(Inputs!$B$29+1))))</f>
        <v/>
      </c>
      <c r="E936">
        <f>INDEX(FactorTable!$B$2:$Y$301, MATCH(ROUND(MIN(300,MAX(1,D936)),0), FactorTable!$A$2:$A$301,0), Skills!M3+1)</f>
        <v/>
      </c>
      <c r="F936">
        <f>IF(Skills!N3=TRUE,(Skills!L3/10)*(E936/1000),Skills!L3/10)+Skills!O3</f>
        <v/>
      </c>
      <c r="G936" t="inlineStr"/>
      <c r="H936" t="inlineStr"/>
      <c r="I936" t="inlineStr">
        <is>
          <t>1</t>
        </is>
      </c>
      <c r="J936" t="inlineStr"/>
      <c r="K936" t="inlineStr"/>
      <c r="L936" t="inlineStr"/>
      <c r="M936" t="inlineStr"/>
      <c r="N936" t="inlineStr"/>
      <c r="O936" t="inlineStr"/>
      <c r="P936" t="inlineStr"/>
      <c r="Q936" t="inlineStr"/>
      <c r="R936" t="inlineStr"/>
      <c r="S936" t="inlineStr"/>
      <c r="T936" t="inlineStr"/>
      <c r="U936">
        <f>INDEX(FactorTable!$B$2:$Y$301, MATCH(ROUND(MIN(300,MAX(1,U935)),0), FactorTable!$A$2:$A$301,0), 22)</f>
        <v/>
      </c>
      <c r="V936" t="inlineStr"/>
    </row>
    <row r="937">
      <c r="A937">
        <f>Skills!A4</f>
        <v/>
      </c>
      <c r="B937">
        <f>Skills!B4</f>
        <v/>
      </c>
      <c r="C937">
        <f>Inputs!$B$3&gt;=105</f>
        <v/>
      </c>
      <c r="D937">
        <f>IF(Skills!C4=1,60+Inputs!$B$25+(Inputs!$B$29+1),IF(Skills!C4=2,90+Inputs!$B$26+(Inputs!$B$29+1),IF(Skills!C4=3,120+Inputs!$B$27+(Inputs!$B$29+1),MAX(0,(Inputs!$B$3-100)*3)+Inputs!$B$28+(Inputs!$B$29+1))))</f>
        <v/>
      </c>
      <c r="E937">
        <f>INDEX(FactorTable!$B$2:$Y$301, MATCH(ROUND(MIN(300,MAX(1,D937)),0), FactorTable!$A$2:$A$301,0), Skills!M4+1)</f>
        <v/>
      </c>
      <c r="F937">
        <f>IF(Skills!N4=TRUE,(Skills!L4/10)*(E937/1000),Skills!L4/10)+Skills!O4</f>
        <v/>
      </c>
      <c r="G937" t="inlineStr"/>
      <c r="H937" t="inlineStr"/>
      <c r="I937" t="inlineStr">
        <is>
          <t>1</t>
        </is>
      </c>
      <c r="J937" t="inlineStr"/>
      <c r="K937" t="inlineStr"/>
      <c r="L937" t="inlineStr"/>
      <c r="M937" t="inlineStr"/>
      <c r="N937" t="inlineStr"/>
      <c r="O937" t="inlineStr"/>
      <c r="P937" t="inlineStr"/>
      <c r="Q937" t="inlineStr"/>
      <c r="R937" t="inlineStr"/>
      <c r="S937" t="inlineStr"/>
      <c r="T937" t="inlineStr"/>
      <c r="U937">
        <f>290*U936/1000</f>
        <v/>
      </c>
      <c r="V937" t="inlineStr"/>
    </row>
    <row r="938">
      <c r="A938">
        <f>Skills!A5</f>
        <v/>
      </c>
      <c r="B938">
        <f>Skills!B5</f>
        <v/>
      </c>
      <c r="C938">
        <f>Inputs!$B$3&gt;=35</f>
        <v/>
      </c>
      <c r="D938">
        <f>IF(Skills!C5=1,60+Inputs!$B$25+(Inputs!$B$29+1),IF(Skills!C5=2,90+Inputs!$B$26+(Inputs!$B$29+1),IF(Skills!C5=3,120+Inputs!$B$27+(Inputs!$B$29+1),MAX(0,(Inputs!$B$3-100)*3)+Inputs!$B$28+(Inputs!$B$29+1))))</f>
        <v/>
      </c>
      <c r="E938">
        <f>INDEX(FactorTable!$B$2:$Y$301, MATCH(ROUND(MIN(300,MAX(1,D938)),0), FactorTable!$A$2:$A$301,0), Skills!M5+1)</f>
        <v/>
      </c>
      <c r="F938">
        <f>IF(Skills!N5=TRUE,(Skills!L5/10)*(E938/1000),Skills!L5/10)+Skills!O5</f>
        <v/>
      </c>
      <c r="G938">
        <f>Skills!G5*IF(Skills!H5&gt;0,Skills!I5/Skills!H5,1)</f>
        <v/>
      </c>
      <c r="H938">
        <f>1-(1-Skills!J5/100)^Skills!K5</f>
        <v/>
      </c>
      <c r="I938" t="inlineStr">
        <is>
          <t>1</t>
        </is>
      </c>
      <c r="J938">
        <f>((Inputs!$B$6*(1+Inputs!$B$7/100))+(((Inputs!$B$12*(1+Inputs!$B$13/100))-(Inputs!$B$12*(1+Inputs!$B$13/100)))+0.25*(Inputs!$B$14-Inputs!$B$14))*(1+Inputs!$B$7/100))*(F938/100)</f>
        <v/>
      </c>
      <c r="K938">
        <f>J938*(1+((Inputs!$B$12*(1+Inputs!$B$13/100))*0.01+Inputs!$B$14*0.0025)/100)*(1+Inputs!$B$15/100)*(1+Inputs!$B$16/100)*(5000/(6000+Inputs!$B$42*(1-(Inputs!$B$19+0)/100)))*(1+(Inputs!$B$24+((C957=TRUE)*(F957-Calc!F24))+((C958=TRUE)*(F958-Calc!F25))+B971)/100)*(1+4.0*IF(C941=TRUE,F941,0)/100)*(1+(IF(Skills!A5="EMPOWERED_PIERCING_ARROW",Inputs!$B$17+((C955=TRUE)*(F955-Calc!F22)),Inputs!$B$18+((C960=TRUE)*(F960-Calc!F27))))/100)*((1+(((C946=TRUE)*F946)+((C947=TRUE)*IF(Inputs!$B$38="pvp",F947,(1-Summary!$B$55)*(F947)+Summary!$B$55*(0)))+((C948=TRUE)*F948*IF(AND(Inputs!$B$38&lt;&gt;"pvp",Inputs!$B$43&gt;0),(((R948-1)*(Skills!T15*(1+Inputs!$B$34/100))+MIN((Skills!T15*(1+Inputs!$B$34/100)),MAX(0,Inputs!$B$43-((R948-1)*Skills!D15))))/Inputs!$B$43),IF(Inputs!$B$38="pvp",MIN((Skills!T15*(1+Inputs!$B$34/100)),15)/15,(Skills!T15*(1+Inputs!$B$34/100))/Skills!D15)))+((C945=TRUE)*F945)+((C962=TRUE)*(F962-Calc!F29)))/100)*I938)</f>
        <v/>
      </c>
      <c r="L938">
        <f>K938*(MIN(Inputs!$B$22+((C956=TRUE)*(F956-Calc!F23)),Inputs!$B$23+((C961=TRUE)*(F961-Calc!F28)))/100+(Inputs!$B$23+((C961=TRUE)*(F961-Calc!F28)))/100)/2</f>
        <v/>
      </c>
      <c r="M938">
        <f>L938*(1+(Inputs!$B$10+0+B970)/100)</f>
        <v/>
      </c>
      <c r="N938">
        <f>L938*(1-MIN((Inputs!$B$9+((C952=TRUE)*(F952-Calc!F19))+B965),100)/100)+M938*(MIN((Inputs!$B$9+((C952=TRUE)*(F952-Calc!F19))+B965),100)/100)</f>
        <v/>
      </c>
      <c r="O938">
        <f>(1-Summary!$B$55)*T938+Summary!$B$55*V938</f>
        <v/>
      </c>
      <c r="P938">
        <f>IF(B975=0,0,O938/B975)</f>
        <v/>
      </c>
      <c r="Q938">
        <f>IFERROR(1/IF(Inputs!$B$38="pvp",15,MAX(0.1,Skills!D5-IF(Skills!E5=TRUE,Inputs!$B$32,0))),0)</f>
        <v/>
      </c>
      <c r="R938">
        <f>IF(AND(Inputs!$B$38&lt;&gt;"pvp",Inputs!$B$43&gt;0),IF(MAX(0,Inputs!$B$43-B972)&lt;=0,0,(INT(MAX(0,Inputs!$B$43-B972)/IF(Inputs!$B$38="pvp",15,MAX(0.1,Skills!D5-IF(Skills!E5=TRUE,Inputs!$B$32,0))))+1)),0)</f>
        <v/>
      </c>
      <c r="S938">
        <f>IFERROR((H938*N938*IF(AND(Inputs!$B$38&lt;&gt;"pvp",Inputs!$B$43&gt;0),((Skills!G5*((R938-1)*IF(Skills!H5&gt;0,Skills!I5/Skills!H5,1)+IF(Skills!H5&gt;0,MIN(Skills!I5,MAX(0,MAX(0,Inputs!$B$43-B972)-((R938-1)*IF(Inputs!$B$38="pvp",15,MAX(0.1,Skills!D5-IF(Skills!E5=TRUE,Inputs!$B$32,0))))))/Skills!H5,1)))/Inputs!$B$43),G938*Q938))/N938*IF(Inputs!$B$38="pvp",1,(1-Summary!$B$55)*1+Summary!$B$55*(MIN(Skills!R5,Inputs!$B$37))),0)</f>
        <v/>
      </c>
      <c r="T938">
        <f>IF(C938,(H938*N938*IF(AND(Inputs!$B$38&lt;&gt;"pvp",Inputs!$B$43&gt;0),((Skills!G5*((R938-1)*IF(Skills!H5&gt;0,Skills!I5/Skills!H5,1)+IF(Skills!H5&gt;0,MIN(Skills!I5,MAX(0,MAX(0,Inputs!$B$43-B972)-((R938-1)*IF(Inputs!$B$38="pvp",15,MAX(0.1,Skills!D5-IF(Skills!E5=TRUE,Inputs!$B$32,0))))))/Skills!H5,1)))/Inputs!$B$43),G938*Q938))*IF(Inputs!$B$38="pvp",1,1+(Inputs!$B$20+0+Skills!P5)/100),0)</f>
        <v/>
      </c>
      <c r="V938">
        <f>IF(C938,(H938*N938*IF(AND(Inputs!$B$38&lt;&gt;"pvp",Inputs!$B$43&gt;0),((Skills!G5*((R938-1)*IF(Skills!H5&gt;0,Skills!I5/Skills!H5,1)+IF(Skills!H5&gt;0,MIN(Skills!I5,MAX(0,MAX(0,Inputs!$B$43-B972)-((R938-1)*IF(Inputs!$B$38="pvp",15,MAX(0.1,Skills!D5-IF(Skills!E5=TRUE,Inputs!$B$32,0))))))/Skills!H5,1)))/Inputs!$B$43),G938*Q938))*IF(Inputs!$B$38="pvp",1,(1+(Inputs!$B$21+Skills!Q5)/100)*(MIN(Skills!R5,Inputs!$B$37))),0)</f>
        <v/>
      </c>
    </row>
    <row r="939">
      <c r="A939">
        <f>Skills!A6</f>
        <v/>
      </c>
      <c r="B939">
        <f>Skills!B6</f>
        <v/>
      </c>
      <c r="C939">
        <f>Inputs!$B$3&gt;=63</f>
        <v/>
      </c>
      <c r="D939">
        <f>IF(Skills!C6=1,60+Inputs!$B$25+(Inputs!$B$29+1),IF(Skills!C6=2,90+Inputs!$B$26+(Inputs!$B$29+1),IF(Skills!C6=3,120+Inputs!$B$27+(Inputs!$B$29+1),MAX(0,(Inputs!$B$3-100)*3)+Inputs!$B$28+(Inputs!$B$29+1))))</f>
        <v/>
      </c>
      <c r="E939">
        <f>INDEX(FactorTable!$B$2:$Y$301, MATCH(ROUND(MIN(300,MAX(1,D939)),0), FactorTable!$A$2:$A$301,0), Skills!M6+1)</f>
        <v/>
      </c>
      <c r="F939">
        <f>IF(Skills!N6=TRUE,(Skills!L6/10)*(E939/1000),Skills!L6/10)+Skills!O6</f>
        <v/>
      </c>
      <c r="G939">
        <f>Skills!G6*IF(Skills!H6&gt;0,Skills!I6/Skills!H6,1)</f>
        <v/>
      </c>
      <c r="H939">
        <f>1-(1-Skills!J6/100)^Skills!K6</f>
        <v/>
      </c>
      <c r="I939" t="inlineStr">
        <is>
          <t>1</t>
        </is>
      </c>
      <c r="J939">
        <f>((Inputs!$B$6*(1+Inputs!$B$7/100))+(((Inputs!$B$12*(1+Inputs!$B$13/100))-(Inputs!$B$12*(1+Inputs!$B$13/100)))+0.25*(Inputs!$B$14-Inputs!$B$14))*(1+Inputs!$B$7/100))*(F939/100)</f>
        <v/>
      </c>
      <c r="K939">
        <f>J939*(1+((Inputs!$B$12*(1+Inputs!$B$13/100))*0.01+Inputs!$B$14*0.0025)/100)*(1+Inputs!$B$15/100)*(1+Inputs!$B$16/100)*(5000/(6000+Inputs!$B$42*(1-(Inputs!$B$19+0)/100)))*(1+(Inputs!$B$24+((C957=TRUE)*(F957-Calc!F24))+((C958=TRUE)*(F958-Calc!F25))+B971)/100)*(1+1.0*IF(C941=TRUE,F941,0)/100)*(1+(IF(Skills!A6="EMPOWERED_PIERCING_ARROW",Inputs!$B$17+((C955=TRUE)*(F955-Calc!F22)),Inputs!$B$18+((C960=TRUE)*(F960-Calc!F27))))/100)*((1+(((C946=TRUE)*F946)+((C947=TRUE)*IF(Inputs!$B$38="pvp",F947,(1-Summary!$B$55)*(F947)+Summary!$B$55*(0)))+((C948=TRUE)*F948*IF(AND(Inputs!$B$38&lt;&gt;"pvp",Inputs!$B$43&gt;0),(((R948-1)*(Skills!T15*(1+Inputs!$B$34/100))+MIN((Skills!T15*(1+Inputs!$B$34/100)),MAX(0,Inputs!$B$43-((R948-1)*Skills!D15))))/Inputs!$B$43),IF(Inputs!$B$38="pvp",MIN((Skills!T15*(1+Inputs!$B$34/100)),15)/15,(Skills!T15*(1+Inputs!$B$34/100))/Skills!D15)))+((C945=TRUE)*F945)+((C962=TRUE)*(F962-Calc!F29)))/100)*I939)</f>
        <v/>
      </c>
      <c r="L939">
        <f>K939*(MIN(Inputs!$B$22+((C956=TRUE)*(F956-Calc!F23)),Inputs!$B$23+((C961=TRUE)*(F961-Calc!F28)))/100+(Inputs!$B$23+((C961=TRUE)*(F961-Calc!F28)))/100)/2</f>
        <v/>
      </c>
      <c r="M939">
        <f>L939*(1+(Inputs!$B$10+0+B970)/100)</f>
        <v/>
      </c>
      <c r="N939">
        <f>L939*(1-MIN((Inputs!$B$9+((C952=TRUE)*(F952-Calc!F19))+B965),100)/100)+M939*(MIN((Inputs!$B$9+((C952=TRUE)*(F952-Calc!F19))+B965),100)/100)</f>
        <v/>
      </c>
      <c r="O939">
        <f>(1-Summary!$B$55)*T939+Summary!$B$55*V939</f>
        <v/>
      </c>
      <c r="P939">
        <f>IF(B975=0,0,O939/B975)</f>
        <v/>
      </c>
      <c r="Q939">
        <f>IFERROR(1/IF(Inputs!$B$38="pvp",15,MAX(0.1,Skills!D6-IF(Skills!E6=TRUE,Inputs!$B$32,0))),0)</f>
        <v/>
      </c>
      <c r="R939">
        <f>IF(AND(Inputs!$B$38&lt;&gt;"pvp",Inputs!$B$43&gt;0),IF(MAX(0,Inputs!$B$43-B972)&lt;=0,0,(INT(MAX(0,Inputs!$B$43-B972)/IF(Inputs!$B$38="pvp",15,MAX(0.1,Skills!D6-IF(Skills!E6=TRUE,Inputs!$B$32,0))))+1)),0)</f>
        <v/>
      </c>
      <c r="S939">
        <f>IFERROR((H939*N939*IF(AND(Inputs!$B$38&lt;&gt;"pvp",Inputs!$B$43&gt;0),((Skills!G6*((R939-1)*IF(Skills!H6&gt;0,Skills!I6/Skills!H6,1)+IF(Skills!H6&gt;0,MIN(Skills!I6,MAX(0,MAX(0,Inputs!$B$43-B972)-((R939-1)*IF(Inputs!$B$38="pvp",15,MAX(0.1,Skills!D6-IF(Skills!E6=TRUE,Inputs!$B$32,0))))))/Skills!H6,1)))/Inputs!$B$43),G939*Q939))/N939*IF(Inputs!$B$38="pvp",1,(1-Summary!$B$55)*1+Summary!$B$55*(MIN(Skills!R6,Inputs!$B$37))),0)</f>
        <v/>
      </c>
      <c r="T939">
        <f>IF(C939,(H939*N939*IF(AND(Inputs!$B$38&lt;&gt;"pvp",Inputs!$B$43&gt;0),((Skills!G6*((R939-1)*IF(Skills!H6&gt;0,Skills!I6/Skills!H6,1)+IF(Skills!H6&gt;0,MIN(Skills!I6,MAX(0,MAX(0,Inputs!$B$43-B972)-((R939-1)*IF(Inputs!$B$38="pvp",15,MAX(0.1,Skills!D6-IF(Skills!E6=TRUE,Inputs!$B$32,0))))))/Skills!H6,1)))/Inputs!$B$43),G939*Q939))*IF(Inputs!$B$38="pvp",1,1+(Inputs!$B$20+0+Skills!P6)/100),0)</f>
        <v/>
      </c>
      <c r="V939">
        <f>IF(C939,(H939*N939*IF(AND(Inputs!$B$38&lt;&gt;"pvp",Inputs!$B$43&gt;0),((Skills!G6*((R939-1)*IF(Skills!H6&gt;0,Skills!I6/Skills!H6,1)+IF(Skills!H6&gt;0,MIN(Skills!I6,MAX(0,MAX(0,Inputs!$B$43-B972)-((R939-1)*IF(Inputs!$B$38="pvp",15,MAX(0.1,Skills!D6-IF(Skills!E6=TRUE,Inputs!$B$32,0))))))/Skills!H6,1)))/Inputs!$B$43),G939*Q939))*IF(Inputs!$B$38="pvp",1,(1+(Inputs!$B$21+Skills!Q6)/100)*(MIN(Skills!R6,Inputs!$B$37))),0)</f>
        <v/>
      </c>
    </row>
    <row r="940">
      <c r="A940">
        <f>Skills!A7</f>
        <v/>
      </c>
      <c r="B940">
        <f>Skills!B7</f>
        <v/>
      </c>
      <c r="C940">
        <f>Inputs!$B$3&gt;=69</f>
        <v/>
      </c>
      <c r="D940">
        <f>IF(Skills!C7=1,60+Inputs!$B$25+(Inputs!$B$29+1),IF(Skills!C7=2,90+Inputs!$B$26+(Inputs!$B$29+1),IF(Skills!C7=3,120+Inputs!$B$27+(Inputs!$B$29+1),MAX(0,(Inputs!$B$3-100)*3)+Inputs!$B$28+(Inputs!$B$29+1))))</f>
        <v/>
      </c>
      <c r="E940">
        <f>INDEX(FactorTable!$B$2:$Y$301, MATCH(ROUND(MIN(300,MAX(1,D940)),0), FactorTable!$A$2:$A$301,0), Skills!M7+1)</f>
        <v/>
      </c>
      <c r="F940">
        <f>IF(Skills!N7=TRUE,(Skills!L7/10)*(E940/1000),Skills!L7/10)+Skills!O7</f>
        <v/>
      </c>
      <c r="G940">
        <f>Skills!G7*IF(Skills!H7&gt;0,Skills!I7/Skills!H7,1)</f>
        <v/>
      </c>
      <c r="H940">
        <f>1-(1-Skills!J7/100)^Skills!K7</f>
        <v/>
      </c>
      <c r="I940" t="inlineStr">
        <is>
          <t>1</t>
        </is>
      </c>
      <c r="J940">
        <f>((Inputs!$B$6*(1+Inputs!$B$7/100))+(((Inputs!$B$12*(1+Inputs!$B$13/100))-(Inputs!$B$12*(1+Inputs!$B$13/100)))+0.25*(Inputs!$B$14-Inputs!$B$14))*(1+Inputs!$B$7/100))*(F940/100)</f>
        <v/>
      </c>
      <c r="K940">
        <f>J940*(1+((Inputs!$B$12*(1+Inputs!$B$13/100))*0.01+Inputs!$B$14*0.0025)/100)*(1+Inputs!$B$15/100)*(1+Inputs!$B$16/100)*(5000/(6000+Inputs!$B$42*(1-(Inputs!$B$19+0)/100)))*(1+(Inputs!$B$24+((C957=TRUE)*(F957-Calc!F24))+((C958=TRUE)*(F958-Calc!F25))+B971)/100)*(1+1.2*IF(C941=TRUE,F941,0)/100)*(1+(IF(Skills!A7="EMPOWERED_PIERCING_ARROW",Inputs!$B$17+((C955=TRUE)*(F955-Calc!F22)),Inputs!$B$18+((C960=TRUE)*(F960-Calc!F27))))/100)*((1+(((C946=TRUE)*F946)+((C947=TRUE)*IF(Inputs!$B$38="pvp",F947,(1-Summary!$B$55)*(F947)+Summary!$B$55*(0)))+((C948=TRUE)*F948*IF(AND(Inputs!$B$38&lt;&gt;"pvp",Inputs!$B$43&gt;0),(((R948-1)*(Skills!T15*(1+Inputs!$B$34/100))+MIN((Skills!T15*(1+Inputs!$B$34/100)),MAX(0,Inputs!$B$43-((R948-1)*Skills!D15))))/Inputs!$B$43),IF(Inputs!$B$38="pvp",MIN((Skills!T15*(1+Inputs!$B$34/100)),15)/15,(Skills!T15*(1+Inputs!$B$34/100))/Skills!D15)))+((C945=TRUE)*F945)+((C962=TRUE)*(F962-Calc!F29)))/100)*I940)</f>
        <v/>
      </c>
      <c r="L940">
        <f>K940*(MIN(Inputs!$B$22+((C956=TRUE)*(F956-Calc!F23)),Inputs!$B$23+((C961=TRUE)*(F961-Calc!F28)))/100+(Inputs!$B$23+((C961=TRUE)*(F961-Calc!F28)))/100)/2</f>
        <v/>
      </c>
      <c r="M940">
        <f>L940*(1+(Inputs!$B$10+0+B970)/100)</f>
        <v/>
      </c>
      <c r="N940">
        <f>L940*(1-MIN((Inputs!$B$9+((C952=TRUE)*(F952-Calc!F19))+B965),100)/100)+M940*(MIN((Inputs!$B$9+((C952=TRUE)*(F952-Calc!F19))+B965),100)/100)</f>
        <v/>
      </c>
      <c r="O940">
        <f>(1-Summary!$B$55)*T940+Summary!$B$55*V940</f>
        <v/>
      </c>
      <c r="P940">
        <f>IF(B975=0,0,O940/B975)</f>
        <v/>
      </c>
      <c r="Q940">
        <f>IFERROR(1/IF(Inputs!$B$38="pvp",15,MAX(0.1,Skills!D7-IF(Skills!E7=TRUE,Inputs!$B$32,0))),0)</f>
        <v/>
      </c>
      <c r="R940">
        <f>IF(AND(Inputs!$B$38&lt;&gt;"pvp",Inputs!$B$43&gt;0),IF(MAX(0,Inputs!$B$43-B972)&lt;=0,0,(INT(MAX(0,Inputs!$B$43-B972)/IF(Inputs!$B$38="pvp",15,MAX(0.1,Skills!D7-IF(Skills!E7=TRUE,Inputs!$B$32,0))))+1)),0)</f>
        <v/>
      </c>
      <c r="S940">
        <f>IFERROR((H940*N940*IF(AND(Inputs!$B$38&lt;&gt;"pvp",Inputs!$B$43&gt;0),((Skills!G7*((R940-1)*IF(Skills!H7&gt;0,Skills!I7/Skills!H7,1)+IF(Skills!H7&gt;0,MIN(Skills!I7,MAX(0,MAX(0,Inputs!$B$43-B972)-((R940-1)*IF(Inputs!$B$38="pvp",15,MAX(0.1,Skills!D7-IF(Skills!E7=TRUE,Inputs!$B$32,0))))))/Skills!H7,1)))/Inputs!$B$43),G940*Q940))/N940*IF(Inputs!$B$38="pvp",1,(1-Summary!$B$55)*1+Summary!$B$55*(MIN(Skills!R7,Inputs!$B$37))),0)</f>
        <v/>
      </c>
      <c r="T940">
        <f>IF(C940,(H940*N940*IF(AND(Inputs!$B$38&lt;&gt;"pvp",Inputs!$B$43&gt;0),((Skills!G7*((R940-1)*IF(Skills!H7&gt;0,Skills!I7/Skills!H7,1)+IF(Skills!H7&gt;0,MIN(Skills!I7,MAX(0,MAX(0,Inputs!$B$43-B972)-((R940-1)*IF(Inputs!$B$38="pvp",15,MAX(0.1,Skills!D7-IF(Skills!E7=TRUE,Inputs!$B$32,0))))))/Skills!H7,1)))/Inputs!$B$43),G940*Q940))*IF(Inputs!$B$38="pvp",1,1+(Inputs!$B$20+0+Skills!P7)/100),0)</f>
        <v/>
      </c>
      <c r="V940">
        <f>IF(C940,(H940*N940*IF(AND(Inputs!$B$38&lt;&gt;"pvp",Inputs!$B$43&gt;0),((Skills!G7*((R940-1)*IF(Skills!H7&gt;0,Skills!I7/Skills!H7,1)+IF(Skills!H7&gt;0,MIN(Skills!I7,MAX(0,MAX(0,Inputs!$B$43-B972)-((R940-1)*IF(Inputs!$B$38="pvp",15,MAX(0.1,Skills!D7-IF(Skills!E7=TRUE,Inputs!$B$32,0))))))/Skills!H7,1)))/Inputs!$B$43),G940*Q940))*IF(Inputs!$B$38="pvp",1,(1+(Inputs!$B$21+Skills!Q7)/100)*(MIN(Skills!R7,Inputs!$B$37))),0)</f>
        <v/>
      </c>
    </row>
    <row r="941">
      <c r="A941">
        <f>Skills!A8</f>
        <v/>
      </c>
      <c r="B941">
        <f>Skills!B8</f>
        <v/>
      </c>
      <c r="C941">
        <f>Inputs!$B$3&gt;=100</f>
        <v/>
      </c>
      <c r="D941">
        <f>IF(Skills!C8=1,60+Inputs!$B$25+(Inputs!$B$29+1),IF(Skills!C8=2,90+Inputs!$B$26+(Inputs!$B$29+1),IF(Skills!C8=3,120+Inputs!$B$27+(Inputs!$B$29+1),MAX(0,(Inputs!$B$3-100)*3)+Inputs!$B$28+(Inputs!$B$29+1))))</f>
        <v/>
      </c>
      <c r="E941">
        <f>INDEX(FactorTable!$B$2:$Y$301, MATCH(ROUND(MIN(300,MAX(1,D941)),0), FactorTable!$A$2:$A$301,0), Skills!M8+1)</f>
        <v/>
      </c>
      <c r="F941">
        <f>IF(Skills!N8=TRUE,(Skills!L8/10)*(E941/1000),Skills!L8/10)+Skills!O8</f>
        <v/>
      </c>
      <c r="G941" t="inlineStr"/>
      <c r="H941" t="inlineStr"/>
      <c r="I941" t="inlineStr">
        <is>
          <t>1</t>
        </is>
      </c>
      <c r="J941" t="inlineStr"/>
      <c r="K941" t="inlineStr"/>
      <c r="L941" t="inlineStr"/>
      <c r="M941" t="inlineStr"/>
      <c r="N941" t="inlineStr"/>
      <c r="O941" t="inlineStr"/>
      <c r="P941" t="inlineStr"/>
      <c r="Q941" t="inlineStr"/>
      <c r="R941" t="inlineStr"/>
      <c r="S941" t="inlineStr"/>
      <c r="T941" t="inlineStr"/>
      <c r="V941" t="inlineStr"/>
    </row>
    <row r="942">
      <c r="A942">
        <f>Skills!A9</f>
        <v/>
      </c>
      <c r="B942">
        <f>Skills!B9</f>
        <v/>
      </c>
      <c r="C942">
        <f>Inputs!$B$3&gt;=103</f>
        <v/>
      </c>
      <c r="D942">
        <f>IF(Skills!C9=1,60+Inputs!$B$25+(Inputs!$B$29+1),IF(Skills!C9=2,90+Inputs!$B$26+(Inputs!$B$29+1),IF(Skills!C9=3,120+Inputs!$B$27+(Inputs!$B$29+1),MAX(0,(Inputs!$B$3-100)*3)+Inputs!$B$28+(Inputs!$B$29+1))))</f>
        <v/>
      </c>
      <c r="E942">
        <f>INDEX(FactorTable!$B$2:$Y$301, MATCH(ROUND(MIN(300,MAX(1,D942)),0), FactorTable!$A$2:$A$301,0), Skills!M9+1)</f>
        <v/>
      </c>
      <c r="F942">
        <f>IF(Skills!N9=TRUE,(Skills!L9/10)*(E942/1000),Skills!L9/10)+Skills!O9</f>
        <v/>
      </c>
      <c r="G942">
        <f>Skills!G9*IF(Skills!H9&gt;0,Skills!I9/Skills!H9,1)</f>
        <v/>
      </c>
      <c r="H942">
        <f>1-(1-Skills!J9/100)^Skills!K9</f>
        <v/>
      </c>
      <c r="I942" t="inlineStr">
        <is>
          <t>1</t>
        </is>
      </c>
      <c r="J942">
        <f>((Inputs!$B$6*(1+Inputs!$B$7/100))+(((Inputs!$B$12*(1+Inputs!$B$13/100))-(Inputs!$B$12*(1+Inputs!$B$13/100)))+0.25*(Inputs!$B$14-Inputs!$B$14))*(1+Inputs!$B$7/100))*(F942/100)</f>
        <v/>
      </c>
      <c r="K942">
        <f>J942*(1+((Inputs!$B$12*(1+Inputs!$B$13/100))*0.01+Inputs!$B$14*0.0025)/100)*(1+Inputs!$B$15/100)*(1+Inputs!$B$16/100)*(5000/(6000+Inputs!$B$42*(1-(Inputs!$B$19+0)/100)))*(1+(Inputs!$B$24+((C957=TRUE)*(F957-Calc!F24))+((C958=TRUE)*(F958-Calc!F25))+B971)/100)*(1+(IF(Skills!A9="EMPOWERED_PIERCING_ARROW",Inputs!$B$17+((C955=TRUE)*(F955-Calc!F22)),Inputs!$B$18+((C960=TRUE)*(F960-Calc!F27))))/100)*((1+(((C946=TRUE)*F946)+((C947=TRUE)*IF(Inputs!$B$38="pvp",F947,(1-Summary!$B$55)*(F947)+Summary!$B$55*(0)))+((C948=TRUE)*F948*IF(AND(Inputs!$B$38&lt;&gt;"pvp",Inputs!$B$43&gt;0),(((R948-1)*(Skills!T15*(1+Inputs!$B$34/100))+MIN((Skills!T15*(1+Inputs!$B$34/100)),MAX(0,Inputs!$B$43-((R948-1)*Skills!D15))))/Inputs!$B$43),IF(Inputs!$B$38="pvp",MIN((Skills!T15*(1+Inputs!$B$34/100)),15)/15,(Skills!T15*(1+Inputs!$B$34/100))/Skills!D15)))+((C945=TRUE)*F945)+((C962=TRUE)*(F962-Calc!F29)))/100)*I942)</f>
        <v/>
      </c>
      <c r="L942">
        <f>K942*(MIN(Inputs!$B$22+((C956=TRUE)*(F956-Calc!F23)),Inputs!$B$23+((C961=TRUE)*(F961-Calc!F28)))/100+(Inputs!$B$23+((C961=TRUE)*(F961-Calc!F28)))/100)/2</f>
        <v/>
      </c>
      <c r="M942">
        <f>L942*(1+(Inputs!$B$10+0+B970)/100)</f>
        <v/>
      </c>
      <c r="N942">
        <f>L942*(1-MIN((Inputs!$B$9+((C952=TRUE)*(F952-Calc!F19))+B965),100)/100)+M942*(MIN((Inputs!$B$9+((C952=TRUE)*(F952-Calc!F19))+B965),100)/100)</f>
        <v/>
      </c>
      <c r="O942">
        <f>(1-Summary!$B$55)*T942+Summary!$B$55*V942</f>
        <v/>
      </c>
      <c r="P942">
        <f>IF(B975=0,0,O942/B975)</f>
        <v/>
      </c>
      <c r="Q942">
        <f>IFERROR(1/IF(Inputs!$B$38="pvp",15,MAX(0.1,Skills!D9-IF(Skills!E9=TRUE,Inputs!$B$32,0))),0)</f>
        <v/>
      </c>
      <c r="R942">
        <f>IF(AND(Inputs!$B$38&lt;&gt;"pvp",Inputs!$B$43&gt;0),IF(MAX(0,Inputs!$B$43-B972)&lt;=0,0,(INT(MAX(0,Inputs!$B$43-B972)/IF(Inputs!$B$38="pvp",15,MAX(0.1,Skills!D9-IF(Skills!E9=TRUE,Inputs!$B$32,0))))+1)),0)</f>
        <v/>
      </c>
      <c r="S942">
        <f>IFERROR((H942*N942*IF(AND(Inputs!$B$38&lt;&gt;"pvp",Inputs!$B$43&gt;0),((Skills!G9*((R942-1)*IF(Skills!H9&gt;0,Skills!I9/Skills!H9,1)+IF(Skills!H9&gt;0,MIN(Skills!I9,MAX(0,MAX(0,Inputs!$B$43-B972)-((R942-1)*IF(Inputs!$B$38="pvp",15,MAX(0.1,Skills!D9-IF(Skills!E9=TRUE,Inputs!$B$32,0))))))/Skills!H9,1)))/Inputs!$B$43),G942*Q942))/N942*IF(Inputs!$B$38="pvp",1,(1-Summary!$B$55)*1+Summary!$B$55*(MIN(Skills!R9,Inputs!$B$37))),0)</f>
        <v/>
      </c>
      <c r="T942">
        <f>IF(C942,(H942*N942*IF(AND(Inputs!$B$38&lt;&gt;"pvp",Inputs!$B$43&gt;0),((Skills!G9*((R942-1)*IF(Skills!H9&gt;0,Skills!I9/Skills!H9,1)+IF(Skills!H9&gt;0,MIN(Skills!I9,MAX(0,MAX(0,Inputs!$B$43-B972)-((R942-1)*IF(Inputs!$B$38="pvp",15,MAX(0.1,Skills!D9-IF(Skills!E9=TRUE,Inputs!$B$32,0))))))/Skills!H9,1)))/Inputs!$B$43),G942*Q942))*IF(Inputs!$B$38="pvp",1,1+(Inputs!$B$20+0+Skills!P9)/100),0)</f>
        <v/>
      </c>
      <c r="V942">
        <f>IF(C942,(H942*N942*IF(AND(Inputs!$B$38&lt;&gt;"pvp",Inputs!$B$43&gt;0),((Skills!G9*((R942-1)*IF(Skills!H9&gt;0,Skills!I9/Skills!H9,1)+IF(Skills!H9&gt;0,MIN(Skills!I9,MAX(0,MAX(0,Inputs!$B$43-B972)-((R942-1)*IF(Inputs!$B$38="pvp",15,MAX(0.1,Skills!D9-IF(Skills!E9=TRUE,Inputs!$B$32,0))))))/Skills!H9,1)))/Inputs!$B$43),G942*Q942))*IF(Inputs!$B$38="pvp",1,(1+(Inputs!$B$21+Skills!Q9)/100)*(MIN(Skills!R9,Inputs!$B$37))),0)</f>
        <v/>
      </c>
    </row>
    <row r="943">
      <c r="A943">
        <f>Skills!A10</f>
        <v/>
      </c>
      <c r="B943">
        <f>Skills!B10</f>
        <v/>
      </c>
      <c r="C943">
        <f>Inputs!$B$3&gt;=107</f>
        <v/>
      </c>
      <c r="D943">
        <f>IF(Skills!C10=1,60+Inputs!$B$25+(Inputs!$B$29+1),IF(Skills!C10=2,90+Inputs!$B$26+(Inputs!$B$29+1),IF(Skills!C10=3,120+Inputs!$B$27+(Inputs!$B$29+1),MAX(0,(Inputs!$B$3-100)*3)+Inputs!$B$28+(Inputs!$B$29+1))))</f>
        <v/>
      </c>
      <c r="E943">
        <f>INDEX(FactorTable!$B$2:$Y$301, MATCH(ROUND(MIN(300,MAX(1,D943)),0), FactorTable!$A$2:$A$301,0), Skills!M10+1)</f>
        <v/>
      </c>
      <c r="F943">
        <f>IF(Skills!N10=TRUE,(Skills!L10/10)*(E943/1000),Skills!L10/10)+Skills!O10</f>
        <v/>
      </c>
      <c r="G943">
        <f>Skills!G10*IF(Skills!H10&gt;0,Skills!I10/Skills!H10,1)</f>
        <v/>
      </c>
      <c r="H943">
        <f>1-(1-Skills!J10/100)^Skills!K10</f>
        <v/>
      </c>
      <c r="I943" t="inlineStr">
        <is>
          <t>1</t>
        </is>
      </c>
      <c r="J943">
        <f>((Inputs!$B$6*(1+Inputs!$B$7/100))+(((Inputs!$B$12*(1+Inputs!$B$13/100))-(Inputs!$B$12*(1+Inputs!$B$13/100)))+0.25*(Inputs!$B$14-Inputs!$B$14))*(1+Inputs!$B$7/100))*(F943/100)</f>
        <v/>
      </c>
      <c r="K943">
        <f>J943*(1+((Inputs!$B$12*(1+Inputs!$B$13/100))*0.01+Inputs!$B$14*0.0025)/100)*(1+Inputs!$B$15/100)*(1+Inputs!$B$16/100)*(5000/(6000+Inputs!$B$42*(1-(Inputs!$B$19+0)/100)))*(1+(Inputs!$B$24+((C957=TRUE)*(F957-Calc!F24))+((C958=TRUE)*(F958-Calc!F25))+B971)/100)*(1+(IF(Skills!A10="EMPOWERED_PIERCING_ARROW",Inputs!$B$17+((C955=TRUE)*(F955-Calc!F22)),Inputs!$B$18+((C960=TRUE)*(F960-Calc!F27))))/100)*((1+(((C946=TRUE)*F946)+((C947=TRUE)*IF(Inputs!$B$38="pvp",F947,(1-Summary!$B$55)*(F947)+Summary!$B$55*(0)))+((C948=TRUE)*F948*IF(AND(Inputs!$B$38&lt;&gt;"pvp",Inputs!$B$43&gt;0),(((R948-1)*(Skills!T15*(1+Inputs!$B$34/100))+MIN((Skills!T15*(1+Inputs!$B$34/100)),MAX(0,Inputs!$B$43-((R948-1)*Skills!D15))))/Inputs!$B$43),IF(Inputs!$B$38="pvp",MIN((Skills!T15*(1+Inputs!$B$34/100)),15)/15,(Skills!T15*(1+Inputs!$B$34/100))/Skills!D15)))+((C945=TRUE)*F945)+((C962=TRUE)*(F962-Calc!F29)))/100)*I943)</f>
        <v/>
      </c>
      <c r="L943">
        <f>K943*(MIN(Inputs!$B$22+((C956=TRUE)*(F956-Calc!F23)),Inputs!$B$23+((C961=TRUE)*(F961-Calc!F28)))/100+(Inputs!$B$23+((C961=TRUE)*(F961-Calc!F28)))/100)/2</f>
        <v/>
      </c>
      <c r="M943">
        <f>L943*(1+(Inputs!$B$10+0+B970)/100)</f>
        <v/>
      </c>
      <c r="N943">
        <f>L943*(1-MIN((Inputs!$B$9+((C952=TRUE)*(F952-Calc!F19))+B965),100)/100)+M943*(MIN((Inputs!$B$9+((C952=TRUE)*(F952-Calc!F19))+B965),100)/100)</f>
        <v/>
      </c>
      <c r="O943">
        <f>(1-Summary!$B$55)*T943+Summary!$B$55*V943</f>
        <v/>
      </c>
      <c r="P943">
        <f>IF(B975=0,0,O943/B975)</f>
        <v/>
      </c>
      <c r="Q943" t="n">
        <v>0</v>
      </c>
      <c r="R943" t="n">
        <v>0</v>
      </c>
      <c r="S943" t="n">
        <v>0</v>
      </c>
      <c r="T943">
        <f>IF(C943,(0.15*SUMPRODUCT((Skills!U2:U29=TRUE)*(C935:C962=TRUE)*S935:S962)*Skills!G10*N943)*IF(Inputs!$B$38="pvp",1,1+(Inputs!$B$20+0+Skills!P10)/100),0)</f>
        <v/>
      </c>
      <c r="V943">
        <f>IF(C943,(0.15*SUMPRODUCT((Skills!U2:U29=TRUE)*(C935:C962=TRUE)*S935:S962)*Skills!G10*N943)*IF(Inputs!$B$38="pvp",1,(1+(Inputs!$B$21+Skills!Q10)/100)*(MIN(Skills!R10,Inputs!$B$37))),0)</f>
        <v/>
      </c>
    </row>
    <row r="944">
      <c r="A944">
        <f>Skills!A11</f>
        <v/>
      </c>
      <c r="B944">
        <f>Skills!B11</f>
        <v/>
      </c>
      <c r="C944">
        <f>Inputs!$B$3&gt;=110</f>
        <v/>
      </c>
      <c r="D944">
        <f>IF(Skills!C11=1,60+Inputs!$B$25+(Inputs!$B$29+1),IF(Skills!C11=2,90+Inputs!$B$26+(Inputs!$B$29+1),IF(Skills!C11=3,120+Inputs!$B$27+(Inputs!$B$29+1),MAX(0,(Inputs!$B$3-100)*3)+Inputs!$B$28+(Inputs!$B$29+1))))</f>
        <v/>
      </c>
      <c r="E944">
        <f>INDEX(FactorTable!$B$2:$Y$301, MATCH(ROUND(MIN(300,MAX(1,D944)),0), FactorTable!$A$2:$A$301,0), Skills!M11+1)</f>
        <v/>
      </c>
      <c r="F944">
        <f>IF(Skills!N11=TRUE,(Skills!L11/10)*(E944/1000),Skills!L11/10)+Skills!O11</f>
        <v/>
      </c>
      <c r="G944">
        <f>Skills!G11*IF(Skills!H11&gt;0,Skills!I11/Skills!H11,1)</f>
        <v/>
      </c>
      <c r="H944">
        <f>1-(1-Skills!J11/100)^Skills!K11</f>
        <v/>
      </c>
      <c r="I944" t="inlineStr">
        <is>
          <t>1</t>
        </is>
      </c>
      <c r="J944">
        <f>((Inputs!$B$6*(1+Inputs!$B$7/100))+(((Inputs!$B$12*(1+Inputs!$B$13/100))-(Inputs!$B$12*(1+Inputs!$B$13/100)))+0.25*(Inputs!$B$14-Inputs!$B$14))*(1+Inputs!$B$7/100))*(F944/100)</f>
        <v/>
      </c>
      <c r="K944">
        <f>J944*(1+((Inputs!$B$12*(1+Inputs!$B$13/100))*0.01+Inputs!$B$14*0.0025)/100)*(1+Inputs!$B$15/100)*(1+Inputs!$B$16/100)*(5000/(6000+Inputs!$B$42*(1-(Inputs!$B$19+0)/100)))*(1+(Inputs!$B$24+((C957=TRUE)*(F957-Calc!F24))+((C958=TRUE)*(F958-Calc!F25))+B971)/100)*(1+(IF(Skills!A11="EMPOWERED_PIERCING_ARROW",Inputs!$B$17+((C955=TRUE)*(F955-Calc!F22)),Inputs!$B$18+((C960=TRUE)*(F960-Calc!F27))))/100)*((1+(((C946=TRUE)*F946)+((C947=TRUE)*IF(Inputs!$B$38="pvp",F947,(1-Summary!$B$55)*(F947)+Summary!$B$55*(0)))+((C948=TRUE)*F948*IF(AND(Inputs!$B$38&lt;&gt;"pvp",Inputs!$B$43&gt;0),(((R948-1)*(Skills!T15*(1+Inputs!$B$34/100))+MIN((Skills!T15*(1+Inputs!$B$34/100)),MAX(0,Inputs!$B$43-((R948-1)*Skills!D15))))/Inputs!$B$43),IF(Inputs!$B$38="pvp",MIN((Skills!T15*(1+Inputs!$B$34/100)),15)/15,(Skills!T15*(1+Inputs!$B$34/100))/Skills!D15)))+((C945=TRUE)*F945)+((C962=TRUE)*(F962-Calc!F29)))/100)*I944)</f>
        <v/>
      </c>
      <c r="L944">
        <f>K944*(MIN(Inputs!$B$22+((C956=TRUE)*(F956-Calc!F23)),Inputs!$B$23+((C961=TRUE)*(F961-Calc!F28)))/100+(Inputs!$B$23+((C961=TRUE)*(F961-Calc!F28)))/100)/2</f>
        <v/>
      </c>
      <c r="M944">
        <f>L944*(1+(Inputs!$B$10+0+B970)/100)</f>
        <v/>
      </c>
      <c r="N944">
        <f>L944*(1-MIN((Inputs!$B$9+((C952=TRUE)*(F952-Calc!F19))+B965),100)/100)+M944*(MIN((Inputs!$B$9+((C952=TRUE)*(F952-Calc!F19))+B965),100)/100)</f>
        <v/>
      </c>
      <c r="O944">
        <f>(1-Summary!$B$55)*T944+Summary!$B$55*V944</f>
        <v/>
      </c>
      <c r="P944">
        <f>IF(B975=0,0,O944/B975)</f>
        <v/>
      </c>
      <c r="Q944">
        <f>IFERROR(1/IF(Inputs!$B$38="pvp",15,MAX(0.1,Skills!D11-IF(Skills!E11=TRUE,Inputs!$B$32,0))),0)</f>
        <v/>
      </c>
      <c r="R944">
        <f>IF(AND(Inputs!$B$38&lt;&gt;"pvp",Inputs!$B$43&gt;0),IF(MAX(0,Inputs!$B$43-B972)&lt;=0,0,(INT(MAX(0,Inputs!$B$43-B972)/IF(Inputs!$B$38="pvp",15,MAX(0.1,Skills!D11-IF(Skills!E11=TRUE,Inputs!$B$32,0))))+1)),0)</f>
        <v/>
      </c>
      <c r="S944">
        <f>IFERROR((H944*N944*IF(AND(Inputs!$B$38&lt;&gt;"pvp",Inputs!$B$43&gt;0),((Skills!G11*((R944-1)*IF(Skills!H11&gt;0,Skills!I11/Skills!H11,1)+IF(Skills!H11&gt;0,MIN(Skills!I11,MAX(0,MAX(0,Inputs!$B$43-B972)-((R944-1)*IF(Inputs!$B$38="pvp",15,MAX(0.1,Skills!D11-IF(Skills!E11=TRUE,Inputs!$B$32,0))))))/Skills!H11,1)))/Inputs!$B$43),G944*Q944))/N944*IF(Inputs!$B$38="pvp",1,(1-Summary!$B$55)*1+Summary!$B$55*(MIN(Skills!R11,Inputs!$B$37))),0)</f>
        <v/>
      </c>
      <c r="T944">
        <f>IF(C944,(H944*N944*IF(AND(Inputs!$B$38&lt;&gt;"pvp",Inputs!$B$43&gt;0),((Skills!G11*((R944-1)*IF(Skills!H11&gt;0,Skills!I11/Skills!H11,1)+IF(Skills!H11&gt;0,MIN(Skills!I11,MAX(0,MAX(0,Inputs!$B$43-B972)-((R944-1)*IF(Inputs!$B$38="pvp",15,MAX(0.1,Skills!D11-IF(Skills!E11=TRUE,Inputs!$B$32,0))))))/Skills!H11,1)))/Inputs!$B$43),G944*Q944))*IF(Inputs!$B$38="pvp",1,1+(Inputs!$B$20+0+Skills!P11)/100),0)</f>
        <v/>
      </c>
      <c r="V944">
        <f>IF(C944,(H944*N944*IF(AND(Inputs!$B$38&lt;&gt;"pvp",Inputs!$B$43&gt;0),((Skills!G11*((R944-1)*IF(Skills!H11&gt;0,Skills!I11/Skills!H11,1)+IF(Skills!H11&gt;0,MIN(Skills!I11,MAX(0,MAX(0,Inputs!$B$43-B972)-((R944-1)*IF(Inputs!$B$38="pvp",15,MAX(0.1,Skills!D11-IF(Skills!E11=TRUE,Inputs!$B$32,0))))))/Skills!H11,1)))/Inputs!$B$43),G944*Q944))*IF(Inputs!$B$38="pvp",1,(1+(Inputs!$B$21+Skills!Q11)/100)*(MIN(Skills!R11,Inputs!$B$37))),0)</f>
        <v/>
      </c>
    </row>
    <row r="945">
      <c r="A945">
        <f>Skills!A12</f>
        <v/>
      </c>
      <c r="B945">
        <f>Skills!B12</f>
        <v/>
      </c>
      <c r="C945">
        <f>Inputs!$B$3&gt;=60</f>
        <v/>
      </c>
      <c r="D945">
        <f>IF(Skills!C12=1,60+Inputs!$B$25+(Inputs!$B$29+1),IF(Skills!C12=2,90+Inputs!$B$26+(Inputs!$B$29+1),IF(Skills!C12=3,120+Inputs!$B$27+(Inputs!$B$29+1),MAX(0,(Inputs!$B$3-100)*3)+Inputs!$B$28+(Inputs!$B$29+1))))</f>
        <v/>
      </c>
      <c r="E945">
        <f>INDEX(FactorTable!$B$2:$Y$301, MATCH(ROUND(MIN(300,MAX(1,D945)),0), FactorTable!$A$2:$A$301,0), Skills!M12+1)</f>
        <v/>
      </c>
      <c r="F945">
        <f>IF(Skills!N12=TRUE,(Skills!L12/10)*(E945/1000),Skills!L12/10)+Skills!O12</f>
        <v/>
      </c>
      <c r="G945">
        <f>Skills!G12*IF(Skills!H12&gt;0,Skills!I12/Skills!H12,1)</f>
        <v/>
      </c>
      <c r="H945">
        <f>1-(1-Skills!J12/100)^Skills!K12</f>
        <v/>
      </c>
      <c r="I945" t="inlineStr">
        <is>
          <t>1</t>
        </is>
      </c>
      <c r="J945" t="inlineStr"/>
      <c r="K945" t="inlineStr"/>
      <c r="L945" t="inlineStr"/>
      <c r="M945" t="inlineStr"/>
      <c r="N945" t="inlineStr"/>
      <c r="O945">
        <f>(1-Summary!$B$55)*T945+Summary!$B$55*V945</f>
        <v/>
      </c>
      <c r="P945">
        <f>IF(B975=0,0,O945/B975)</f>
        <v/>
      </c>
      <c r="Q945" t="n">
        <v>0</v>
      </c>
      <c r="R945" t="n">
        <v>0</v>
      </c>
      <c r="S945" t="n">
        <v>0</v>
      </c>
      <c r="T945" t="n">
        <v>0</v>
      </c>
      <c r="V945" t="n">
        <v>0</v>
      </c>
    </row>
    <row r="946">
      <c r="A946">
        <f>Skills!A13</f>
        <v/>
      </c>
      <c r="B946">
        <f>Skills!B13</f>
        <v/>
      </c>
      <c r="C946">
        <f>Inputs!$B$3&gt;=74</f>
        <v/>
      </c>
      <c r="D946">
        <f>IF(Skills!C13=1,60+Inputs!$B$25+(Inputs!$B$29+1),IF(Skills!C13=2,90+Inputs!$B$26+(Inputs!$B$29+1),IF(Skills!C13=3,120+Inputs!$B$27+(Inputs!$B$29+1),MAX(0,(Inputs!$B$3-100)*3)+Inputs!$B$28+(Inputs!$B$29+1))))</f>
        <v/>
      </c>
      <c r="E946">
        <f>INDEX(FactorTable!$B$2:$Y$301, MATCH(ROUND(MIN(300,MAX(1,D946)),0), FactorTable!$A$2:$A$301,0), Skills!M13+1)</f>
        <v/>
      </c>
      <c r="F946">
        <f>IF(Skills!N13=TRUE,(Skills!L13/10)*(E946/1000),Skills!L13/10)+Skills!O13</f>
        <v/>
      </c>
      <c r="G946">
        <f>Skills!G13*IF(Skills!H13&gt;0,Skills!I13/Skills!H13,1)</f>
        <v/>
      </c>
      <c r="H946">
        <f>1-(1-Skills!J13/100)^Skills!K13</f>
        <v/>
      </c>
      <c r="I946" t="inlineStr">
        <is>
          <t>1</t>
        </is>
      </c>
      <c r="J946" t="inlineStr"/>
      <c r="K946" t="inlineStr"/>
      <c r="L946" t="inlineStr"/>
      <c r="M946" t="inlineStr"/>
      <c r="N946" t="inlineStr"/>
      <c r="O946">
        <f>(1-Summary!$B$55)*T946+Summary!$B$55*V946</f>
        <v/>
      </c>
      <c r="P946">
        <f>IF(B975=0,0,O946/B975)</f>
        <v/>
      </c>
      <c r="Q946" t="n">
        <v>0</v>
      </c>
      <c r="R946" t="n">
        <v>0</v>
      </c>
      <c r="S946" t="n">
        <v>0</v>
      </c>
      <c r="T946" t="n">
        <v>0</v>
      </c>
      <c r="V946" t="n">
        <v>0</v>
      </c>
    </row>
    <row r="947">
      <c r="A947">
        <f>Skills!A14</f>
        <v/>
      </c>
      <c r="B947">
        <f>Skills!B14</f>
        <v/>
      </c>
      <c r="C947">
        <f>Inputs!$B$3&gt;=74</f>
        <v/>
      </c>
      <c r="D947">
        <f>IF(Skills!C14=1,60+Inputs!$B$25+(Inputs!$B$29+1),IF(Skills!C14=2,90+Inputs!$B$26+(Inputs!$B$29+1),IF(Skills!C14=3,120+Inputs!$B$27+(Inputs!$B$29+1),MAX(0,(Inputs!$B$3-100)*3)+Inputs!$B$28+(Inputs!$B$29+1))))</f>
        <v/>
      </c>
      <c r="E947">
        <f>INDEX(FactorTable!$B$2:$Y$301, MATCH(ROUND(MIN(300,MAX(1,D947)),0), FactorTable!$A$2:$A$301,0), Skills!M14+1)</f>
        <v/>
      </c>
      <c r="F947">
        <f>IF(Skills!N14=TRUE,(Skills!L14/10)*(E947/1000),Skills!L14/10)+Skills!O14</f>
        <v/>
      </c>
      <c r="G947">
        <f>Skills!G14*IF(Skills!H14&gt;0,Skills!I14/Skills!H14,1)</f>
        <v/>
      </c>
      <c r="H947">
        <f>1-(1-Skills!J14/100)^Skills!K14</f>
        <v/>
      </c>
      <c r="I947" t="inlineStr">
        <is>
          <t>1</t>
        </is>
      </c>
      <c r="J947" t="inlineStr"/>
      <c r="K947" t="inlineStr"/>
      <c r="L947" t="inlineStr"/>
      <c r="M947" t="inlineStr"/>
      <c r="N947" t="inlineStr"/>
      <c r="O947">
        <f>(1-Summary!$B$55)*T947+Summary!$B$55*V947</f>
        <v/>
      </c>
      <c r="P947">
        <f>IF(B975=0,0,O947/B975)</f>
        <v/>
      </c>
      <c r="Q947" t="n">
        <v>0</v>
      </c>
      <c r="R947" t="n">
        <v>0</v>
      </c>
      <c r="S947" t="n">
        <v>0</v>
      </c>
      <c r="T947" t="n">
        <v>0</v>
      </c>
      <c r="V947" t="n">
        <v>0</v>
      </c>
    </row>
    <row r="948">
      <c r="A948">
        <f>Skills!A15</f>
        <v/>
      </c>
      <c r="B948">
        <f>Skills!B15</f>
        <v/>
      </c>
      <c r="C948">
        <f>Inputs!$B$3&gt;=117</f>
        <v/>
      </c>
      <c r="D948">
        <f>IF(Skills!C15=1,60+Inputs!$B$25+(Inputs!$B$29+1),IF(Skills!C15=2,90+Inputs!$B$26+(Inputs!$B$29+1),IF(Skills!C15=3,120+Inputs!$B$27+(Inputs!$B$29+1),MAX(0,(Inputs!$B$3-100)*3)+Inputs!$B$28+(Inputs!$B$29+1))))</f>
        <v/>
      </c>
      <c r="E948">
        <f>INDEX(FactorTable!$B$2:$Y$301, MATCH(ROUND(MIN(300,MAX(1,D948)),0), FactorTable!$A$2:$A$301,0), Skills!M15+1)</f>
        <v/>
      </c>
      <c r="F948">
        <f>IF(Skills!N15=TRUE,(Skills!L15/10)*(E948/1000),Skills!L15/10)+Skills!O15</f>
        <v/>
      </c>
      <c r="G948">
        <f>Skills!G15*IF(Skills!H15&gt;0,Skills!I15/Skills!H15,1)</f>
        <v/>
      </c>
      <c r="H948">
        <f>1-(1-Skills!J15/100)^Skills!K15</f>
        <v/>
      </c>
      <c r="I948" t="inlineStr">
        <is>
          <t>1</t>
        </is>
      </c>
      <c r="J948" t="inlineStr"/>
      <c r="K948" t="inlineStr"/>
      <c r="L948" t="inlineStr"/>
      <c r="M948" t="inlineStr"/>
      <c r="N948" t="inlineStr"/>
      <c r="O948">
        <f>(1-Summary!$B$55)*T948+Summary!$B$55*V948</f>
        <v/>
      </c>
      <c r="P948">
        <f>IF(B975=0,0,O948/B975)</f>
        <v/>
      </c>
      <c r="Q948">
        <f>IFERROR(1/IF(Inputs!$B$38="pvp",15,MAX(0.1,Skills!D15-IF(Skills!E15=TRUE,Inputs!$B$32,0))),0)</f>
        <v/>
      </c>
      <c r="R948">
        <f>IF(AND(Inputs!$B$38&lt;&gt;"pvp",Inputs!$B$43&gt;0),IF(Inputs!$B$43&lt;=0,0,(INT(Inputs!$B$43/IF(Inputs!$B$38="pvp",15,MAX(0.1,Skills!D15-IF(Skills!E15=TRUE,Inputs!$B$32,0))))+1)),0)</f>
        <v/>
      </c>
      <c r="S948" t="n">
        <v>0</v>
      </c>
      <c r="T948" t="n">
        <v>0</v>
      </c>
      <c r="V948" t="n">
        <v>0</v>
      </c>
    </row>
    <row r="949">
      <c r="A949">
        <f>Skills!A16</f>
        <v/>
      </c>
      <c r="B949">
        <f>Skills!B16</f>
        <v/>
      </c>
      <c r="C949">
        <f>Inputs!$B$3&gt;=115</f>
        <v/>
      </c>
      <c r="D949">
        <f>IF(Skills!C16=1,60+Inputs!$B$25+(Inputs!$B$29+1),IF(Skills!C16=2,90+Inputs!$B$26+(Inputs!$B$29+1),IF(Skills!C16=3,120+Inputs!$B$27+(Inputs!$B$29+1),MAX(0,(Inputs!$B$3-100)*3)+Inputs!$B$28+(Inputs!$B$29+1))))</f>
        <v/>
      </c>
      <c r="E949">
        <f>INDEX(FactorTable!$B$2:$Y$301, MATCH(ROUND(MIN(300,MAX(1,D949)),0), FactorTable!$A$2:$A$301,0), Skills!M16+1)</f>
        <v/>
      </c>
      <c r="F949">
        <f>IF(Skills!N16=TRUE,(Skills!L16/10)*(E949/1000),Skills!L16/10)+Skills!O16</f>
        <v/>
      </c>
      <c r="G949">
        <f>Skills!G16*IF(Skills!H16&gt;0,Skills!I16/Skills!H16,1)</f>
        <v/>
      </c>
      <c r="H949">
        <f>1-(1-Skills!J16/100)^Skills!K16</f>
        <v/>
      </c>
      <c r="I949" t="inlineStr">
        <is>
          <t>1</t>
        </is>
      </c>
      <c r="J949" t="inlineStr"/>
      <c r="K949" t="inlineStr"/>
      <c r="L949" t="inlineStr"/>
      <c r="M949" t="inlineStr"/>
      <c r="N949" t="inlineStr"/>
      <c r="O949">
        <f>(1-Summary!$B$55)*T949+Summary!$B$55*V949</f>
        <v/>
      </c>
      <c r="P949">
        <f>IF(B975=0,0,O949/B975)</f>
        <v/>
      </c>
      <c r="Q949">
        <f>IFERROR(1/IF(Inputs!$B$38="pvp",15,MAX(0.1,Skills!D16-IF(Skills!E16=TRUE,Inputs!$B$32,0))),0)</f>
        <v/>
      </c>
      <c r="R949">
        <f>IF(AND(Inputs!$B$38&lt;&gt;"pvp",Inputs!$B$43&gt;0),IF(Inputs!$B$43&lt;=0,0,(INT(Inputs!$B$43/IF(Inputs!$B$38="pvp",15,MAX(0.1,Skills!D16-IF(Skills!E16=TRUE,Inputs!$B$32,0))))+1)),0)</f>
        <v/>
      </c>
      <c r="S949" t="n">
        <v>0</v>
      </c>
      <c r="T949" t="n">
        <v>0</v>
      </c>
      <c r="V949" t="n">
        <v>0</v>
      </c>
    </row>
    <row r="950">
      <c r="A950">
        <f>Skills!A17</f>
        <v/>
      </c>
      <c r="B950">
        <f>Skills!B17</f>
        <v/>
      </c>
      <c r="C950">
        <f>Inputs!$B$3&gt;=72</f>
        <v/>
      </c>
      <c r="D950">
        <f>IF(Skills!C17=1,60+Inputs!$B$25+(Inputs!$B$29+1),IF(Skills!C17=2,90+Inputs!$B$26+(Inputs!$B$29+1),IF(Skills!C17=3,120+Inputs!$B$27+(Inputs!$B$29+1),MAX(0,(Inputs!$B$3-100)*3)+Inputs!$B$28+(Inputs!$B$29+1))))</f>
        <v/>
      </c>
      <c r="E950">
        <f>INDEX(FactorTable!$B$2:$Y$301, MATCH(ROUND(MIN(300,MAX(1,D950)),0), FactorTable!$A$2:$A$301,0), Skills!M17+1)</f>
        <v/>
      </c>
      <c r="F950">
        <f>IF(Skills!N17=TRUE,(Skills!L17/10)*(E950/1000),Skills!L17/10)+Skills!O17</f>
        <v/>
      </c>
      <c r="G950">
        <f>Skills!G17*IF(Skills!H17&gt;0,Skills!I17/Skills!H17,1)</f>
        <v/>
      </c>
      <c r="H950">
        <f>1-(1-Skills!J17/100)^Skills!K17</f>
        <v/>
      </c>
      <c r="I950" t="inlineStr">
        <is>
          <t>1</t>
        </is>
      </c>
      <c r="J950" t="inlineStr"/>
      <c r="K950" t="inlineStr"/>
      <c r="L950" t="inlineStr"/>
      <c r="M950" t="inlineStr"/>
      <c r="N950" t="inlineStr"/>
      <c r="O950">
        <f>(1-Summary!$B$55)*T950+Summary!$B$55*V950</f>
        <v/>
      </c>
      <c r="P950">
        <f>IF(B975=0,0,O950/B975)</f>
        <v/>
      </c>
      <c r="Q950" t="n">
        <v>0</v>
      </c>
      <c r="R950" t="n">
        <v>0</v>
      </c>
      <c r="S950" t="n">
        <v>0</v>
      </c>
      <c r="T950" t="n">
        <v>0</v>
      </c>
      <c r="V950" t="n">
        <v>0</v>
      </c>
    </row>
    <row r="951">
      <c r="A951">
        <f>Skills!A18</f>
        <v/>
      </c>
      <c r="B951">
        <f>Skills!B18</f>
        <v/>
      </c>
      <c r="C951">
        <f>TRUE</f>
        <v/>
      </c>
      <c r="D951">
        <f>IF(Skills!C18=1,60+Inputs!$B$25+(Inputs!$B$29+1),IF(Skills!C18=2,90+Inputs!$B$26+(Inputs!$B$29+1),IF(Skills!C18=3,120+Inputs!$B$27+(Inputs!$B$29+1),MAX(0,(Inputs!$B$3-100)*3)+Inputs!$B$28+(Inputs!$B$29+1))))</f>
        <v/>
      </c>
      <c r="E951">
        <f>INDEX(FactorTable!$B$2:$Y$301, MATCH(ROUND(MIN(300,MAX(1,D951)),0), FactorTable!$A$2:$A$301,0), Skills!M18+1)</f>
        <v/>
      </c>
      <c r="F951">
        <f>IF(Skills!N18=TRUE,(Skills!L18/10)*(E951/1000),Skills!L18/10)+Skills!O18</f>
        <v/>
      </c>
      <c r="G951">
        <f>Skills!G18*IF(Skills!H18&gt;0,Skills!I18/Skills!H18,1)</f>
        <v/>
      </c>
      <c r="H951">
        <f>1-(1-Skills!J18/100)^Skills!K18</f>
        <v/>
      </c>
      <c r="I951" t="inlineStr">
        <is>
          <t>1</t>
        </is>
      </c>
      <c r="J951" t="inlineStr"/>
      <c r="K951" t="inlineStr"/>
      <c r="L951" t="inlineStr"/>
      <c r="M951" t="inlineStr"/>
      <c r="N951" t="inlineStr"/>
      <c r="O951">
        <f>(1-Summary!$B$55)*T951+Summary!$B$55*V951</f>
        <v/>
      </c>
      <c r="P951">
        <f>IF(B975=0,0,O951/B975)</f>
        <v/>
      </c>
      <c r="Q951">
        <f>IFERROR(1/IF(Inputs!$B$38="pvp",15,MAX(0.1,Skills!D18-IF(Skills!E18=TRUE,Inputs!$B$32,0))),0)</f>
        <v/>
      </c>
      <c r="R951">
        <f>IF(AND(Inputs!$B$38&lt;&gt;"pvp",Inputs!$B$43&gt;0),IF(Inputs!$B$43&lt;=0,0,(INT(Inputs!$B$43/IF(Inputs!$B$38="pvp",15,MAX(0.1,Skills!D18-IF(Skills!E18=TRUE,Inputs!$B$32,0))))+1)),0)</f>
        <v/>
      </c>
      <c r="S951" t="n">
        <v>0</v>
      </c>
      <c r="T951" t="n">
        <v>0</v>
      </c>
      <c r="V951" t="n">
        <v>0</v>
      </c>
    </row>
    <row r="952">
      <c r="A952">
        <f>Skills!A19</f>
        <v/>
      </c>
      <c r="B952">
        <f>Skills!B19</f>
        <v/>
      </c>
      <c r="C952">
        <f>Inputs!$B$3&gt;=15</f>
        <v/>
      </c>
      <c r="D952">
        <f>IF(Skills!C19=1,60+Inputs!$B$25+(Inputs!$B$29+1),IF(Skills!C19=2,90+Inputs!$B$26+(Inputs!$B$29+1),IF(Skills!C19=3,120+Inputs!$B$27+(Inputs!$B$29+1),MAX(0,(Inputs!$B$3-100)*3)+Inputs!$B$28+(Inputs!$B$29+1))))</f>
        <v/>
      </c>
      <c r="E952">
        <f>INDEX(FactorTable!$B$2:$Y$301, MATCH(ROUND(MIN(300,MAX(1,D952)),0), FactorTable!$A$2:$A$301,0), Skills!M19+1)</f>
        <v/>
      </c>
      <c r="F952">
        <f>IF(Skills!N19=TRUE,(Skills!L19/10)*(E952/1000),Skills!L19/10)+Skills!O19</f>
        <v/>
      </c>
      <c r="G952">
        <f>Skills!G19*IF(Skills!H19&gt;0,Skills!I19/Skills!H19,1)</f>
        <v/>
      </c>
      <c r="H952">
        <f>1-(1-Skills!J19/100)^Skills!K19</f>
        <v/>
      </c>
      <c r="I952" t="inlineStr">
        <is>
          <t>1</t>
        </is>
      </c>
      <c r="J952" t="inlineStr"/>
      <c r="K952" t="inlineStr"/>
      <c r="L952" t="inlineStr"/>
      <c r="M952" t="inlineStr"/>
      <c r="N952" t="inlineStr"/>
      <c r="O952">
        <f>(1-Summary!$B$55)*T952+Summary!$B$55*V952</f>
        <v/>
      </c>
      <c r="P952">
        <f>IF(B975=0,0,O952/B975)</f>
        <v/>
      </c>
      <c r="Q952" t="n">
        <v>0</v>
      </c>
      <c r="R952" t="n">
        <v>0</v>
      </c>
      <c r="S952" t="n">
        <v>0</v>
      </c>
      <c r="T952" t="n">
        <v>0</v>
      </c>
      <c r="V952" t="n">
        <v>0</v>
      </c>
    </row>
    <row r="953">
      <c r="A953">
        <f>Skills!A20</f>
        <v/>
      </c>
      <c r="B953">
        <f>Skills!B20</f>
        <v/>
      </c>
      <c r="C953">
        <f>Inputs!$B$3&gt;=10</f>
        <v/>
      </c>
      <c r="D953">
        <f>IF(Skills!C20=1,60+Inputs!$B$25+(Inputs!$B$29+1),IF(Skills!C20=2,90+Inputs!$B$26+(Inputs!$B$29+1),IF(Skills!C20=3,120+Inputs!$B$27+(Inputs!$B$29+1),MAX(0,(Inputs!$B$3-100)*3)+Inputs!$B$28+(Inputs!$B$29+1))))</f>
        <v/>
      </c>
      <c r="E953">
        <f>INDEX(FactorTable!$B$2:$Y$301, MATCH(ROUND(MIN(300,MAX(1,D953)),0), FactorTable!$A$2:$A$301,0), Skills!M20+1)</f>
        <v/>
      </c>
      <c r="F953">
        <f>IF(Skills!N20=TRUE,(Skills!L20/10)*(E953/1000),Skills!L20/10)+Skills!O20</f>
        <v/>
      </c>
      <c r="G953">
        <f>Skills!G20*IF(Skills!H20&gt;0,Skills!I20/Skills!H20,1)</f>
        <v/>
      </c>
      <c r="H953">
        <f>1-(1-Skills!J20/100)^Skills!K20</f>
        <v/>
      </c>
      <c r="I953" t="inlineStr">
        <is>
          <t>1</t>
        </is>
      </c>
      <c r="J953" t="inlineStr"/>
      <c r="K953" t="inlineStr"/>
      <c r="L953" t="inlineStr"/>
      <c r="M953" t="inlineStr"/>
      <c r="N953" t="inlineStr"/>
      <c r="O953">
        <f>(1-Summary!$B$55)*T953+Summary!$B$55*V953</f>
        <v/>
      </c>
      <c r="P953">
        <f>IF(B975=0,0,O953/B975)</f>
        <v/>
      </c>
      <c r="Q953" t="n">
        <v>0</v>
      </c>
      <c r="R953" t="n">
        <v>0</v>
      </c>
      <c r="S953" t="n">
        <v>0</v>
      </c>
      <c r="T953" t="n">
        <v>0</v>
      </c>
      <c r="V953" t="n">
        <v>0</v>
      </c>
    </row>
    <row r="954">
      <c r="A954">
        <f>Skills!A21</f>
        <v/>
      </c>
      <c r="B954">
        <f>Skills!B21</f>
        <v/>
      </c>
      <c r="C954">
        <f>Inputs!$B$3&gt;=33</f>
        <v/>
      </c>
      <c r="D954">
        <f>IF(Skills!C21=1,60+Inputs!$B$25+(Inputs!$B$29+1),IF(Skills!C21=2,90+Inputs!$B$26+(Inputs!$B$29+1),IF(Skills!C21=3,120+Inputs!$B$27+(Inputs!$B$29+1),MAX(0,(Inputs!$B$3-100)*3)+Inputs!$B$28+(Inputs!$B$29+1))))</f>
        <v/>
      </c>
      <c r="E954">
        <f>INDEX(FactorTable!$B$2:$Y$301, MATCH(ROUND(MIN(300,MAX(1,D954)),0), FactorTable!$A$2:$A$301,0), Skills!M21+1)</f>
        <v/>
      </c>
      <c r="F954">
        <f>IF(Skills!N21=TRUE,(Skills!L21/10)*(E954/1000),Skills!L21/10)+Skills!O21</f>
        <v/>
      </c>
      <c r="G954">
        <f>Skills!G21*IF(Skills!H21&gt;0,Skills!I21/Skills!H21,1)</f>
        <v/>
      </c>
      <c r="H954">
        <f>1-(1-Skills!J21/100)^Skills!K21</f>
        <v/>
      </c>
      <c r="I954" t="inlineStr">
        <is>
          <t>1</t>
        </is>
      </c>
      <c r="J954" t="inlineStr"/>
      <c r="K954" t="inlineStr"/>
      <c r="L954" t="inlineStr"/>
      <c r="M954" t="inlineStr"/>
      <c r="N954" t="inlineStr"/>
      <c r="O954">
        <f>(1-Summary!$B$55)*T954+Summary!$B$55*V954</f>
        <v/>
      </c>
      <c r="P954">
        <f>IF(B975=0,0,O954/B975)</f>
        <v/>
      </c>
      <c r="Q954" t="n">
        <v>0</v>
      </c>
      <c r="R954" t="n">
        <v>0</v>
      </c>
      <c r="S954" t="n">
        <v>0</v>
      </c>
      <c r="T954" t="n">
        <v>0</v>
      </c>
      <c r="V954" t="n">
        <v>0</v>
      </c>
    </row>
    <row r="955">
      <c r="A955">
        <f>Skills!A22</f>
        <v/>
      </c>
      <c r="B955">
        <f>Skills!B22</f>
        <v/>
      </c>
      <c r="C955">
        <f>Inputs!$B$3&gt;=38</f>
        <v/>
      </c>
      <c r="D955">
        <f>IF(Skills!C22=1,60+Inputs!$B$25+(Inputs!$B$29+1),IF(Skills!C22=2,90+Inputs!$B$26+(Inputs!$B$29+1),IF(Skills!C22=3,120+Inputs!$B$27+(Inputs!$B$29+1),MAX(0,(Inputs!$B$3-100)*3)+Inputs!$B$28+(Inputs!$B$29+1))))</f>
        <v/>
      </c>
      <c r="E955">
        <f>INDEX(FactorTable!$B$2:$Y$301, MATCH(ROUND(MIN(300,MAX(1,D955)),0), FactorTable!$A$2:$A$301,0), Skills!M22+1)</f>
        <v/>
      </c>
      <c r="F955">
        <f>IF(Skills!N22=TRUE,(Skills!L22/10)*(E955/1000),Skills!L22/10)+Skills!O22</f>
        <v/>
      </c>
      <c r="G955">
        <f>Skills!G22*IF(Skills!H22&gt;0,Skills!I22/Skills!H22,1)</f>
        <v/>
      </c>
      <c r="H955">
        <f>1-(1-Skills!J22/100)^Skills!K22</f>
        <v/>
      </c>
      <c r="I955" t="inlineStr">
        <is>
          <t>1</t>
        </is>
      </c>
      <c r="J955" t="inlineStr"/>
      <c r="K955" t="inlineStr"/>
      <c r="L955" t="inlineStr"/>
      <c r="M955" t="inlineStr"/>
      <c r="N955" t="inlineStr"/>
      <c r="O955">
        <f>(1-Summary!$B$55)*T955+Summary!$B$55*V955</f>
        <v/>
      </c>
      <c r="P955">
        <f>IF(B975=0,0,O955/B975)</f>
        <v/>
      </c>
      <c r="Q955" t="n">
        <v>0</v>
      </c>
      <c r="R955" t="n">
        <v>0</v>
      </c>
      <c r="S955" t="n">
        <v>0</v>
      </c>
      <c r="T955" t="n">
        <v>0</v>
      </c>
      <c r="V955" t="n">
        <v>0</v>
      </c>
    </row>
    <row r="956">
      <c r="A956">
        <f>Skills!A23</f>
        <v/>
      </c>
      <c r="B956">
        <f>Skills!B23</f>
        <v/>
      </c>
      <c r="C956">
        <f>Inputs!$B$3&gt;=43</f>
        <v/>
      </c>
      <c r="D956">
        <f>IF(Skills!C23=1,60+Inputs!$B$25+(Inputs!$B$29+1),IF(Skills!C23=2,90+Inputs!$B$26+(Inputs!$B$29+1),IF(Skills!C23=3,120+Inputs!$B$27+(Inputs!$B$29+1),MAX(0,(Inputs!$B$3-100)*3)+Inputs!$B$28+(Inputs!$B$29+1))))</f>
        <v/>
      </c>
      <c r="E956">
        <f>INDEX(FactorTable!$B$2:$Y$301, MATCH(ROUND(MIN(300,MAX(1,D956)),0), FactorTable!$A$2:$A$301,0), Skills!M23+1)</f>
        <v/>
      </c>
      <c r="F956">
        <f>IF(Skills!N23=TRUE,(Skills!L23/10)*(E956/1000),Skills!L23/10)+Skills!O23</f>
        <v/>
      </c>
      <c r="G956">
        <f>Skills!G23*IF(Skills!H23&gt;0,Skills!I23/Skills!H23,1)</f>
        <v/>
      </c>
      <c r="H956">
        <f>1-(1-Skills!J23/100)^Skills!K23</f>
        <v/>
      </c>
      <c r="I956" t="inlineStr">
        <is>
          <t>1</t>
        </is>
      </c>
      <c r="J956" t="inlineStr"/>
      <c r="K956" t="inlineStr"/>
      <c r="L956" t="inlineStr"/>
      <c r="M956" t="inlineStr"/>
      <c r="N956" t="inlineStr"/>
      <c r="O956">
        <f>(1-Summary!$B$55)*T956+Summary!$B$55*V956</f>
        <v/>
      </c>
      <c r="P956">
        <f>IF(B975=0,0,O956/B975)</f>
        <v/>
      </c>
      <c r="Q956" t="n">
        <v>0</v>
      </c>
      <c r="R956" t="n">
        <v>0</v>
      </c>
      <c r="S956" t="n">
        <v>0</v>
      </c>
      <c r="T956" t="n">
        <v>0</v>
      </c>
      <c r="V956" t="n">
        <v>0</v>
      </c>
    </row>
    <row r="957">
      <c r="A957">
        <f>Skills!A24</f>
        <v/>
      </c>
      <c r="B957">
        <f>Skills!B24</f>
        <v/>
      </c>
      <c r="C957">
        <f>Inputs!$B$3&gt;=75</f>
        <v/>
      </c>
      <c r="D957">
        <f>IF(Skills!C24=1,60+Inputs!$B$25+(Inputs!$B$29+1),IF(Skills!C24=2,90+Inputs!$B$26+(Inputs!$B$29+1),IF(Skills!C24=3,120+Inputs!$B$27+(Inputs!$B$29+1),MAX(0,(Inputs!$B$3-100)*3)+Inputs!$B$28+(Inputs!$B$29+1))))</f>
        <v/>
      </c>
      <c r="E957">
        <f>INDEX(FactorTable!$B$2:$Y$301, MATCH(ROUND(MIN(300,MAX(1,D957)),0), FactorTable!$A$2:$A$301,0), Skills!M24+1)</f>
        <v/>
      </c>
      <c r="F957">
        <f>IF(Skills!N24=TRUE,(Skills!L24/10)*(E957/1000),Skills!L24/10)+Skills!O24</f>
        <v/>
      </c>
      <c r="G957">
        <f>Skills!G24*IF(Skills!H24&gt;0,Skills!I24/Skills!H24,1)</f>
        <v/>
      </c>
      <c r="H957">
        <f>1-(1-Skills!J24/100)^Skills!K24</f>
        <v/>
      </c>
      <c r="I957" t="inlineStr">
        <is>
          <t>1</t>
        </is>
      </c>
      <c r="J957" t="inlineStr"/>
      <c r="K957" t="inlineStr"/>
      <c r="L957" t="inlineStr"/>
      <c r="M957" t="inlineStr"/>
      <c r="N957" t="inlineStr"/>
      <c r="O957">
        <f>(1-Summary!$B$55)*T957+Summary!$B$55*V957</f>
        <v/>
      </c>
      <c r="P957">
        <f>IF(B975=0,0,O957/B975)</f>
        <v/>
      </c>
      <c r="Q957" t="n">
        <v>0</v>
      </c>
      <c r="R957" t="n">
        <v>0</v>
      </c>
      <c r="S957" t="n">
        <v>0</v>
      </c>
      <c r="T957" t="n">
        <v>0</v>
      </c>
      <c r="V957" t="n">
        <v>0</v>
      </c>
    </row>
    <row r="958">
      <c r="A958">
        <f>Skills!A25</f>
        <v/>
      </c>
      <c r="B958">
        <f>Skills!B25</f>
        <v/>
      </c>
      <c r="C958">
        <f>Inputs!$B$3&gt;=125</f>
        <v/>
      </c>
      <c r="D958">
        <f>IF(Skills!C25=1,60+Inputs!$B$25+(Inputs!$B$29+1),IF(Skills!C25=2,90+Inputs!$B$26+(Inputs!$B$29+1),IF(Skills!C25=3,120+Inputs!$B$27+(Inputs!$B$29+1),MAX(0,(Inputs!$B$3-100)*3)+Inputs!$B$28+(Inputs!$B$29+1))))</f>
        <v/>
      </c>
      <c r="E958">
        <f>INDEX(FactorTable!$B$2:$Y$301, MATCH(ROUND(MIN(300,MAX(1,D958)),0), FactorTable!$A$2:$A$301,0), Skills!M25+1)</f>
        <v/>
      </c>
      <c r="F958">
        <f>IF(Skills!N25=TRUE,(Skills!L25/10)*(E958/1000),Skills!L25/10)+Skills!O25</f>
        <v/>
      </c>
      <c r="G958">
        <f>Skills!G25*IF(Skills!H25&gt;0,Skills!I25/Skills!H25,1)</f>
        <v/>
      </c>
      <c r="H958">
        <f>1-(1-Skills!J25/100)^Skills!K25</f>
        <v/>
      </c>
      <c r="I958" t="inlineStr">
        <is>
          <t>1</t>
        </is>
      </c>
      <c r="J958" t="inlineStr"/>
      <c r="K958" t="inlineStr"/>
      <c r="L958" t="inlineStr"/>
      <c r="M958" t="inlineStr"/>
      <c r="N958" t="inlineStr"/>
      <c r="O958">
        <f>(1-Summary!$B$55)*T958+Summary!$B$55*V958</f>
        <v/>
      </c>
      <c r="P958">
        <f>IF(B975=0,0,O958/B975)</f>
        <v/>
      </c>
      <c r="Q958" t="n">
        <v>0</v>
      </c>
      <c r="R958" t="n">
        <v>0</v>
      </c>
      <c r="S958" t="n">
        <v>0</v>
      </c>
      <c r="T958" t="n">
        <v>0</v>
      </c>
      <c r="V958" t="n">
        <v>0</v>
      </c>
    </row>
    <row r="959">
      <c r="A959">
        <f>Skills!A26</f>
        <v/>
      </c>
      <c r="B959">
        <f>Skills!B26</f>
        <v/>
      </c>
      <c r="C959">
        <f>Inputs!$B$3&gt;=125</f>
        <v/>
      </c>
      <c r="D959">
        <f>IF(Skills!C26=1,60+Inputs!$B$25+(Inputs!$B$29+1),IF(Skills!C26=2,90+Inputs!$B$26+(Inputs!$B$29+1),IF(Skills!C26=3,120+Inputs!$B$27+(Inputs!$B$29+1),MAX(0,(Inputs!$B$3-100)*3)+Inputs!$B$28+(Inputs!$B$29+1))))</f>
        <v/>
      </c>
      <c r="E959">
        <f>INDEX(FactorTable!$B$2:$Y$301, MATCH(ROUND(MIN(300,MAX(1,D959)),0), FactorTable!$A$2:$A$301,0), Skills!M26+1)</f>
        <v/>
      </c>
      <c r="F959">
        <f>IF(Skills!N26=TRUE,(Skills!L26/10)*(E959/1000),Skills!L26/10)+Skills!O26</f>
        <v/>
      </c>
      <c r="G959">
        <f>Skills!G26*IF(Skills!H26&gt;0,Skills!I26/Skills!H26,1)</f>
        <v/>
      </c>
      <c r="H959">
        <f>1-(1-Skills!J26/100)^Skills!K26</f>
        <v/>
      </c>
      <c r="I959" t="inlineStr">
        <is>
          <t>1</t>
        </is>
      </c>
      <c r="J959" t="inlineStr"/>
      <c r="K959" t="inlineStr"/>
      <c r="L959" t="inlineStr"/>
      <c r="M959" t="inlineStr"/>
      <c r="N959" t="inlineStr"/>
      <c r="O959">
        <f>(1-Summary!$B$55)*T959+Summary!$B$55*V959</f>
        <v/>
      </c>
      <c r="P959">
        <f>IF(B975=0,0,O959/B975)</f>
        <v/>
      </c>
      <c r="Q959" t="n">
        <v>0</v>
      </c>
      <c r="R959" t="n">
        <v>0</v>
      </c>
      <c r="S959" t="n">
        <v>0</v>
      </c>
      <c r="T959" t="n">
        <v>0</v>
      </c>
      <c r="V959" t="n">
        <v>0</v>
      </c>
    </row>
    <row r="960">
      <c r="A960">
        <f>Skills!A27</f>
        <v/>
      </c>
      <c r="B960">
        <f>Skills!B27</f>
        <v/>
      </c>
      <c r="C960">
        <f>Inputs!$B$3&gt;=120</f>
        <v/>
      </c>
      <c r="D960">
        <f>IF(Skills!C27=1,60+Inputs!$B$25+(Inputs!$B$29+1),IF(Skills!C27=2,90+Inputs!$B$26+(Inputs!$B$29+1),IF(Skills!C27=3,120+Inputs!$B$27+(Inputs!$B$29+1),MAX(0,(Inputs!$B$3-100)*3)+Inputs!$B$28+(Inputs!$B$29+1))))</f>
        <v/>
      </c>
      <c r="E960">
        <f>INDEX(FactorTable!$B$2:$Y$301, MATCH(ROUND(MIN(300,MAX(1,D960)),0), FactorTable!$A$2:$A$301,0), Skills!M27+1)</f>
        <v/>
      </c>
      <c r="F960">
        <f>IF(Skills!N27=TRUE,(Skills!L27/10)*(E960/1000),Skills!L27/10)+Skills!O27</f>
        <v/>
      </c>
      <c r="G960">
        <f>Skills!G27*IF(Skills!H27&gt;0,Skills!I27/Skills!H27,1)</f>
        <v/>
      </c>
      <c r="H960">
        <f>1-(1-Skills!J27/100)^Skills!K27</f>
        <v/>
      </c>
      <c r="I960" t="inlineStr">
        <is>
          <t>1</t>
        </is>
      </c>
      <c r="J960" t="inlineStr"/>
      <c r="K960" t="inlineStr"/>
      <c r="L960" t="inlineStr"/>
      <c r="M960" t="inlineStr"/>
      <c r="N960" t="inlineStr"/>
      <c r="O960">
        <f>(1-Summary!$B$55)*T960+Summary!$B$55*V960</f>
        <v/>
      </c>
      <c r="P960">
        <f>IF(B975=0,0,O960/B975)</f>
        <v/>
      </c>
      <c r="Q960" t="n">
        <v>0</v>
      </c>
      <c r="R960" t="n">
        <v>0</v>
      </c>
      <c r="S960" t="n">
        <v>0</v>
      </c>
      <c r="T960" t="n">
        <v>0</v>
      </c>
      <c r="V960" t="n">
        <v>0</v>
      </c>
    </row>
    <row r="961">
      <c r="A961">
        <f>Skills!A28</f>
        <v/>
      </c>
      <c r="B961">
        <f>Skills!B28</f>
        <v/>
      </c>
      <c r="C961">
        <f>Inputs!$B$3&gt;=120</f>
        <v/>
      </c>
      <c r="D961">
        <f>IF(Skills!C28=1,60+Inputs!$B$25+(Inputs!$B$29+1),IF(Skills!C28=2,90+Inputs!$B$26+(Inputs!$B$29+1),IF(Skills!C28=3,120+Inputs!$B$27+(Inputs!$B$29+1),MAX(0,(Inputs!$B$3-100)*3)+Inputs!$B$28+(Inputs!$B$29+1))))</f>
        <v/>
      </c>
      <c r="E961">
        <f>INDEX(FactorTable!$B$2:$Y$301, MATCH(ROUND(MIN(300,MAX(1,D961)),0), FactorTable!$A$2:$A$301,0), Skills!M28+1)</f>
        <v/>
      </c>
      <c r="F961">
        <f>IF(Skills!N28=TRUE,(Skills!L28/10)*(E961/1000),Skills!L28/10)+Skills!O28</f>
        <v/>
      </c>
      <c r="G961">
        <f>Skills!G28*IF(Skills!H28&gt;0,Skills!I28/Skills!H28,1)</f>
        <v/>
      </c>
      <c r="H961">
        <f>1-(1-Skills!J28/100)^Skills!K28</f>
        <v/>
      </c>
      <c r="I961" t="inlineStr">
        <is>
          <t>1</t>
        </is>
      </c>
      <c r="J961" t="inlineStr"/>
      <c r="K961" t="inlineStr"/>
      <c r="L961" t="inlineStr"/>
      <c r="M961" t="inlineStr"/>
      <c r="N961" t="inlineStr"/>
      <c r="O961">
        <f>(1-Summary!$B$55)*T961+Summary!$B$55*V961</f>
        <v/>
      </c>
      <c r="P961">
        <f>IF(B975=0,0,O961/B975)</f>
        <v/>
      </c>
      <c r="Q961" t="n">
        <v>0</v>
      </c>
      <c r="R961" t="n">
        <v>0</v>
      </c>
      <c r="S961" t="n">
        <v>0</v>
      </c>
      <c r="T961" t="n">
        <v>0</v>
      </c>
      <c r="V961" t="n">
        <v>0</v>
      </c>
    </row>
    <row r="962">
      <c r="A962">
        <f>Skills!A29</f>
        <v/>
      </c>
      <c r="B962">
        <f>Skills!B29</f>
        <v/>
      </c>
      <c r="C962">
        <f>Inputs!$B$3&gt;=45</f>
        <v/>
      </c>
      <c r="D962">
        <f>IF(Skills!C29=1,60+Inputs!$B$25+(Inputs!$B$29+1),IF(Skills!C29=2,90+Inputs!$B$26+(Inputs!$B$29+1),IF(Skills!C29=3,120+Inputs!$B$27+(Inputs!$B$29+1),MAX(0,(Inputs!$B$3-100)*3)+Inputs!$B$28+(Inputs!$B$29+1))))</f>
        <v/>
      </c>
      <c r="E962">
        <f>INDEX(FactorTable!$B$2:$Y$301, MATCH(ROUND(MIN(300,MAX(1,D962)),0), FactorTable!$A$2:$A$301,0), Skills!M29+1)</f>
        <v/>
      </c>
      <c r="F962">
        <f>IF(Skills!N29=TRUE,(Skills!L29/10)*(E962/1000),Skills!L29/10)+Skills!O29</f>
        <v/>
      </c>
      <c r="G962">
        <f>Skills!G29*IF(Skills!H29&gt;0,Skills!I29/Skills!H29,1)</f>
        <v/>
      </c>
      <c r="H962">
        <f>1-(1-Skills!J29/100)^Skills!K29</f>
        <v/>
      </c>
      <c r="I962" t="inlineStr">
        <is>
          <t>1</t>
        </is>
      </c>
      <c r="J962" t="inlineStr"/>
      <c r="K962" t="inlineStr"/>
      <c r="L962" t="inlineStr"/>
      <c r="M962" t="inlineStr"/>
      <c r="N962" t="inlineStr"/>
      <c r="O962">
        <f>(1-Summary!$B$55)*T962+Summary!$B$55*V962</f>
        <v/>
      </c>
      <c r="P962">
        <f>IF(B975=0,0,O962/B975)</f>
        <v/>
      </c>
      <c r="Q962" t="n">
        <v>0</v>
      </c>
      <c r="R962" t="n">
        <v>0</v>
      </c>
      <c r="S962" t="n">
        <v>0</v>
      </c>
      <c r="T962" t="n">
        <v>0</v>
      </c>
      <c r="V962" t="n">
        <v>0</v>
      </c>
    </row>
    <row r="964">
      <c r="A964" t="inlineStr">
        <is>
          <t>Attack% Bucket Multiplier</t>
        </is>
      </c>
      <c r="B964">
        <f>(1+(((C946=TRUE)*F946)+((C947=TRUE)*IF(Inputs!$B$38="pvp",F947,(1-Summary!$B$55)*(F947)+Summary!$B$55*(0)))+((C948=TRUE)*F948*IF(AND(Inputs!$B$38&lt;&gt;"pvp",Inputs!$B$43&gt;0),(((R948-1)*(Skills!T15*(1+Inputs!$B$34/100))+MIN((Skills!T15*(1+Inputs!$B$34/100)),MAX(0,Inputs!$B$43-((R948-1)*Skills!D15))))/Inputs!$B$43),IF(Inputs!$B$38="pvp",MIN((Skills!T15*(1+Inputs!$B$34/100)),15)/15,(Skills!T15*(1+Inputs!$B$34/100))/Skills!D15)))+((C945=TRUE)*F945)+((C962=TRUE)*(F962-Calc!F29)))/100)</f>
        <v/>
      </c>
    </row>
    <row r="965">
      <c r="A965" t="inlineStr">
        <is>
          <t>Global Crit Rate Bonus %</t>
        </is>
      </c>
      <c r="B965">
        <f>(C949=TRUE)*20*IF(AND(Inputs!$B$38&lt;&gt;"pvp",Inputs!$B$43&gt;0),(((R949-1)*(Skills!T16*(1+Inputs!$B$34/100))+MIN((Skills!T16*(1+Inputs!$B$34/100)),MAX(0,Inputs!$B$43-((R949-1)*Skills!D16))))/Inputs!$B$43),IF(Inputs!$B$38="pvp",MIN((Skills!T16*(1+Inputs!$B$34/100)),15)/15,(Skills!T16*(1+Inputs!$B$34/100))/Skills!D16))</f>
        <v/>
      </c>
    </row>
    <row r="966">
      <c r="A966" t="inlineStr">
        <is>
          <t>Attack Speed Buff Bonus %</t>
        </is>
      </c>
      <c r="B966">
        <f>((C951=TRUE)*F951*IF(AND(Inputs!$B$38&lt;&gt;"pvp",Inputs!$B$43&gt;0),(((R951-1)*(Skills!T18*(1+Inputs!$B$34/100))+MIN((Skills!T18*(1+Inputs!$B$34/100)),MAX(0,Inputs!$B$43-((R951-1)*Skills!D18))))/Inputs!$B$43),IF(Inputs!$B$38="pvp",MIN((Skills!T18*(1+Inputs!$B$34/100)),15)/15,(Skills!T18*(1+Inputs!$B$34/100))/Skills!D18)))</f>
        <v/>
      </c>
    </row>
    <row r="967">
      <c r="A967" t="inlineStr">
        <is>
          <t>Actions Per Second</t>
        </is>
      </c>
      <c r="B967">
        <f>1+MIN(150,150*(1-(1-(Inputs!$B$11+((C953=TRUE)*(F953-Calc!F20))+((C954=TRUE)*(F954-Calc!F21)))/150)*(1-B966/150)))/100</f>
        <v/>
      </c>
    </row>
    <row r="968">
      <c r="A968" t="inlineStr">
        <is>
          <t>Skill + Buff Cast Rate</t>
        </is>
      </c>
      <c r="B968">
        <f>IF(AND(Inputs!$B$38&lt;&gt;"pvp",Inputs!$B$43&gt;0),SUMPRODUCT((Skills!E2:E29=TRUE)*(C935:C962=TRUE)*R935:R962*Skills!F2:F29)/Inputs!$B$43,SUMPRODUCT((Skills!E2:E29=TRUE)*(C935:C962=TRUE)*Q935:Q962*Skills!F2:F29))</f>
        <v/>
      </c>
    </row>
    <row r="969">
      <c r="A969" t="inlineStr">
        <is>
          <t>Empowered Piercing Arrow Casts Per Second</t>
        </is>
      </c>
      <c r="B969">
        <f>MAX(0,B967-B968)</f>
        <v/>
      </c>
    </row>
    <row r="970">
      <c r="A970" t="inlineStr">
        <is>
          <t>Global Critical Damage Bonus % (Sharp Eyes)</t>
        </is>
      </c>
      <c r="B970">
        <f>(C949=TRUE)*F949*IF(AND(Inputs!$B$38&lt;&gt;"pvp",Inputs!$B$43&gt;0),(((R949-1)*(Skills!T16*(1+Inputs!$B$34/100))+MIN((Skills!T16*(1+Inputs!$B$34/100)),MAX(0,Inputs!$B$43-((R949-1)*Skills!D16))))/Inputs!$B$43),IF(Inputs!$B$38="pvp",MIN((Skills!T16*(1+Inputs!$B$34/100)),15)/15,(Skills!T16*(1+Inputs!$B$34/100))/Skills!D16))</f>
        <v/>
      </c>
    </row>
    <row r="971">
      <c r="A971" t="inlineStr">
        <is>
          <t>Global Final Damage Bonus % (Mortal Blow + Last Man Standing conditional half)</t>
        </is>
      </c>
      <c r="B971">
        <f>(C950=TRUE)*F950+((C959=TRUE)*IF(Inputs!$B$38="pvp",F959,(1-Summary!$B$55)*(F959)+Summary!$B$55*(0)))</f>
        <v/>
      </c>
    </row>
    <row r="972">
      <c r="A972" t="inlineStr">
        <is>
          <t>Buff-Casting Startup Delay (s, fixed-duration only)</t>
        </is>
      </c>
      <c r="B972">
        <f>IF(AND(Inputs!$B$38&lt;&gt;"pvp",Inputs!$B$43&gt;0),SUMPRODUCT((Skills!T2:T29&gt;0)*(Skills!E2:E29=TRUE)*(C935:C962=TRUE))/B967,0)</f>
        <v/>
      </c>
    </row>
    <row r="973">
      <c r="A973" t="inlineStr">
        <is>
          <t>Boss-Only Total DPS (this block's swept value)</t>
        </is>
      </c>
      <c r="B973">
        <f>SUM(T935:T962)</f>
        <v/>
      </c>
    </row>
    <row r="974">
      <c r="A974" t="inlineStr">
        <is>
          <t>Normal-Only Total DPS (this block's swept value)</t>
        </is>
      </c>
      <c r="B974">
        <f>SUM(V935:V962)</f>
        <v/>
      </c>
    </row>
    <row r="975">
      <c r="A975" s="5" t="inlineStr">
        <is>
          <t>TOTAL DPS</t>
        </is>
      </c>
      <c r="B975" s="5">
        <f>SUM(O935:O962)</f>
        <v/>
      </c>
    </row>
    <row r="978">
      <c r="A978" s="5" t="inlineStr">
        <is>
          <t>Stat: Flat ATTACK</t>
        </is>
      </c>
    </row>
    <row r="979">
      <c r="A979" s="9" t="inlineStr">
        <is>
          <t>Key</t>
        </is>
      </c>
      <c r="B979" s="9" t="inlineStr">
        <is>
          <t>Name</t>
        </is>
      </c>
      <c r="C979" s="9" t="inlineStr">
        <is>
          <t>Unlocked</t>
        </is>
      </c>
      <c r="D979" s="9" t="inlineStr">
        <is>
          <t>InputLevel</t>
        </is>
      </c>
      <c r="E979" s="9" t="inlineStr">
        <is>
          <t>Factor</t>
        </is>
      </c>
      <c r="F979" s="9" t="inlineStr">
        <is>
          <t>CoefficientPercent</t>
        </is>
      </c>
      <c r="G979" s="9" t="inlineStr">
        <is>
          <t>EffectiveHits</t>
        </is>
      </c>
      <c r="H979" s="9" t="inlineStr">
        <is>
          <t>ProcProbability</t>
        </is>
      </c>
      <c r="I979" s="9" t="inlineStr">
        <is>
          <t>MapleHeroMultiplier</t>
        </is>
      </c>
      <c r="J979" s="9" t="inlineStr">
        <is>
          <t>BaseDamage</t>
        </is>
      </c>
      <c r="K979" s="9" t="inlineStr">
        <is>
          <t>BaseHitDamage</t>
        </is>
      </c>
      <c r="L979" s="9" t="inlineStr">
        <is>
          <t>NonCritAvg</t>
        </is>
      </c>
      <c r="M979" s="9" t="inlineStr">
        <is>
          <t>CritAvg</t>
        </is>
      </c>
      <c r="N979" s="9" t="inlineStr">
        <is>
          <t>ExpectedDamage(perHit)</t>
        </is>
      </c>
      <c r="O979" s="9" t="inlineStr">
        <is>
          <t>DPS</t>
        </is>
      </c>
      <c r="P979" s="9" t="inlineStr">
        <is>
          <t>% of Total</t>
        </is>
      </c>
      <c r="Q979" s="9" t="inlineStr">
        <is>
          <t>InvCooldown</t>
        </is>
      </c>
      <c r="R979" s="9" t="inlineStr">
        <is>
          <t>CastsInFight</t>
        </is>
      </c>
      <c r="S979" s="9" t="inlineStr">
        <is>
          <t>HitRate(perSec)</t>
        </is>
      </c>
      <c r="U979" t="inlineStr">
        <is>
          <t>helpers</t>
        </is>
      </c>
    </row>
    <row r="980">
      <c r="A980">
        <f>Skills!A2</f>
        <v/>
      </c>
      <c r="B980">
        <f>Skills!B2</f>
        <v/>
      </c>
      <c r="C980">
        <f>Inputs!$B$3&gt;=100</f>
        <v/>
      </c>
      <c r="D980" t="inlineStr"/>
      <c r="E980" t="inlineStr"/>
      <c r="F980">
        <f>U982+Skills!O2</f>
        <v/>
      </c>
      <c r="G980">
        <f>Skills!G2*IF(Skills!H2&gt;0,Skills!I2/Skills!H2,1)</f>
        <v/>
      </c>
      <c r="H980">
        <f>1-(1-Skills!J2/100)^Skills!K2</f>
        <v/>
      </c>
      <c r="I980" t="inlineStr">
        <is>
          <t>1</t>
        </is>
      </c>
      <c r="J980">
        <f>(((Inputs!$B$6+1)*(1+Inputs!$B$7/100))+(((Inputs!$B$12*(1+Inputs!$B$13/100))-(Inputs!$B$12*(1+Inputs!$B$13/100)))+0.25*(Inputs!$B$14-Inputs!$B$14))*(1+Inputs!$B$7/100))*(F980/100)</f>
        <v/>
      </c>
      <c r="K980">
        <f>J980*(1+((Inputs!$B$12*(1+Inputs!$B$13/100))*0.01+Inputs!$B$14*0.0025)/100)*(1+Inputs!$B$15/100)*(1+Inputs!$B$16/100)*(5000/(6000+Inputs!$B$42*(1-(Inputs!$B$19+0)/100)))*(1+(Inputs!$B$24+((C1002=TRUE)*(F1002-Calc!F24))+((C1003=TRUE)*(F1003-Calc!F25))+B1016)/100)*(1+(IF(Skills!A2="EMPOWERED_PIERCING_ARROW",Inputs!$B$17+((C1000=TRUE)*(F1000-Calc!F22)),Inputs!$B$18+((C1005=TRUE)*(F1005-Calc!F27))))/100)*((1+(((C991=TRUE)*F991)+((C992=TRUE)*IF(Inputs!$B$38="pvp",F992,(1-Summary!$B$55)*(F992)+Summary!$B$55*(0)))+((C993=TRUE)*F993*IF(AND(Inputs!$B$38&lt;&gt;"pvp",Inputs!$B$43&gt;0),(((R993-1)*(Skills!T15*(1+Inputs!$B$34/100))+MIN((Skills!T15*(1+Inputs!$B$34/100)),MAX(0,Inputs!$B$43-((R993-1)*Skills!D15))))/Inputs!$B$43),IF(Inputs!$B$38="pvp",MIN((Skills!T15*(1+Inputs!$B$34/100)),15)/15,(Skills!T15*(1+Inputs!$B$34/100))/Skills!D15)))+((C990=TRUE)*F990)+((C1007=TRUE)*(F1007-Calc!F29)))/100)*I980)</f>
        <v/>
      </c>
      <c r="L980">
        <f>K980*(MIN(Inputs!$B$22+((C1001=TRUE)*(F1001-Calc!F23)),Inputs!$B$23+((C1006=TRUE)*(F1006-Calc!F28)))/100+(Inputs!$B$23+((C1006=TRUE)*(F1006-Calc!F28)))/100)/2</f>
        <v/>
      </c>
      <c r="M980">
        <f>L980*(1+(Inputs!$B$10+0+B1015)/100)</f>
        <v/>
      </c>
      <c r="N980">
        <f>L980*(1-MIN((Inputs!$B$9+((C997=TRUE)*(F997-Calc!F19))+B1010),100)/100)+M980*(MIN((Inputs!$B$9+((C997=TRUE)*(F997-Calc!F19))+B1010),100)/100)</f>
        <v/>
      </c>
      <c r="O980">
        <f>(1-Summary!$B$55)*T980+Summary!$B$55*V980</f>
        <v/>
      </c>
      <c r="P980">
        <f>IF(B1020=0,0,O980/B1020)</f>
        <v/>
      </c>
      <c r="Q980" t="n">
        <v>0</v>
      </c>
      <c r="R980" t="n">
        <v>0</v>
      </c>
      <c r="S980">
        <f>IFERROR((Skills!G2*N980*B1014)/N980*IF(Inputs!$B$38="pvp",1,(1-Summary!$B$55)*1+Summary!$B$55*(MIN((6+Inputs!$B$33),Inputs!$B$37))),0)</f>
        <v/>
      </c>
      <c r="T980">
        <f>IF(C980,(Skills!G2*N980*B1014)*IF(Inputs!$B$38="pvp",1,1+(Inputs!$B$20+0+Skills!P2)/100),0)</f>
        <v/>
      </c>
      <c r="U980">
        <f>MAX(0,(Inputs!$B$3-100)*3)+Inputs!$B$28+Inputs!$B$29</f>
        <v/>
      </c>
      <c r="V980">
        <f>IF(C980,(Skills!G2*N980*B1014)*IF(Inputs!$B$38="pvp",1,(1+(Inputs!$B$21+Skills!Q2)/100)*(MIN((6+Inputs!$B$33),Inputs!$B$37))),0)</f>
        <v/>
      </c>
    </row>
    <row r="981">
      <c r="A981">
        <f>Skills!A3</f>
        <v/>
      </c>
      <c r="B981">
        <f>Skills!B3</f>
        <v/>
      </c>
      <c r="C981">
        <f>Inputs!$B$3&gt;=50</f>
        <v/>
      </c>
      <c r="D981">
        <f>IF(Skills!C3=1,60+Inputs!$B$25+Inputs!$B$29,IF(Skills!C3=2,90+Inputs!$B$26+Inputs!$B$29,IF(Skills!C3=3,120+Inputs!$B$27+Inputs!$B$29,MAX(0,(Inputs!$B$3-100)*3)+Inputs!$B$28+Inputs!$B$29)))</f>
        <v/>
      </c>
      <c r="E981">
        <f>INDEX(FactorTable!$B$2:$Y$301, MATCH(ROUND(MIN(300,MAX(1,D981)),0), FactorTable!$A$2:$A$301,0), Skills!M3+1)</f>
        <v/>
      </c>
      <c r="F981">
        <f>IF(Skills!N3=TRUE,(Skills!L3/10)*(E981/1000),Skills!L3/10)+Skills!O3</f>
        <v/>
      </c>
      <c r="G981" t="inlineStr"/>
      <c r="H981" t="inlineStr"/>
      <c r="I981" t="inlineStr">
        <is>
          <t>1</t>
        </is>
      </c>
      <c r="J981" t="inlineStr"/>
      <c r="K981" t="inlineStr"/>
      <c r="L981" t="inlineStr"/>
      <c r="M981" t="inlineStr"/>
      <c r="N981" t="inlineStr"/>
      <c r="O981" t="inlineStr"/>
      <c r="P981" t="inlineStr"/>
      <c r="Q981" t="inlineStr"/>
      <c r="R981" t="inlineStr"/>
      <c r="S981" t="inlineStr"/>
      <c r="T981" t="inlineStr"/>
      <c r="U981">
        <f>INDEX(FactorTable!$B$2:$Y$301, MATCH(ROUND(MIN(300,MAX(1,U980)),0), FactorTable!$A$2:$A$301,0), 22)</f>
        <v/>
      </c>
      <c r="V981" t="inlineStr"/>
    </row>
    <row r="982">
      <c r="A982">
        <f>Skills!A4</f>
        <v/>
      </c>
      <c r="B982">
        <f>Skills!B4</f>
        <v/>
      </c>
      <c r="C982">
        <f>Inputs!$B$3&gt;=105</f>
        <v/>
      </c>
      <c r="D982">
        <f>IF(Skills!C4=1,60+Inputs!$B$25+Inputs!$B$29,IF(Skills!C4=2,90+Inputs!$B$26+Inputs!$B$29,IF(Skills!C4=3,120+Inputs!$B$27+Inputs!$B$29,MAX(0,(Inputs!$B$3-100)*3)+Inputs!$B$28+Inputs!$B$29)))</f>
        <v/>
      </c>
      <c r="E982">
        <f>INDEX(FactorTable!$B$2:$Y$301, MATCH(ROUND(MIN(300,MAX(1,D982)),0), FactorTable!$A$2:$A$301,0), Skills!M4+1)</f>
        <v/>
      </c>
      <c r="F982">
        <f>IF(Skills!N4=TRUE,(Skills!L4/10)*(E982/1000),Skills!L4/10)+Skills!O4</f>
        <v/>
      </c>
      <c r="G982" t="inlineStr"/>
      <c r="H982" t="inlineStr"/>
      <c r="I982" t="inlineStr">
        <is>
          <t>1</t>
        </is>
      </c>
      <c r="J982" t="inlineStr"/>
      <c r="K982" t="inlineStr"/>
      <c r="L982" t="inlineStr"/>
      <c r="M982" t="inlineStr"/>
      <c r="N982" t="inlineStr"/>
      <c r="O982" t="inlineStr"/>
      <c r="P982" t="inlineStr"/>
      <c r="Q982" t="inlineStr"/>
      <c r="R982" t="inlineStr"/>
      <c r="S982" t="inlineStr"/>
      <c r="T982" t="inlineStr"/>
      <c r="U982">
        <f>290*U981/1000</f>
        <v/>
      </c>
      <c r="V982" t="inlineStr"/>
    </row>
    <row r="983">
      <c r="A983">
        <f>Skills!A5</f>
        <v/>
      </c>
      <c r="B983">
        <f>Skills!B5</f>
        <v/>
      </c>
      <c r="C983">
        <f>Inputs!$B$3&gt;=35</f>
        <v/>
      </c>
      <c r="D983">
        <f>IF(Skills!C5=1,60+Inputs!$B$25+Inputs!$B$29,IF(Skills!C5=2,90+Inputs!$B$26+Inputs!$B$29,IF(Skills!C5=3,120+Inputs!$B$27+Inputs!$B$29,MAX(0,(Inputs!$B$3-100)*3)+Inputs!$B$28+Inputs!$B$29)))</f>
        <v/>
      </c>
      <c r="E983">
        <f>INDEX(FactorTable!$B$2:$Y$301, MATCH(ROUND(MIN(300,MAX(1,D983)),0), FactorTable!$A$2:$A$301,0), Skills!M5+1)</f>
        <v/>
      </c>
      <c r="F983">
        <f>IF(Skills!N5=TRUE,(Skills!L5/10)*(E983/1000),Skills!L5/10)+Skills!O5</f>
        <v/>
      </c>
      <c r="G983">
        <f>Skills!G5*IF(Skills!H5&gt;0,Skills!I5/Skills!H5,1)</f>
        <v/>
      </c>
      <c r="H983">
        <f>1-(1-Skills!J5/100)^Skills!K5</f>
        <v/>
      </c>
      <c r="I983" t="inlineStr">
        <is>
          <t>1</t>
        </is>
      </c>
      <c r="J983">
        <f>(((Inputs!$B$6+1)*(1+Inputs!$B$7/100))+(((Inputs!$B$12*(1+Inputs!$B$13/100))-(Inputs!$B$12*(1+Inputs!$B$13/100)))+0.25*(Inputs!$B$14-Inputs!$B$14))*(1+Inputs!$B$7/100))*(F983/100)</f>
        <v/>
      </c>
      <c r="K983">
        <f>J983*(1+((Inputs!$B$12*(1+Inputs!$B$13/100))*0.01+Inputs!$B$14*0.0025)/100)*(1+Inputs!$B$15/100)*(1+Inputs!$B$16/100)*(5000/(6000+Inputs!$B$42*(1-(Inputs!$B$19+0)/100)))*(1+(Inputs!$B$24+((C1002=TRUE)*(F1002-Calc!F24))+((C1003=TRUE)*(F1003-Calc!F25))+B1016)/100)*(1+4.0*IF(C986=TRUE,F986,0)/100)*(1+(IF(Skills!A5="EMPOWERED_PIERCING_ARROW",Inputs!$B$17+((C1000=TRUE)*(F1000-Calc!F22)),Inputs!$B$18+((C1005=TRUE)*(F1005-Calc!F27))))/100)*((1+(((C991=TRUE)*F991)+((C992=TRUE)*IF(Inputs!$B$38="pvp",F992,(1-Summary!$B$55)*(F992)+Summary!$B$55*(0)))+((C993=TRUE)*F993*IF(AND(Inputs!$B$38&lt;&gt;"pvp",Inputs!$B$43&gt;0),(((R993-1)*(Skills!T15*(1+Inputs!$B$34/100))+MIN((Skills!T15*(1+Inputs!$B$34/100)),MAX(0,Inputs!$B$43-((R993-1)*Skills!D15))))/Inputs!$B$43),IF(Inputs!$B$38="pvp",MIN((Skills!T15*(1+Inputs!$B$34/100)),15)/15,(Skills!T15*(1+Inputs!$B$34/100))/Skills!D15)))+((C990=TRUE)*F990)+((C1007=TRUE)*(F1007-Calc!F29)))/100)*I983)</f>
        <v/>
      </c>
      <c r="L983">
        <f>K983*(MIN(Inputs!$B$22+((C1001=TRUE)*(F1001-Calc!F23)),Inputs!$B$23+((C1006=TRUE)*(F1006-Calc!F28)))/100+(Inputs!$B$23+((C1006=TRUE)*(F1006-Calc!F28)))/100)/2</f>
        <v/>
      </c>
      <c r="M983">
        <f>L983*(1+(Inputs!$B$10+0+B1015)/100)</f>
        <v/>
      </c>
      <c r="N983">
        <f>L983*(1-MIN((Inputs!$B$9+((C997=TRUE)*(F997-Calc!F19))+B1010),100)/100)+M983*(MIN((Inputs!$B$9+((C997=TRUE)*(F997-Calc!F19))+B1010),100)/100)</f>
        <v/>
      </c>
      <c r="O983">
        <f>(1-Summary!$B$55)*T983+Summary!$B$55*V983</f>
        <v/>
      </c>
      <c r="P983">
        <f>IF(B1020=0,0,O983/B1020)</f>
        <v/>
      </c>
      <c r="Q983">
        <f>IFERROR(1/IF(Inputs!$B$38="pvp",15,MAX(0.1,Skills!D5-IF(Skills!E5=TRUE,Inputs!$B$32,0))),0)</f>
        <v/>
      </c>
      <c r="R983">
        <f>IF(AND(Inputs!$B$38&lt;&gt;"pvp",Inputs!$B$43&gt;0),IF(MAX(0,Inputs!$B$43-B1017)&lt;=0,0,(INT(MAX(0,Inputs!$B$43-B1017)/IF(Inputs!$B$38="pvp",15,MAX(0.1,Skills!D5-IF(Skills!E5=TRUE,Inputs!$B$32,0))))+1)),0)</f>
        <v/>
      </c>
      <c r="S983">
        <f>IFERROR((H983*N983*IF(AND(Inputs!$B$38&lt;&gt;"pvp",Inputs!$B$43&gt;0),((Skills!G5*((R983-1)*IF(Skills!H5&gt;0,Skills!I5/Skills!H5,1)+IF(Skills!H5&gt;0,MIN(Skills!I5,MAX(0,MAX(0,Inputs!$B$43-B1017)-((R983-1)*IF(Inputs!$B$38="pvp",15,MAX(0.1,Skills!D5-IF(Skills!E5=TRUE,Inputs!$B$32,0))))))/Skills!H5,1)))/Inputs!$B$43),G983*Q983))/N983*IF(Inputs!$B$38="pvp",1,(1-Summary!$B$55)*1+Summary!$B$55*(MIN(Skills!R5,Inputs!$B$37))),0)</f>
        <v/>
      </c>
      <c r="T983">
        <f>IF(C983,(H983*N983*IF(AND(Inputs!$B$38&lt;&gt;"pvp",Inputs!$B$43&gt;0),((Skills!G5*((R983-1)*IF(Skills!H5&gt;0,Skills!I5/Skills!H5,1)+IF(Skills!H5&gt;0,MIN(Skills!I5,MAX(0,MAX(0,Inputs!$B$43-B1017)-((R983-1)*IF(Inputs!$B$38="pvp",15,MAX(0.1,Skills!D5-IF(Skills!E5=TRUE,Inputs!$B$32,0))))))/Skills!H5,1)))/Inputs!$B$43),G983*Q983))*IF(Inputs!$B$38="pvp",1,1+(Inputs!$B$20+0+Skills!P5)/100),0)</f>
        <v/>
      </c>
      <c r="V983">
        <f>IF(C983,(H983*N983*IF(AND(Inputs!$B$38&lt;&gt;"pvp",Inputs!$B$43&gt;0),((Skills!G5*((R983-1)*IF(Skills!H5&gt;0,Skills!I5/Skills!H5,1)+IF(Skills!H5&gt;0,MIN(Skills!I5,MAX(0,MAX(0,Inputs!$B$43-B1017)-((R983-1)*IF(Inputs!$B$38="pvp",15,MAX(0.1,Skills!D5-IF(Skills!E5=TRUE,Inputs!$B$32,0))))))/Skills!H5,1)))/Inputs!$B$43),G983*Q983))*IF(Inputs!$B$38="pvp",1,(1+(Inputs!$B$21+Skills!Q5)/100)*(MIN(Skills!R5,Inputs!$B$37))),0)</f>
        <v/>
      </c>
    </row>
    <row r="984">
      <c r="A984">
        <f>Skills!A6</f>
        <v/>
      </c>
      <c r="B984">
        <f>Skills!B6</f>
        <v/>
      </c>
      <c r="C984">
        <f>Inputs!$B$3&gt;=63</f>
        <v/>
      </c>
      <c r="D984">
        <f>IF(Skills!C6=1,60+Inputs!$B$25+Inputs!$B$29,IF(Skills!C6=2,90+Inputs!$B$26+Inputs!$B$29,IF(Skills!C6=3,120+Inputs!$B$27+Inputs!$B$29,MAX(0,(Inputs!$B$3-100)*3)+Inputs!$B$28+Inputs!$B$29)))</f>
        <v/>
      </c>
      <c r="E984">
        <f>INDEX(FactorTable!$B$2:$Y$301, MATCH(ROUND(MIN(300,MAX(1,D984)),0), FactorTable!$A$2:$A$301,0), Skills!M6+1)</f>
        <v/>
      </c>
      <c r="F984">
        <f>IF(Skills!N6=TRUE,(Skills!L6/10)*(E984/1000),Skills!L6/10)+Skills!O6</f>
        <v/>
      </c>
      <c r="G984">
        <f>Skills!G6*IF(Skills!H6&gt;0,Skills!I6/Skills!H6,1)</f>
        <v/>
      </c>
      <c r="H984">
        <f>1-(1-Skills!J6/100)^Skills!K6</f>
        <v/>
      </c>
      <c r="I984" t="inlineStr">
        <is>
          <t>1</t>
        </is>
      </c>
      <c r="J984">
        <f>(((Inputs!$B$6+1)*(1+Inputs!$B$7/100))+(((Inputs!$B$12*(1+Inputs!$B$13/100))-(Inputs!$B$12*(1+Inputs!$B$13/100)))+0.25*(Inputs!$B$14-Inputs!$B$14))*(1+Inputs!$B$7/100))*(F984/100)</f>
        <v/>
      </c>
      <c r="K984">
        <f>J984*(1+((Inputs!$B$12*(1+Inputs!$B$13/100))*0.01+Inputs!$B$14*0.0025)/100)*(1+Inputs!$B$15/100)*(1+Inputs!$B$16/100)*(5000/(6000+Inputs!$B$42*(1-(Inputs!$B$19+0)/100)))*(1+(Inputs!$B$24+((C1002=TRUE)*(F1002-Calc!F24))+((C1003=TRUE)*(F1003-Calc!F25))+B1016)/100)*(1+1.0*IF(C986=TRUE,F986,0)/100)*(1+(IF(Skills!A6="EMPOWERED_PIERCING_ARROW",Inputs!$B$17+((C1000=TRUE)*(F1000-Calc!F22)),Inputs!$B$18+((C1005=TRUE)*(F1005-Calc!F27))))/100)*((1+(((C991=TRUE)*F991)+((C992=TRUE)*IF(Inputs!$B$38="pvp",F992,(1-Summary!$B$55)*(F992)+Summary!$B$55*(0)))+((C993=TRUE)*F993*IF(AND(Inputs!$B$38&lt;&gt;"pvp",Inputs!$B$43&gt;0),(((R993-1)*(Skills!T15*(1+Inputs!$B$34/100))+MIN((Skills!T15*(1+Inputs!$B$34/100)),MAX(0,Inputs!$B$43-((R993-1)*Skills!D15))))/Inputs!$B$43),IF(Inputs!$B$38="pvp",MIN((Skills!T15*(1+Inputs!$B$34/100)),15)/15,(Skills!T15*(1+Inputs!$B$34/100))/Skills!D15)))+((C990=TRUE)*F990)+((C1007=TRUE)*(F1007-Calc!F29)))/100)*I984)</f>
        <v/>
      </c>
      <c r="L984">
        <f>K984*(MIN(Inputs!$B$22+((C1001=TRUE)*(F1001-Calc!F23)),Inputs!$B$23+((C1006=TRUE)*(F1006-Calc!F28)))/100+(Inputs!$B$23+((C1006=TRUE)*(F1006-Calc!F28)))/100)/2</f>
        <v/>
      </c>
      <c r="M984">
        <f>L984*(1+(Inputs!$B$10+0+B1015)/100)</f>
        <v/>
      </c>
      <c r="N984">
        <f>L984*(1-MIN((Inputs!$B$9+((C997=TRUE)*(F997-Calc!F19))+B1010),100)/100)+M984*(MIN((Inputs!$B$9+((C997=TRUE)*(F997-Calc!F19))+B1010),100)/100)</f>
        <v/>
      </c>
      <c r="O984">
        <f>(1-Summary!$B$55)*T984+Summary!$B$55*V984</f>
        <v/>
      </c>
      <c r="P984">
        <f>IF(B1020=0,0,O984/B1020)</f>
        <v/>
      </c>
      <c r="Q984">
        <f>IFERROR(1/IF(Inputs!$B$38="pvp",15,MAX(0.1,Skills!D6-IF(Skills!E6=TRUE,Inputs!$B$32,0))),0)</f>
        <v/>
      </c>
      <c r="R984">
        <f>IF(AND(Inputs!$B$38&lt;&gt;"pvp",Inputs!$B$43&gt;0),IF(MAX(0,Inputs!$B$43-B1017)&lt;=0,0,(INT(MAX(0,Inputs!$B$43-B1017)/IF(Inputs!$B$38="pvp",15,MAX(0.1,Skills!D6-IF(Skills!E6=TRUE,Inputs!$B$32,0))))+1)),0)</f>
        <v/>
      </c>
      <c r="S984">
        <f>IFERROR((H984*N984*IF(AND(Inputs!$B$38&lt;&gt;"pvp",Inputs!$B$43&gt;0),((Skills!G6*((R984-1)*IF(Skills!H6&gt;0,Skills!I6/Skills!H6,1)+IF(Skills!H6&gt;0,MIN(Skills!I6,MAX(0,MAX(0,Inputs!$B$43-B1017)-((R984-1)*IF(Inputs!$B$38="pvp",15,MAX(0.1,Skills!D6-IF(Skills!E6=TRUE,Inputs!$B$32,0))))))/Skills!H6,1)))/Inputs!$B$43),G984*Q984))/N984*IF(Inputs!$B$38="pvp",1,(1-Summary!$B$55)*1+Summary!$B$55*(MIN(Skills!R6,Inputs!$B$37))),0)</f>
        <v/>
      </c>
      <c r="T984">
        <f>IF(C984,(H984*N984*IF(AND(Inputs!$B$38&lt;&gt;"pvp",Inputs!$B$43&gt;0),((Skills!G6*((R984-1)*IF(Skills!H6&gt;0,Skills!I6/Skills!H6,1)+IF(Skills!H6&gt;0,MIN(Skills!I6,MAX(0,MAX(0,Inputs!$B$43-B1017)-((R984-1)*IF(Inputs!$B$38="pvp",15,MAX(0.1,Skills!D6-IF(Skills!E6=TRUE,Inputs!$B$32,0))))))/Skills!H6,1)))/Inputs!$B$43),G984*Q984))*IF(Inputs!$B$38="pvp",1,1+(Inputs!$B$20+0+Skills!P6)/100),0)</f>
        <v/>
      </c>
      <c r="V984">
        <f>IF(C984,(H984*N984*IF(AND(Inputs!$B$38&lt;&gt;"pvp",Inputs!$B$43&gt;0),((Skills!G6*((R984-1)*IF(Skills!H6&gt;0,Skills!I6/Skills!H6,1)+IF(Skills!H6&gt;0,MIN(Skills!I6,MAX(0,MAX(0,Inputs!$B$43-B1017)-((R984-1)*IF(Inputs!$B$38="pvp",15,MAX(0.1,Skills!D6-IF(Skills!E6=TRUE,Inputs!$B$32,0))))))/Skills!H6,1)))/Inputs!$B$43),G984*Q984))*IF(Inputs!$B$38="pvp",1,(1+(Inputs!$B$21+Skills!Q6)/100)*(MIN(Skills!R6,Inputs!$B$37))),0)</f>
        <v/>
      </c>
    </row>
    <row r="985">
      <c r="A985">
        <f>Skills!A7</f>
        <v/>
      </c>
      <c r="B985">
        <f>Skills!B7</f>
        <v/>
      </c>
      <c r="C985">
        <f>Inputs!$B$3&gt;=69</f>
        <v/>
      </c>
      <c r="D985">
        <f>IF(Skills!C7=1,60+Inputs!$B$25+Inputs!$B$29,IF(Skills!C7=2,90+Inputs!$B$26+Inputs!$B$29,IF(Skills!C7=3,120+Inputs!$B$27+Inputs!$B$29,MAX(0,(Inputs!$B$3-100)*3)+Inputs!$B$28+Inputs!$B$29)))</f>
        <v/>
      </c>
      <c r="E985">
        <f>INDEX(FactorTable!$B$2:$Y$301, MATCH(ROUND(MIN(300,MAX(1,D985)),0), FactorTable!$A$2:$A$301,0), Skills!M7+1)</f>
        <v/>
      </c>
      <c r="F985">
        <f>IF(Skills!N7=TRUE,(Skills!L7/10)*(E985/1000),Skills!L7/10)+Skills!O7</f>
        <v/>
      </c>
      <c r="G985">
        <f>Skills!G7*IF(Skills!H7&gt;0,Skills!I7/Skills!H7,1)</f>
        <v/>
      </c>
      <c r="H985">
        <f>1-(1-Skills!J7/100)^Skills!K7</f>
        <v/>
      </c>
      <c r="I985" t="inlineStr">
        <is>
          <t>1</t>
        </is>
      </c>
      <c r="J985">
        <f>(((Inputs!$B$6+1)*(1+Inputs!$B$7/100))+(((Inputs!$B$12*(1+Inputs!$B$13/100))-(Inputs!$B$12*(1+Inputs!$B$13/100)))+0.25*(Inputs!$B$14-Inputs!$B$14))*(1+Inputs!$B$7/100))*(F985/100)</f>
        <v/>
      </c>
      <c r="K985">
        <f>J985*(1+((Inputs!$B$12*(1+Inputs!$B$13/100))*0.01+Inputs!$B$14*0.0025)/100)*(1+Inputs!$B$15/100)*(1+Inputs!$B$16/100)*(5000/(6000+Inputs!$B$42*(1-(Inputs!$B$19+0)/100)))*(1+(Inputs!$B$24+((C1002=TRUE)*(F1002-Calc!F24))+((C1003=TRUE)*(F1003-Calc!F25))+B1016)/100)*(1+1.2*IF(C986=TRUE,F986,0)/100)*(1+(IF(Skills!A7="EMPOWERED_PIERCING_ARROW",Inputs!$B$17+((C1000=TRUE)*(F1000-Calc!F22)),Inputs!$B$18+((C1005=TRUE)*(F1005-Calc!F27))))/100)*((1+(((C991=TRUE)*F991)+((C992=TRUE)*IF(Inputs!$B$38="pvp",F992,(1-Summary!$B$55)*(F992)+Summary!$B$55*(0)))+((C993=TRUE)*F993*IF(AND(Inputs!$B$38&lt;&gt;"pvp",Inputs!$B$43&gt;0),(((R993-1)*(Skills!T15*(1+Inputs!$B$34/100))+MIN((Skills!T15*(1+Inputs!$B$34/100)),MAX(0,Inputs!$B$43-((R993-1)*Skills!D15))))/Inputs!$B$43),IF(Inputs!$B$38="pvp",MIN((Skills!T15*(1+Inputs!$B$34/100)),15)/15,(Skills!T15*(1+Inputs!$B$34/100))/Skills!D15)))+((C990=TRUE)*F990)+((C1007=TRUE)*(F1007-Calc!F29)))/100)*I985)</f>
        <v/>
      </c>
      <c r="L985">
        <f>K985*(MIN(Inputs!$B$22+((C1001=TRUE)*(F1001-Calc!F23)),Inputs!$B$23+((C1006=TRUE)*(F1006-Calc!F28)))/100+(Inputs!$B$23+((C1006=TRUE)*(F1006-Calc!F28)))/100)/2</f>
        <v/>
      </c>
      <c r="M985">
        <f>L985*(1+(Inputs!$B$10+0+B1015)/100)</f>
        <v/>
      </c>
      <c r="N985">
        <f>L985*(1-MIN((Inputs!$B$9+((C997=TRUE)*(F997-Calc!F19))+B1010),100)/100)+M985*(MIN((Inputs!$B$9+((C997=TRUE)*(F997-Calc!F19))+B1010),100)/100)</f>
        <v/>
      </c>
      <c r="O985">
        <f>(1-Summary!$B$55)*T985+Summary!$B$55*V985</f>
        <v/>
      </c>
      <c r="P985">
        <f>IF(B1020=0,0,O985/B1020)</f>
        <v/>
      </c>
      <c r="Q985">
        <f>IFERROR(1/IF(Inputs!$B$38="pvp",15,MAX(0.1,Skills!D7-IF(Skills!E7=TRUE,Inputs!$B$32,0))),0)</f>
        <v/>
      </c>
      <c r="R985">
        <f>IF(AND(Inputs!$B$38&lt;&gt;"pvp",Inputs!$B$43&gt;0),IF(MAX(0,Inputs!$B$43-B1017)&lt;=0,0,(INT(MAX(0,Inputs!$B$43-B1017)/IF(Inputs!$B$38="pvp",15,MAX(0.1,Skills!D7-IF(Skills!E7=TRUE,Inputs!$B$32,0))))+1)),0)</f>
        <v/>
      </c>
      <c r="S985">
        <f>IFERROR((H985*N985*IF(AND(Inputs!$B$38&lt;&gt;"pvp",Inputs!$B$43&gt;0),((Skills!G7*((R985-1)*IF(Skills!H7&gt;0,Skills!I7/Skills!H7,1)+IF(Skills!H7&gt;0,MIN(Skills!I7,MAX(0,MAX(0,Inputs!$B$43-B1017)-((R985-1)*IF(Inputs!$B$38="pvp",15,MAX(0.1,Skills!D7-IF(Skills!E7=TRUE,Inputs!$B$32,0))))))/Skills!H7,1)))/Inputs!$B$43),G985*Q985))/N985*IF(Inputs!$B$38="pvp",1,(1-Summary!$B$55)*1+Summary!$B$55*(MIN(Skills!R7,Inputs!$B$37))),0)</f>
        <v/>
      </c>
      <c r="T985">
        <f>IF(C985,(H985*N985*IF(AND(Inputs!$B$38&lt;&gt;"pvp",Inputs!$B$43&gt;0),((Skills!G7*((R985-1)*IF(Skills!H7&gt;0,Skills!I7/Skills!H7,1)+IF(Skills!H7&gt;0,MIN(Skills!I7,MAX(0,MAX(0,Inputs!$B$43-B1017)-((R985-1)*IF(Inputs!$B$38="pvp",15,MAX(0.1,Skills!D7-IF(Skills!E7=TRUE,Inputs!$B$32,0))))))/Skills!H7,1)))/Inputs!$B$43),G985*Q985))*IF(Inputs!$B$38="pvp",1,1+(Inputs!$B$20+0+Skills!P7)/100),0)</f>
        <v/>
      </c>
      <c r="V985">
        <f>IF(C985,(H985*N985*IF(AND(Inputs!$B$38&lt;&gt;"pvp",Inputs!$B$43&gt;0),((Skills!G7*((R985-1)*IF(Skills!H7&gt;0,Skills!I7/Skills!H7,1)+IF(Skills!H7&gt;0,MIN(Skills!I7,MAX(0,MAX(0,Inputs!$B$43-B1017)-((R985-1)*IF(Inputs!$B$38="pvp",15,MAX(0.1,Skills!D7-IF(Skills!E7=TRUE,Inputs!$B$32,0))))))/Skills!H7,1)))/Inputs!$B$43),G985*Q985))*IF(Inputs!$B$38="pvp",1,(1+(Inputs!$B$21+Skills!Q7)/100)*(MIN(Skills!R7,Inputs!$B$37))),0)</f>
        <v/>
      </c>
    </row>
    <row r="986">
      <c r="A986">
        <f>Skills!A8</f>
        <v/>
      </c>
      <c r="B986">
        <f>Skills!B8</f>
        <v/>
      </c>
      <c r="C986">
        <f>Inputs!$B$3&gt;=100</f>
        <v/>
      </c>
      <c r="D986">
        <f>IF(Skills!C8=1,60+Inputs!$B$25+Inputs!$B$29,IF(Skills!C8=2,90+Inputs!$B$26+Inputs!$B$29,IF(Skills!C8=3,120+Inputs!$B$27+Inputs!$B$29,MAX(0,(Inputs!$B$3-100)*3)+Inputs!$B$28+Inputs!$B$29)))</f>
        <v/>
      </c>
      <c r="E986">
        <f>INDEX(FactorTable!$B$2:$Y$301, MATCH(ROUND(MIN(300,MAX(1,D986)),0), FactorTable!$A$2:$A$301,0), Skills!M8+1)</f>
        <v/>
      </c>
      <c r="F986">
        <f>IF(Skills!N8=TRUE,(Skills!L8/10)*(E986/1000),Skills!L8/10)+Skills!O8</f>
        <v/>
      </c>
      <c r="G986" t="inlineStr"/>
      <c r="H986" t="inlineStr"/>
      <c r="I986" t="inlineStr">
        <is>
          <t>1</t>
        </is>
      </c>
      <c r="J986" t="inlineStr"/>
      <c r="K986" t="inlineStr"/>
      <c r="L986" t="inlineStr"/>
      <c r="M986" t="inlineStr"/>
      <c r="N986" t="inlineStr"/>
      <c r="O986" t="inlineStr"/>
      <c r="P986" t="inlineStr"/>
      <c r="Q986" t="inlineStr"/>
      <c r="R986" t="inlineStr"/>
      <c r="S986" t="inlineStr"/>
      <c r="T986" t="inlineStr"/>
      <c r="V986" t="inlineStr"/>
    </row>
    <row r="987">
      <c r="A987">
        <f>Skills!A9</f>
        <v/>
      </c>
      <c r="B987">
        <f>Skills!B9</f>
        <v/>
      </c>
      <c r="C987">
        <f>Inputs!$B$3&gt;=103</f>
        <v/>
      </c>
      <c r="D987">
        <f>IF(Skills!C9=1,60+Inputs!$B$25+Inputs!$B$29,IF(Skills!C9=2,90+Inputs!$B$26+Inputs!$B$29,IF(Skills!C9=3,120+Inputs!$B$27+Inputs!$B$29,MAX(0,(Inputs!$B$3-100)*3)+Inputs!$B$28+Inputs!$B$29)))</f>
        <v/>
      </c>
      <c r="E987">
        <f>INDEX(FactorTable!$B$2:$Y$301, MATCH(ROUND(MIN(300,MAX(1,D987)),0), FactorTable!$A$2:$A$301,0), Skills!M9+1)</f>
        <v/>
      </c>
      <c r="F987">
        <f>IF(Skills!N9=TRUE,(Skills!L9/10)*(E987/1000),Skills!L9/10)+Skills!O9</f>
        <v/>
      </c>
      <c r="G987">
        <f>Skills!G9*IF(Skills!H9&gt;0,Skills!I9/Skills!H9,1)</f>
        <v/>
      </c>
      <c r="H987">
        <f>1-(1-Skills!J9/100)^Skills!K9</f>
        <v/>
      </c>
      <c r="I987" t="inlineStr">
        <is>
          <t>1</t>
        </is>
      </c>
      <c r="J987">
        <f>(((Inputs!$B$6+1)*(1+Inputs!$B$7/100))+(((Inputs!$B$12*(1+Inputs!$B$13/100))-(Inputs!$B$12*(1+Inputs!$B$13/100)))+0.25*(Inputs!$B$14-Inputs!$B$14))*(1+Inputs!$B$7/100))*(F987/100)</f>
        <v/>
      </c>
      <c r="K987">
        <f>J987*(1+((Inputs!$B$12*(1+Inputs!$B$13/100))*0.01+Inputs!$B$14*0.0025)/100)*(1+Inputs!$B$15/100)*(1+Inputs!$B$16/100)*(5000/(6000+Inputs!$B$42*(1-(Inputs!$B$19+0)/100)))*(1+(Inputs!$B$24+((C1002=TRUE)*(F1002-Calc!F24))+((C1003=TRUE)*(F1003-Calc!F25))+B1016)/100)*(1+(IF(Skills!A9="EMPOWERED_PIERCING_ARROW",Inputs!$B$17+((C1000=TRUE)*(F1000-Calc!F22)),Inputs!$B$18+((C1005=TRUE)*(F1005-Calc!F27))))/100)*((1+(((C991=TRUE)*F991)+((C992=TRUE)*IF(Inputs!$B$38="pvp",F992,(1-Summary!$B$55)*(F992)+Summary!$B$55*(0)))+((C993=TRUE)*F993*IF(AND(Inputs!$B$38&lt;&gt;"pvp",Inputs!$B$43&gt;0),(((R993-1)*(Skills!T15*(1+Inputs!$B$34/100))+MIN((Skills!T15*(1+Inputs!$B$34/100)),MAX(0,Inputs!$B$43-((R993-1)*Skills!D15))))/Inputs!$B$43),IF(Inputs!$B$38="pvp",MIN((Skills!T15*(1+Inputs!$B$34/100)),15)/15,(Skills!T15*(1+Inputs!$B$34/100))/Skills!D15)))+((C990=TRUE)*F990)+((C1007=TRUE)*(F1007-Calc!F29)))/100)*I987)</f>
        <v/>
      </c>
      <c r="L987">
        <f>K987*(MIN(Inputs!$B$22+((C1001=TRUE)*(F1001-Calc!F23)),Inputs!$B$23+((C1006=TRUE)*(F1006-Calc!F28)))/100+(Inputs!$B$23+((C1006=TRUE)*(F1006-Calc!F28)))/100)/2</f>
        <v/>
      </c>
      <c r="M987">
        <f>L987*(1+(Inputs!$B$10+0+B1015)/100)</f>
        <v/>
      </c>
      <c r="N987">
        <f>L987*(1-MIN((Inputs!$B$9+((C997=TRUE)*(F997-Calc!F19))+B1010),100)/100)+M987*(MIN((Inputs!$B$9+((C997=TRUE)*(F997-Calc!F19))+B1010),100)/100)</f>
        <v/>
      </c>
      <c r="O987">
        <f>(1-Summary!$B$55)*T987+Summary!$B$55*V987</f>
        <v/>
      </c>
      <c r="P987">
        <f>IF(B1020=0,0,O987/B1020)</f>
        <v/>
      </c>
      <c r="Q987">
        <f>IFERROR(1/IF(Inputs!$B$38="pvp",15,MAX(0.1,Skills!D9-IF(Skills!E9=TRUE,Inputs!$B$32,0))),0)</f>
        <v/>
      </c>
      <c r="R987">
        <f>IF(AND(Inputs!$B$38&lt;&gt;"pvp",Inputs!$B$43&gt;0),IF(MAX(0,Inputs!$B$43-B1017)&lt;=0,0,(INT(MAX(0,Inputs!$B$43-B1017)/IF(Inputs!$B$38="pvp",15,MAX(0.1,Skills!D9-IF(Skills!E9=TRUE,Inputs!$B$32,0))))+1)),0)</f>
        <v/>
      </c>
      <c r="S987">
        <f>IFERROR((H987*N987*IF(AND(Inputs!$B$38&lt;&gt;"pvp",Inputs!$B$43&gt;0),((Skills!G9*((R987-1)*IF(Skills!H9&gt;0,Skills!I9/Skills!H9,1)+IF(Skills!H9&gt;0,MIN(Skills!I9,MAX(0,MAX(0,Inputs!$B$43-B1017)-((R987-1)*IF(Inputs!$B$38="pvp",15,MAX(0.1,Skills!D9-IF(Skills!E9=TRUE,Inputs!$B$32,0))))))/Skills!H9,1)))/Inputs!$B$43),G987*Q987))/N987*IF(Inputs!$B$38="pvp",1,(1-Summary!$B$55)*1+Summary!$B$55*(MIN(Skills!R9,Inputs!$B$37))),0)</f>
        <v/>
      </c>
      <c r="T987">
        <f>IF(C987,(H987*N987*IF(AND(Inputs!$B$38&lt;&gt;"pvp",Inputs!$B$43&gt;0),((Skills!G9*((R987-1)*IF(Skills!H9&gt;0,Skills!I9/Skills!H9,1)+IF(Skills!H9&gt;0,MIN(Skills!I9,MAX(0,MAX(0,Inputs!$B$43-B1017)-((R987-1)*IF(Inputs!$B$38="pvp",15,MAX(0.1,Skills!D9-IF(Skills!E9=TRUE,Inputs!$B$32,0))))))/Skills!H9,1)))/Inputs!$B$43),G987*Q987))*IF(Inputs!$B$38="pvp",1,1+(Inputs!$B$20+0+Skills!P9)/100),0)</f>
        <v/>
      </c>
      <c r="V987">
        <f>IF(C987,(H987*N987*IF(AND(Inputs!$B$38&lt;&gt;"pvp",Inputs!$B$43&gt;0),((Skills!G9*((R987-1)*IF(Skills!H9&gt;0,Skills!I9/Skills!H9,1)+IF(Skills!H9&gt;0,MIN(Skills!I9,MAX(0,MAX(0,Inputs!$B$43-B1017)-((R987-1)*IF(Inputs!$B$38="pvp",15,MAX(0.1,Skills!D9-IF(Skills!E9=TRUE,Inputs!$B$32,0))))))/Skills!H9,1)))/Inputs!$B$43),G987*Q987))*IF(Inputs!$B$38="pvp",1,(1+(Inputs!$B$21+Skills!Q9)/100)*(MIN(Skills!R9,Inputs!$B$37))),0)</f>
        <v/>
      </c>
    </row>
    <row r="988">
      <c r="A988">
        <f>Skills!A10</f>
        <v/>
      </c>
      <c r="B988">
        <f>Skills!B10</f>
        <v/>
      </c>
      <c r="C988">
        <f>Inputs!$B$3&gt;=107</f>
        <v/>
      </c>
      <c r="D988">
        <f>IF(Skills!C10=1,60+Inputs!$B$25+Inputs!$B$29,IF(Skills!C10=2,90+Inputs!$B$26+Inputs!$B$29,IF(Skills!C10=3,120+Inputs!$B$27+Inputs!$B$29,MAX(0,(Inputs!$B$3-100)*3)+Inputs!$B$28+Inputs!$B$29)))</f>
        <v/>
      </c>
      <c r="E988">
        <f>INDEX(FactorTable!$B$2:$Y$301, MATCH(ROUND(MIN(300,MAX(1,D988)),0), FactorTable!$A$2:$A$301,0), Skills!M10+1)</f>
        <v/>
      </c>
      <c r="F988">
        <f>IF(Skills!N10=TRUE,(Skills!L10/10)*(E988/1000),Skills!L10/10)+Skills!O10</f>
        <v/>
      </c>
      <c r="G988">
        <f>Skills!G10*IF(Skills!H10&gt;0,Skills!I10/Skills!H10,1)</f>
        <v/>
      </c>
      <c r="H988">
        <f>1-(1-Skills!J10/100)^Skills!K10</f>
        <v/>
      </c>
      <c r="I988" t="inlineStr">
        <is>
          <t>1</t>
        </is>
      </c>
      <c r="J988">
        <f>(((Inputs!$B$6+1)*(1+Inputs!$B$7/100))+(((Inputs!$B$12*(1+Inputs!$B$13/100))-(Inputs!$B$12*(1+Inputs!$B$13/100)))+0.25*(Inputs!$B$14-Inputs!$B$14))*(1+Inputs!$B$7/100))*(F988/100)</f>
        <v/>
      </c>
      <c r="K988">
        <f>J988*(1+((Inputs!$B$12*(1+Inputs!$B$13/100))*0.01+Inputs!$B$14*0.0025)/100)*(1+Inputs!$B$15/100)*(1+Inputs!$B$16/100)*(5000/(6000+Inputs!$B$42*(1-(Inputs!$B$19+0)/100)))*(1+(Inputs!$B$24+((C1002=TRUE)*(F1002-Calc!F24))+((C1003=TRUE)*(F1003-Calc!F25))+B1016)/100)*(1+(IF(Skills!A10="EMPOWERED_PIERCING_ARROW",Inputs!$B$17+((C1000=TRUE)*(F1000-Calc!F22)),Inputs!$B$18+((C1005=TRUE)*(F1005-Calc!F27))))/100)*((1+(((C991=TRUE)*F991)+((C992=TRUE)*IF(Inputs!$B$38="pvp",F992,(1-Summary!$B$55)*(F992)+Summary!$B$55*(0)))+((C993=TRUE)*F993*IF(AND(Inputs!$B$38&lt;&gt;"pvp",Inputs!$B$43&gt;0),(((R993-1)*(Skills!T15*(1+Inputs!$B$34/100))+MIN((Skills!T15*(1+Inputs!$B$34/100)),MAX(0,Inputs!$B$43-((R993-1)*Skills!D15))))/Inputs!$B$43),IF(Inputs!$B$38="pvp",MIN((Skills!T15*(1+Inputs!$B$34/100)),15)/15,(Skills!T15*(1+Inputs!$B$34/100))/Skills!D15)))+((C990=TRUE)*F990)+((C1007=TRUE)*(F1007-Calc!F29)))/100)*I988)</f>
        <v/>
      </c>
      <c r="L988">
        <f>K988*(MIN(Inputs!$B$22+((C1001=TRUE)*(F1001-Calc!F23)),Inputs!$B$23+((C1006=TRUE)*(F1006-Calc!F28)))/100+(Inputs!$B$23+((C1006=TRUE)*(F1006-Calc!F28)))/100)/2</f>
        <v/>
      </c>
      <c r="M988">
        <f>L988*(1+(Inputs!$B$10+0+B1015)/100)</f>
        <v/>
      </c>
      <c r="N988">
        <f>L988*(1-MIN((Inputs!$B$9+((C997=TRUE)*(F997-Calc!F19))+B1010),100)/100)+M988*(MIN((Inputs!$B$9+((C997=TRUE)*(F997-Calc!F19))+B1010),100)/100)</f>
        <v/>
      </c>
      <c r="O988">
        <f>(1-Summary!$B$55)*T988+Summary!$B$55*V988</f>
        <v/>
      </c>
      <c r="P988">
        <f>IF(B1020=0,0,O988/B1020)</f>
        <v/>
      </c>
      <c r="Q988" t="n">
        <v>0</v>
      </c>
      <c r="R988" t="n">
        <v>0</v>
      </c>
      <c r="S988" t="n">
        <v>0</v>
      </c>
      <c r="T988">
        <f>IF(C988,(0.15*SUMPRODUCT((Skills!U2:U29=TRUE)*(C980:C1007=TRUE)*S980:S1007)*Skills!G10*N988)*IF(Inputs!$B$38="pvp",1,1+(Inputs!$B$20+0+Skills!P10)/100),0)</f>
        <v/>
      </c>
      <c r="V988">
        <f>IF(C988,(0.15*SUMPRODUCT((Skills!U2:U29=TRUE)*(C980:C1007=TRUE)*S980:S1007)*Skills!G10*N988)*IF(Inputs!$B$38="pvp",1,(1+(Inputs!$B$21+Skills!Q10)/100)*(MIN(Skills!R10,Inputs!$B$37))),0)</f>
        <v/>
      </c>
    </row>
    <row r="989">
      <c r="A989">
        <f>Skills!A11</f>
        <v/>
      </c>
      <c r="B989">
        <f>Skills!B11</f>
        <v/>
      </c>
      <c r="C989">
        <f>Inputs!$B$3&gt;=110</f>
        <v/>
      </c>
      <c r="D989">
        <f>IF(Skills!C11=1,60+Inputs!$B$25+Inputs!$B$29,IF(Skills!C11=2,90+Inputs!$B$26+Inputs!$B$29,IF(Skills!C11=3,120+Inputs!$B$27+Inputs!$B$29,MAX(0,(Inputs!$B$3-100)*3)+Inputs!$B$28+Inputs!$B$29)))</f>
        <v/>
      </c>
      <c r="E989">
        <f>INDEX(FactorTable!$B$2:$Y$301, MATCH(ROUND(MIN(300,MAX(1,D989)),0), FactorTable!$A$2:$A$301,0), Skills!M11+1)</f>
        <v/>
      </c>
      <c r="F989">
        <f>IF(Skills!N11=TRUE,(Skills!L11/10)*(E989/1000),Skills!L11/10)+Skills!O11</f>
        <v/>
      </c>
      <c r="G989">
        <f>Skills!G11*IF(Skills!H11&gt;0,Skills!I11/Skills!H11,1)</f>
        <v/>
      </c>
      <c r="H989">
        <f>1-(1-Skills!J11/100)^Skills!K11</f>
        <v/>
      </c>
      <c r="I989" t="inlineStr">
        <is>
          <t>1</t>
        </is>
      </c>
      <c r="J989">
        <f>(((Inputs!$B$6+1)*(1+Inputs!$B$7/100))+(((Inputs!$B$12*(1+Inputs!$B$13/100))-(Inputs!$B$12*(1+Inputs!$B$13/100)))+0.25*(Inputs!$B$14-Inputs!$B$14))*(1+Inputs!$B$7/100))*(F989/100)</f>
        <v/>
      </c>
      <c r="K989">
        <f>J989*(1+((Inputs!$B$12*(1+Inputs!$B$13/100))*0.01+Inputs!$B$14*0.0025)/100)*(1+Inputs!$B$15/100)*(1+Inputs!$B$16/100)*(5000/(6000+Inputs!$B$42*(1-(Inputs!$B$19+0)/100)))*(1+(Inputs!$B$24+((C1002=TRUE)*(F1002-Calc!F24))+((C1003=TRUE)*(F1003-Calc!F25))+B1016)/100)*(1+(IF(Skills!A11="EMPOWERED_PIERCING_ARROW",Inputs!$B$17+((C1000=TRUE)*(F1000-Calc!F22)),Inputs!$B$18+((C1005=TRUE)*(F1005-Calc!F27))))/100)*((1+(((C991=TRUE)*F991)+((C992=TRUE)*IF(Inputs!$B$38="pvp",F992,(1-Summary!$B$55)*(F992)+Summary!$B$55*(0)))+((C993=TRUE)*F993*IF(AND(Inputs!$B$38&lt;&gt;"pvp",Inputs!$B$43&gt;0),(((R993-1)*(Skills!T15*(1+Inputs!$B$34/100))+MIN((Skills!T15*(1+Inputs!$B$34/100)),MAX(0,Inputs!$B$43-((R993-1)*Skills!D15))))/Inputs!$B$43),IF(Inputs!$B$38="pvp",MIN((Skills!T15*(1+Inputs!$B$34/100)),15)/15,(Skills!T15*(1+Inputs!$B$34/100))/Skills!D15)))+((C990=TRUE)*F990)+((C1007=TRUE)*(F1007-Calc!F29)))/100)*I989)</f>
        <v/>
      </c>
      <c r="L989">
        <f>K989*(MIN(Inputs!$B$22+((C1001=TRUE)*(F1001-Calc!F23)),Inputs!$B$23+((C1006=TRUE)*(F1006-Calc!F28)))/100+(Inputs!$B$23+((C1006=TRUE)*(F1006-Calc!F28)))/100)/2</f>
        <v/>
      </c>
      <c r="M989">
        <f>L989*(1+(Inputs!$B$10+0+B1015)/100)</f>
        <v/>
      </c>
      <c r="N989">
        <f>L989*(1-MIN((Inputs!$B$9+((C997=TRUE)*(F997-Calc!F19))+B1010),100)/100)+M989*(MIN((Inputs!$B$9+((C997=TRUE)*(F997-Calc!F19))+B1010),100)/100)</f>
        <v/>
      </c>
      <c r="O989">
        <f>(1-Summary!$B$55)*T989+Summary!$B$55*V989</f>
        <v/>
      </c>
      <c r="P989">
        <f>IF(B1020=0,0,O989/B1020)</f>
        <v/>
      </c>
      <c r="Q989">
        <f>IFERROR(1/IF(Inputs!$B$38="pvp",15,MAX(0.1,Skills!D11-IF(Skills!E11=TRUE,Inputs!$B$32,0))),0)</f>
        <v/>
      </c>
      <c r="R989">
        <f>IF(AND(Inputs!$B$38&lt;&gt;"pvp",Inputs!$B$43&gt;0),IF(MAX(0,Inputs!$B$43-B1017)&lt;=0,0,(INT(MAX(0,Inputs!$B$43-B1017)/IF(Inputs!$B$38="pvp",15,MAX(0.1,Skills!D11-IF(Skills!E11=TRUE,Inputs!$B$32,0))))+1)),0)</f>
        <v/>
      </c>
      <c r="S989">
        <f>IFERROR((H989*N989*IF(AND(Inputs!$B$38&lt;&gt;"pvp",Inputs!$B$43&gt;0),((Skills!G11*((R989-1)*IF(Skills!H11&gt;0,Skills!I11/Skills!H11,1)+IF(Skills!H11&gt;0,MIN(Skills!I11,MAX(0,MAX(0,Inputs!$B$43-B1017)-((R989-1)*IF(Inputs!$B$38="pvp",15,MAX(0.1,Skills!D11-IF(Skills!E11=TRUE,Inputs!$B$32,0))))))/Skills!H11,1)))/Inputs!$B$43),G989*Q989))/N989*IF(Inputs!$B$38="pvp",1,(1-Summary!$B$55)*1+Summary!$B$55*(MIN(Skills!R11,Inputs!$B$37))),0)</f>
        <v/>
      </c>
      <c r="T989">
        <f>IF(C989,(H989*N989*IF(AND(Inputs!$B$38&lt;&gt;"pvp",Inputs!$B$43&gt;0),((Skills!G11*((R989-1)*IF(Skills!H11&gt;0,Skills!I11/Skills!H11,1)+IF(Skills!H11&gt;0,MIN(Skills!I11,MAX(0,MAX(0,Inputs!$B$43-B1017)-((R989-1)*IF(Inputs!$B$38="pvp",15,MAX(0.1,Skills!D11-IF(Skills!E11=TRUE,Inputs!$B$32,0))))))/Skills!H11,1)))/Inputs!$B$43),G989*Q989))*IF(Inputs!$B$38="pvp",1,1+(Inputs!$B$20+0+Skills!P11)/100),0)</f>
        <v/>
      </c>
      <c r="V989">
        <f>IF(C989,(H989*N989*IF(AND(Inputs!$B$38&lt;&gt;"pvp",Inputs!$B$43&gt;0),((Skills!G11*((R989-1)*IF(Skills!H11&gt;0,Skills!I11/Skills!H11,1)+IF(Skills!H11&gt;0,MIN(Skills!I11,MAX(0,MAX(0,Inputs!$B$43-B1017)-((R989-1)*IF(Inputs!$B$38="pvp",15,MAX(0.1,Skills!D11-IF(Skills!E11=TRUE,Inputs!$B$32,0))))))/Skills!H11,1)))/Inputs!$B$43),G989*Q989))*IF(Inputs!$B$38="pvp",1,(1+(Inputs!$B$21+Skills!Q11)/100)*(MIN(Skills!R11,Inputs!$B$37))),0)</f>
        <v/>
      </c>
    </row>
    <row r="990">
      <c r="A990">
        <f>Skills!A12</f>
        <v/>
      </c>
      <c r="B990">
        <f>Skills!B12</f>
        <v/>
      </c>
      <c r="C990">
        <f>Inputs!$B$3&gt;=60</f>
        <v/>
      </c>
      <c r="D990">
        <f>IF(Skills!C12=1,60+Inputs!$B$25+Inputs!$B$29,IF(Skills!C12=2,90+Inputs!$B$26+Inputs!$B$29,IF(Skills!C12=3,120+Inputs!$B$27+Inputs!$B$29,MAX(0,(Inputs!$B$3-100)*3)+Inputs!$B$28+Inputs!$B$29)))</f>
        <v/>
      </c>
      <c r="E990">
        <f>INDEX(FactorTable!$B$2:$Y$301, MATCH(ROUND(MIN(300,MAX(1,D990)),0), FactorTable!$A$2:$A$301,0), Skills!M12+1)</f>
        <v/>
      </c>
      <c r="F990">
        <f>IF(Skills!N12=TRUE,(Skills!L12/10)*(E990/1000),Skills!L12/10)+Skills!O12</f>
        <v/>
      </c>
      <c r="G990">
        <f>Skills!G12*IF(Skills!H12&gt;0,Skills!I12/Skills!H12,1)</f>
        <v/>
      </c>
      <c r="H990">
        <f>1-(1-Skills!J12/100)^Skills!K12</f>
        <v/>
      </c>
      <c r="I990" t="inlineStr">
        <is>
          <t>1</t>
        </is>
      </c>
      <c r="J990" t="inlineStr"/>
      <c r="K990" t="inlineStr"/>
      <c r="L990" t="inlineStr"/>
      <c r="M990" t="inlineStr"/>
      <c r="N990" t="inlineStr"/>
      <c r="O990">
        <f>(1-Summary!$B$55)*T990+Summary!$B$55*V990</f>
        <v/>
      </c>
      <c r="P990">
        <f>IF(B1020=0,0,O990/B1020)</f>
        <v/>
      </c>
      <c r="Q990" t="n">
        <v>0</v>
      </c>
      <c r="R990" t="n">
        <v>0</v>
      </c>
      <c r="S990" t="n">
        <v>0</v>
      </c>
      <c r="T990" t="n">
        <v>0</v>
      </c>
      <c r="V990" t="n">
        <v>0</v>
      </c>
    </row>
    <row r="991">
      <c r="A991">
        <f>Skills!A13</f>
        <v/>
      </c>
      <c r="B991">
        <f>Skills!B13</f>
        <v/>
      </c>
      <c r="C991">
        <f>Inputs!$B$3&gt;=74</f>
        <v/>
      </c>
      <c r="D991">
        <f>IF(Skills!C13=1,60+Inputs!$B$25+Inputs!$B$29,IF(Skills!C13=2,90+Inputs!$B$26+Inputs!$B$29,IF(Skills!C13=3,120+Inputs!$B$27+Inputs!$B$29,MAX(0,(Inputs!$B$3-100)*3)+Inputs!$B$28+Inputs!$B$29)))</f>
        <v/>
      </c>
      <c r="E991">
        <f>INDEX(FactorTable!$B$2:$Y$301, MATCH(ROUND(MIN(300,MAX(1,D991)),0), FactorTable!$A$2:$A$301,0), Skills!M13+1)</f>
        <v/>
      </c>
      <c r="F991">
        <f>IF(Skills!N13=TRUE,(Skills!L13/10)*(E991/1000),Skills!L13/10)+Skills!O13</f>
        <v/>
      </c>
      <c r="G991">
        <f>Skills!G13*IF(Skills!H13&gt;0,Skills!I13/Skills!H13,1)</f>
        <v/>
      </c>
      <c r="H991">
        <f>1-(1-Skills!J13/100)^Skills!K13</f>
        <v/>
      </c>
      <c r="I991" t="inlineStr">
        <is>
          <t>1</t>
        </is>
      </c>
      <c r="J991" t="inlineStr"/>
      <c r="K991" t="inlineStr"/>
      <c r="L991" t="inlineStr"/>
      <c r="M991" t="inlineStr"/>
      <c r="N991" t="inlineStr"/>
      <c r="O991">
        <f>(1-Summary!$B$55)*T991+Summary!$B$55*V991</f>
        <v/>
      </c>
      <c r="P991">
        <f>IF(B1020=0,0,O991/B1020)</f>
        <v/>
      </c>
      <c r="Q991" t="n">
        <v>0</v>
      </c>
      <c r="R991" t="n">
        <v>0</v>
      </c>
      <c r="S991" t="n">
        <v>0</v>
      </c>
      <c r="T991" t="n">
        <v>0</v>
      </c>
      <c r="V991" t="n">
        <v>0</v>
      </c>
    </row>
    <row r="992">
      <c r="A992">
        <f>Skills!A14</f>
        <v/>
      </c>
      <c r="B992">
        <f>Skills!B14</f>
        <v/>
      </c>
      <c r="C992">
        <f>Inputs!$B$3&gt;=74</f>
        <v/>
      </c>
      <c r="D992">
        <f>IF(Skills!C14=1,60+Inputs!$B$25+Inputs!$B$29,IF(Skills!C14=2,90+Inputs!$B$26+Inputs!$B$29,IF(Skills!C14=3,120+Inputs!$B$27+Inputs!$B$29,MAX(0,(Inputs!$B$3-100)*3)+Inputs!$B$28+Inputs!$B$29)))</f>
        <v/>
      </c>
      <c r="E992">
        <f>INDEX(FactorTable!$B$2:$Y$301, MATCH(ROUND(MIN(300,MAX(1,D992)),0), FactorTable!$A$2:$A$301,0), Skills!M14+1)</f>
        <v/>
      </c>
      <c r="F992">
        <f>IF(Skills!N14=TRUE,(Skills!L14/10)*(E992/1000),Skills!L14/10)+Skills!O14</f>
        <v/>
      </c>
      <c r="G992">
        <f>Skills!G14*IF(Skills!H14&gt;0,Skills!I14/Skills!H14,1)</f>
        <v/>
      </c>
      <c r="H992">
        <f>1-(1-Skills!J14/100)^Skills!K14</f>
        <v/>
      </c>
      <c r="I992" t="inlineStr">
        <is>
          <t>1</t>
        </is>
      </c>
      <c r="J992" t="inlineStr"/>
      <c r="K992" t="inlineStr"/>
      <c r="L992" t="inlineStr"/>
      <c r="M992" t="inlineStr"/>
      <c r="N992" t="inlineStr"/>
      <c r="O992">
        <f>(1-Summary!$B$55)*T992+Summary!$B$55*V992</f>
        <v/>
      </c>
      <c r="P992">
        <f>IF(B1020=0,0,O992/B1020)</f>
        <v/>
      </c>
      <c r="Q992" t="n">
        <v>0</v>
      </c>
      <c r="R992" t="n">
        <v>0</v>
      </c>
      <c r="S992" t="n">
        <v>0</v>
      </c>
      <c r="T992" t="n">
        <v>0</v>
      </c>
      <c r="V992" t="n">
        <v>0</v>
      </c>
    </row>
    <row r="993">
      <c r="A993">
        <f>Skills!A15</f>
        <v/>
      </c>
      <c r="B993">
        <f>Skills!B15</f>
        <v/>
      </c>
      <c r="C993">
        <f>Inputs!$B$3&gt;=117</f>
        <v/>
      </c>
      <c r="D993">
        <f>IF(Skills!C15=1,60+Inputs!$B$25+Inputs!$B$29,IF(Skills!C15=2,90+Inputs!$B$26+Inputs!$B$29,IF(Skills!C15=3,120+Inputs!$B$27+Inputs!$B$29,MAX(0,(Inputs!$B$3-100)*3)+Inputs!$B$28+Inputs!$B$29)))</f>
        <v/>
      </c>
      <c r="E993">
        <f>INDEX(FactorTable!$B$2:$Y$301, MATCH(ROUND(MIN(300,MAX(1,D993)),0), FactorTable!$A$2:$A$301,0), Skills!M15+1)</f>
        <v/>
      </c>
      <c r="F993">
        <f>IF(Skills!N15=TRUE,(Skills!L15/10)*(E993/1000),Skills!L15/10)+Skills!O15</f>
        <v/>
      </c>
      <c r="G993">
        <f>Skills!G15*IF(Skills!H15&gt;0,Skills!I15/Skills!H15,1)</f>
        <v/>
      </c>
      <c r="H993">
        <f>1-(1-Skills!J15/100)^Skills!K15</f>
        <v/>
      </c>
      <c r="I993" t="inlineStr">
        <is>
          <t>1</t>
        </is>
      </c>
      <c r="J993" t="inlineStr"/>
      <c r="K993" t="inlineStr"/>
      <c r="L993" t="inlineStr"/>
      <c r="M993" t="inlineStr"/>
      <c r="N993" t="inlineStr"/>
      <c r="O993">
        <f>(1-Summary!$B$55)*T993+Summary!$B$55*V993</f>
        <v/>
      </c>
      <c r="P993">
        <f>IF(B1020=0,0,O993/B1020)</f>
        <v/>
      </c>
      <c r="Q993">
        <f>IFERROR(1/IF(Inputs!$B$38="pvp",15,MAX(0.1,Skills!D15-IF(Skills!E15=TRUE,Inputs!$B$32,0))),0)</f>
        <v/>
      </c>
      <c r="R993">
        <f>IF(AND(Inputs!$B$38&lt;&gt;"pvp",Inputs!$B$43&gt;0),IF(Inputs!$B$43&lt;=0,0,(INT(Inputs!$B$43/IF(Inputs!$B$38="pvp",15,MAX(0.1,Skills!D15-IF(Skills!E15=TRUE,Inputs!$B$32,0))))+1)),0)</f>
        <v/>
      </c>
      <c r="S993" t="n">
        <v>0</v>
      </c>
      <c r="T993" t="n">
        <v>0</v>
      </c>
      <c r="V993" t="n">
        <v>0</v>
      </c>
    </row>
    <row r="994">
      <c r="A994">
        <f>Skills!A16</f>
        <v/>
      </c>
      <c r="B994">
        <f>Skills!B16</f>
        <v/>
      </c>
      <c r="C994">
        <f>Inputs!$B$3&gt;=115</f>
        <v/>
      </c>
      <c r="D994">
        <f>IF(Skills!C16=1,60+Inputs!$B$25+Inputs!$B$29,IF(Skills!C16=2,90+Inputs!$B$26+Inputs!$B$29,IF(Skills!C16=3,120+Inputs!$B$27+Inputs!$B$29,MAX(0,(Inputs!$B$3-100)*3)+Inputs!$B$28+Inputs!$B$29)))</f>
        <v/>
      </c>
      <c r="E994">
        <f>INDEX(FactorTable!$B$2:$Y$301, MATCH(ROUND(MIN(300,MAX(1,D994)),0), FactorTable!$A$2:$A$301,0), Skills!M16+1)</f>
        <v/>
      </c>
      <c r="F994">
        <f>IF(Skills!N16=TRUE,(Skills!L16/10)*(E994/1000),Skills!L16/10)+Skills!O16</f>
        <v/>
      </c>
      <c r="G994">
        <f>Skills!G16*IF(Skills!H16&gt;0,Skills!I16/Skills!H16,1)</f>
        <v/>
      </c>
      <c r="H994">
        <f>1-(1-Skills!J16/100)^Skills!K16</f>
        <v/>
      </c>
      <c r="I994" t="inlineStr">
        <is>
          <t>1</t>
        </is>
      </c>
      <c r="J994" t="inlineStr"/>
      <c r="K994" t="inlineStr"/>
      <c r="L994" t="inlineStr"/>
      <c r="M994" t="inlineStr"/>
      <c r="N994" t="inlineStr"/>
      <c r="O994">
        <f>(1-Summary!$B$55)*T994+Summary!$B$55*V994</f>
        <v/>
      </c>
      <c r="P994">
        <f>IF(B1020=0,0,O994/B1020)</f>
        <v/>
      </c>
      <c r="Q994">
        <f>IFERROR(1/IF(Inputs!$B$38="pvp",15,MAX(0.1,Skills!D16-IF(Skills!E16=TRUE,Inputs!$B$32,0))),0)</f>
        <v/>
      </c>
      <c r="R994">
        <f>IF(AND(Inputs!$B$38&lt;&gt;"pvp",Inputs!$B$43&gt;0),IF(Inputs!$B$43&lt;=0,0,(INT(Inputs!$B$43/IF(Inputs!$B$38="pvp",15,MAX(0.1,Skills!D16-IF(Skills!E16=TRUE,Inputs!$B$32,0))))+1)),0)</f>
        <v/>
      </c>
      <c r="S994" t="n">
        <v>0</v>
      </c>
      <c r="T994" t="n">
        <v>0</v>
      </c>
      <c r="V994" t="n">
        <v>0</v>
      </c>
    </row>
    <row r="995">
      <c r="A995">
        <f>Skills!A17</f>
        <v/>
      </c>
      <c r="B995">
        <f>Skills!B17</f>
        <v/>
      </c>
      <c r="C995">
        <f>Inputs!$B$3&gt;=72</f>
        <v/>
      </c>
      <c r="D995">
        <f>IF(Skills!C17=1,60+Inputs!$B$25+Inputs!$B$29,IF(Skills!C17=2,90+Inputs!$B$26+Inputs!$B$29,IF(Skills!C17=3,120+Inputs!$B$27+Inputs!$B$29,MAX(0,(Inputs!$B$3-100)*3)+Inputs!$B$28+Inputs!$B$29)))</f>
        <v/>
      </c>
      <c r="E995">
        <f>INDEX(FactorTable!$B$2:$Y$301, MATCH(ROUND(MIN(300,MAX(1,D995)),0), FactorTable!$A$2:$A$301,0), Skills!M17+1)</f>
        <v/>
      </c>
      <c r="F995">
        <f>IF(Skills!N17=TRUE,(Skills!L17/10)*(E995/1000),Skills!L17/10)+Skills!O17</f>
        <v/>
      </c>
      <c r="G995">
        <f>Skills!G17*IF(Skills!H17&gt;0,Skills!I17/Skills!H17,1)</f>
        <v/>
      </c>
      <c r="H995">
        <f>1-(1-Skills!J17/100)^Skills!K17</f>
        <v/>
      </c>
      <c r="I995" t="inlineStr">
        <is>
          <t>1</t>
        </is>
      </c>
      <c r="J995" t="inlineStr"/>
      <c r="K995" t="inlineStr"/>
      <c r="L995" t="inlineStr"/>
      <c r="M995" t="inlineStr"/>
      <c r="N995" t="inlineStr"/>
      <c r="O995">
        <f>(1-Summary!$B$55)*T995+Summary!$B$55*V995</f>
        <v/>
      </c>
      <c r="P995">
        <f>IF(B1020=0,0,O995/B1020)</f>
        <v/>
      </c>
      <c r="Q995" t="n">
        <v>0</v>
      </c>
      <c r="R995" t="n">
        <v>0</v>
      </c>
      <c r="S995" t="n">
        <v>0</v>
      </c>
      <c r="T995" t="n">
        <v>0</v>
      </c>
      <c r="V995" t="n">
        <v>0</v>
      </c>
    </row>
    <row r="996">
      <c r="A996">
        <f>Skills!A18</f>
        <v/>
      </c>
      <c r="B996">
        <f>Skills!B18</f>
        <v/>
      </c>
      <c r="C996">
        <f>TRUE</f>
        <v/>
      </c>
      <c r="D996">
        <f>IF(Skills!C18=1,60+Inputs!$B$25+Inputs!$B$29,IF(Skills!C18=2,90+Inputs!$B$26+Inputs!$B$29,IF(Skills!C18=3,120+Inputs!$B$27+Inputs!$B$29,MAX(0,(Inputs!$B$3-100)*3)+Inputs!$B$28+Inputs!$B$29)))</f>
        <v/>
      </c>
      <c r="E996">
        <f>INDEX(FactorTable!$B$2:$Y$301, MATCH(ROUND(MIN(300,MAX(1,D996)),0), FactorTable!$A$2:$A$301,0), Skills!M18+1)</f>
        <v/>
      </c>
      <c r="F996">
        <f>IF(Skills!N18=TRUE,(Skills!L18/10)*(E996/1000),Skills!L18/10)+Skills!O18</f>
        <v/>
      </c>
      <c r="G996">
        <f>Skills!G18*IF(Skills!H18&gt;0,Skills!I18/Skills!H18,1)</f>
        <v/>
      </c>
      <c r="H996">
        <f>1-(1-Skills!J18/100)^Skills!K18</f>
        <v/>
      </c>
      <c r="I996" t="inlineStr">
        <is>
          <t>1</t>
        </is>
      </c>
      <c r="J996" t="inlineStr"/>
      <c r="K996" t="inlineStr"/>
      <c r="L996" t="inlineStr"/>
      <c r="M996" t="inlineStr"/>
      <c r="N996" t="inlineStr"/>
      <c r="O996">
        <f>(1-Summary!$B$55)*T996+Summary!$B$55*V996</f>
        <v/>
      </c>
      <c r="P996">
        <f>IF(B1020=0,0,O996/B1020)</f>
        <v/>
      </c>
      <c r="Q996">
        <f>IFERROR(1/IF(Inputs!$B$38="pvp",15,MAX(0.1,Skills!D18-IF(Skills!E18=TRUE,Inputs!$B$32,0))),0)</f>
        <v/>
      </c>
      <c r="R996">
        <f>IF(AND(Inputs!$B$38&lt;&gt;"pvp",Inputs!$B$43&gt;0),IF(Inputs!$B$43&lt;=0,0,(INT(Inputs!$B$43/IF(Inputs!$B$38="pvp",15,MAX(0.1,Skills!D18-IF(Skills!E18=TRUE,Inputs!$B$32,0))))+1)),0)</f>
        <v/>
      </c>
      <c r="S996" t="n">
        <v>0</v>
      </c>
      <c r="T996" t="n">
        <v>0</v>
      </c>
      <c r="V996" t="n">
        <v>0</v>
      </c>
    </row>
    <row r="997">
      <c r="A997">
        <f>Skills!A19</f>
        <v/>
      </c>
      <c r="B997">
        <f>Skills!B19</f>
        <v/>
      </c>
      <c r="C997">
        <f>Inputs!$B$3&gt;=15</f>
        <v/>
      </c>
      <c r="D997">
        <f>IF(Skills!C19=1,60+Inputs!$B$25+Inputs!$B$29,IF(Skills!C19=2,90+Inputs!$B$26+Inputs!$B$29,IF(Skills!C19=3,120+Inputs!$B$27+Inputs!$B$29,MAX(0,(Inputs!$B$3-100)*3)+Inputs!$B$28+Inputs!$B$29)))</f>
        <v/>
      </c>
      <c r="E997">
        <f>INDEX(FactorTable!$B$2:$Y$301, MATCH(ROUND(MIN(300,MAX(1,D997)),0), FactorTable!$A$2:$A$301,0), Skills!M19+1)</f>
        <v/>
      </c>
      <c r="F997">
        <f>IF(Skills!N19=TRUE,(Skills!L19/10)*(E997/1000),Skills!L19/10)+Skills!O19</f>
        <v/>
      </c>
      <c r="G997">
        <f>Skills!G19*IF(Skills!H19&gt;0,Skills!I19/Skills!H19,1)</f>
        <v/>
      </c>
      <c r="H997">
        <f>1-(1-Skills!J19/100)^Skills!K19</f>
        <v/>
      </c>
      <c r="I997" t="inlineStr">
        <is>
          <t>1</t>
        </is>
      </c>
      <c r="J997" t="inlineStr"/>
      <c r="K997" t="inlineStr"/>
      <c r="L997" t="inlineStr"/>
      <c r="M997" t="inlineStr"/>
      <c r="N997" t="inlineStr"/>
      <c r="O997">
        <f>(1-Summary!$B$55)*T997+Summary!$B$55*V997</f>
        <v/>
      </c>
      <c r="P997">
        <f>IF(B1020=0,0,O997/B1020)</f>
        <v/>
      </c>
      <c r="Q997" t="n">
        <v>0</v>
      </c>
      <c r="R997" t="n">
        <v>0</v>
      </c>
      <c r="S997" t="n">
        <v>0</v>
      </c>
      <c r="T997" t="n">
        <v>0</v>
      </c>
      <c r="V997" t="n">
        <v>0</v>
      </c>
    </row>
    <row r="998">
      <c r="A998">
        <f>Skills!A20</f>
        <v/>
      </c>
      <c r="B998">
        <f>Skills!B20</f>
        <v/>
      </c>
      <c r="C998">
        <f>Inputs!$B$3&gt;=10</f>
        <v/>
      </c>
      <c r="D998">
        <f>IF(Skills!C20=1,60+Inputs!$B$25+Inputs!$B$29,IF(Skills!C20=2,90+Inputs!$B$26+Inputs!$B$29,IF(Skills!C20=3,120+Inputs!$B$27+Inputs!$B$29,MAX(0,(Inputs!$B$3-100)*3)+Inputs!$B$28+Inputs!$B$29)))</f>
        <v/>
      </c>
      <c r="E998">
        <f>INDEX(FactorTable!$B$2:$Y$301, MATCH(ROUND(MIN(300,MAX(1,D998)),0), FactorTable!$A$2:$A$301,0), Skills!M20+1)</f>
        <v/>
      </c>
      <c r="F998">
        <f>IF(Skills!N20=TRUE,(Skills!L20/10)*(E998/1000),Skills!L20/10)+Skills!O20</f>
        <v/>
      </c>
      <c r="G998">
        <f>Skills!G20*IF(Skills!H20&gt;0,Skills!I20/Skills!H20,1)</f>
        <v/>
      </c>
      <c r="H998">
        <f>1-(1-Skills!J20/100)^Skills!K20</f>
        <v/>
      </c>
      <c r="I998" t="inlineStr">
        <is>
          <t>1</t>
        </is>
      </c>
      <c r="J998" t="inlineStr"/>
      <c r="K998" t="inlineStr"/>
      <c r="L998" t="inlineStr"/>
      <c r="M998" t="inlineStr"/>
      <c r="N998" t="inlineStr"/>
      <c r="O998">
        <f>(1-Summary!$B$55)*T998+Summary!$B$55*V998</f>
        <v/>
      </c>
      <c r="P998">
        <f>IF(B1020=0,0,O998/B1020)</f>
        <v/>
      </c>
      <c r="Q998" t="n">
        <v>0</v>
      </c>
      <c r="R998" t="n">
        <v>0</v>
      </c>
      <c r="S998" t="n">
        <v>0</v>
      </c>
      <c r="T998" t="n">
        <v>0</v>
      </c>
      <c r="V998" t="n">
        <v>0</v>
      </c>
    </row>
    <row r="999">
      <c r="A999">
        <f>Skills!A21</f>
        <v/>
      </c>
      <c r="B999">
        <f>Skills!B21</f>
        <v/>
      </c>
      <c r="C999">
        <f>Inputs!$B$3&gt;=33</f>
        <v/>
      </c>
      <c r="D999">
        <f>IF(Skills!C21=1,60+Inputs!$B$25+Inputs!$B$29,IF(Skills!C21=2,90+Inputs!$B$26+Inputs!$B$29,IF(Skills!C21=3,120+Inputs!$B$27+Inputs!$B$29,MAX(0,(Inputs!$B$3-100)*3)+Inputs!$B$28+Inputs!$B$29)))</f>
        <v/>
      </c>
      <c r="E999">
        <f>INDEX(FactorTable!$B$2:$Y$301, MATCH(ROUND(MIN(300,MAX(1,D999)),0), FactorTable!$A$2:$A$301,0), Skills!M21+1)</f>
        <v/>
      </c>
      <c r="F999">
        <f>IF(Skills!N21=TRUE,(Skills!L21/10)*(E999/1000),Skills!L21/10)+Skills!O21</f>
        <v/>
      </c>
      <c r="G999">
        <f>Skills!G21*IF(Skills!H21&gt;0,Skills!I21/Skills!H21,1)</f>
        <v/>
      </c>
      <c r="H999">
        <f>1-(1-Skills!J21/100)^Skills!K21</f>
        <v/>
      </c>
      <c r="I999" t="inlineStr">
        <is>
          <t>1</t>
        </is>
      </c>
      <c r="J999" t="inlineStr"/>
      <c r="K999" t="inlineStr"/>
      <c r="L999" t="inlineStr"/>
      <c r="M999" t="inlineStr"/>
      <c r="N999" t="inlineStr"/>
      <c r="O999">
        <f>(1-Summary!$B$55)*T999+Summary!$B$55*V999</f>
        <v/>
      </c>
      <c r="P999">
        <f>IF(B1020=0,0,O999/B1020)</f>
        <v/>
      </c>
      <c r="Q999" t="n">
        <v>0</v>
      </c>
      <c r="R999" t="n">
        <v>0</v>
      </c>
      <c r="S999" t="n">
        <v>0</v>
      </c>
      <c r="T999" t="n">
        <v>0</v>
      </c>
      <c r="V999" t="n">
        <v>0</v>
      </c>
    </row>
    <row r="1000">
      <c r="A1000">
        <f>Skills!A22</f>
        <v/>
      </c>
      <c r="B1000">
        <f>Skills!B22</f>
        <v/>
      </c>
      <c r="C1000">
        <f>Inputs!$B$3&gt;=38</f>
        <v/>
      </c>
      <c r="D1000">
        <f>IF(Skills!C22=1,60+Inputs!$B$25+Inputs!$B$29,IF(Skills!C22=2,90+Inputs!$B$26+Inputs!$B$29,IF(Skills!C22=3,120+Inputs!$B$27+Inputs!$B$29,MAX(0,(Inputs!$B$3-100)*3)+Inputs!$B$28+Inputs!$B$29)))</f>
        <v/>
      </c>
      <c r="E1000">
        <f>INDEX(FactorTable!$B$2:$Y$301, MATCH(ROUND(MIN(300,MAX(1,D1000)),0), FactorTable!$A$2:$A$301,0), Skills!M22+1)</f>
        <v/>
      </c>
      <c r="F1000">
        <f>IF(Skills!N22=TRUE,(Skills!L22/10)*(E1000/1000),Skills!L22/10)+Skills!O22</f>
        <v/>
      </c>
      <c r="G1000">
        <f>Skills!G22*IF(Skills!H22&gt;0,Skills!I22/Skills!H22,1)</f>
        <v/>
      </c>
      <c r="H1000">
        <f>1-(1-Skills!J22/100)^Skills!K22</f>
        <v/>
      </c>
      <c r="I1000" t="inlineStr">
        <is>
          <t>1</t>
        </is>
      </c>
      <c r="J1000" t="inlineStr"/>
      <c r="K1000" t="inlineStr"/>
      <c r="L1000" t="inlineStr"/>
      <c r="M1000" t="inlineStr"/>
      <c r="N1000" t="inlineStr"/>
      <c r="O1000">
        <f>(1-Summary!$B$55)*T1000+Summary!$B$55*V1000</f>
        <v/>
      </c>
      <c r="P1000">
        <f>IF(B1020=0,0,O1000/B1020)</f>
        <v/>
      </c>
      <c r="Q1000" t="n">
        <v>0</v>
      </c>
      <c r="R1000" t="n">
        <v>0</v>
      </c>
      <c r="S1000" t="n">
        <v>0</v>
      </c>
      <c r="T1000" t="n">
        <v>0</v>
      </c>
      <c r="V1000" t="n">
        <v>0</v>
      </c>
    </row>
    <row r="1001">
      <c r="A1001">
        <f>Skills!A23</f>
        <v/>
      </c>
      <c r="B1001">
        <f>Skills!B23</f>
        <v/>
      </c>
      <c r="C1001">
        <f>Inputs!$B$3&gt;=43</f>
        <v/>
      </c>
      <c r="D1001">
        <f>IF(Skills!C23=1,60+Inputs!$B$25+Inputs!$B$29,IF(Skills!C23=2,90+Inputs!$B$26+Inputs!$B$29,IF(Skills!C23=3,120+Inputs!$B$27+Inputs!$B$29,MAX(0,(Inputs!$B$3-100)*3)+Inputs!$B$28+Inputs!$B$29)))</f>
        <v/>
      </c>
      <c r="E1001">
        <f>INDEX(FactorTable!$B$2:$Y$301, MATCH(ROUND(MIN(300,MAX(1,D1001)),0), FactorTable!$A$2:$A$301,0), Skills!M23+1)</f>
        <v/>
      </c>
      <c r="F1001">
        <f>IF(Skills!N23=TRUE,(Skills!L23/10)*(E1001/1000),Skills!L23/10)+Skills!O23</f>
        <v/>
      </c>
      <c r="G1001">
        <f>Skills!G23*IF(Skills!H23&gt;0,Skills!I23/Skills!H23,1)</f>
        <v/>
      </c>
      <c r="H1001">
        <f>1-(1-Skills!J23/100)^Skills!K23</f>
        <v/>
      </c>
      <c r="I1001" t="inlineStr">
        <is>
          <t>1</t>
        </is>
      </c>
      <c r="J1001" t="inlineStr"/>
      <c r="K1001" t="inlineStr"/>
      <c r="L1001" t="inlineStr"/>
      <c r="M1001" t="inlineStr"/>
      <c r="N1001" t="inlineStr"/>
      <c r="O1001">
        <f>(1-Summary!$B$55)*T1001+Summary!$B$55*V1001</f>
        <v/>
      </c>
      <c r="P1001">
        <f>IF(B1020=0,0,O1001/B1020)</f>
        <v/>
      </c>
      <c r="Q1001" t="n">
        <v>0</v>
      </c>
      <c r="R1001" t="n">
        <v>0</v>
      </c>
      <c r="S1001" t="n">
        <v>0</v>
      </c>
      <c r="T1001" t="n">
        <v>0</v>
      </c>
      <c r="V1001" t="n">
        <v>0</v>
      </c>
    </row>
    <row r="1002">
      <c r="A1002">
        <f>Skills!A24</f>
        <v/>
      </c>
      <c r="B1002">
        <f>Skills!B24</f>
        <v/>
      </c>
      <c r="C1002">
        <f>Inputs!$B$3&gt;=75</f>
        <v/>
      </c>
      <c r="D1002">
        <f>IF(Skills!C24=1,60+Inputs!$B$25+Inputs!$B$29,IF(Skills!C24=2,90+Inputs!$B$26+Inputs!$B$29,IF(Skills!C24=3,120+Inputs!$B$27+Inputs!$B$29,MAX(0,(Inputs!$B$3-100)*3)+Inputs!$B$28+Inputs!$B$29)))</f>
        <v/>
      </c>
      <c r="E1002">
        <f>INDEX(FactorTable!$B$2:$Y$301, MATCH(ROUND(MIN(300,MAX(1,D1002)),0), FactorTable!$A$2:$A$301,0), Skills!M24+1)</f>
        <v/>
      </c>
      <c r="F1002">
        <f>IF(Skills!N24=TRUE,(Skills!L24/10)*(E1002/1000),Skills!L24/10)+Skills!O24</f>
        <v/>
      </c>
      <c r="G1002">
        <f>Skills!G24*IF(Skills!H24&gt;0,Skills!I24/Skills!H24,1)</f>
        <v/>
      </c>
      <c r="H1002">
        <f>1-(1-Skills!J24/100)^Skills!K24</f>
        <v/>
      </c>
      <c r="I1002" t="inlineStr">
        <is>
          <t>1</t>
        </is>
      </c>
      <c r="J1002" t="inlineStr"/>
      <c r="K1002" t="inlineStr"/>
      <c r="L1002" t="inlineStr"/>
      <c r="M1002" t="inlineStr"/>
      <c r="N1002" t="inlineStr"/>
      <c r="O1002">
        <f>(1-Summary!$B$55)*T1002+Summary!$B$55*V1002</f>
        <v/>
      </c>
      <c r="P1002">
        <f>IF(B1020=0,0,O1002/B1020)</f>
        <v/>
      </c>
      <c r="Q1002" t="n">
        <v>0</v>
      </c>
      <c r="R1002" t="n">
        <v>0</v>
      </c>
      <c r="S1002" t="n">
        <v>0</v>
      </c>
      <c r="T1002" t="n">
        <v>0</v>
      </c>
      <c r="V1002" t="n">
        <v>0</v>
      </c>
    </row>
    <row r="1003">
      <c r="A1003">
        <f>Skills!A25</f>
        <v/>
      </c>
      <c r="B1003">
        <f>Skills!B25</f>
        <v/>
      </c>
      <c r="C1003">
        <f>Inputs!$B$3&gt;=125</f>
        <v/>
      </c>
      <c r="D1003">
        <f>IF(Skills!C25=1,60+Inputs!$B$25+Inputs!$B$29,IF(Skills!C25=2,90+Inputs!$B$26+Inputs!$B$29,IF(Skills!C25=3,120+Inputs!$B$27+Inputs!$B$29,MAX(0,(Inputs!$B$3-100)*3)+Inputs!$B$28+Inputs!$B$29)))</f>
        <v/>
      </c>
      <c r="E1003">
        <f>INDEX(FactorTable!$B$2:$Y$301, MATCH(ROUND(MIN(300,MAX(1,D1003)),0), FactorTable!$A$2:$A$301,0), Skills!M25+1)</f>
        <v/>
      </c>
      <c r="F1003">
        <f>IF(Skills!N25=TRUE,(Skills!L25/10)*(E1003/1000),Skills!L25/10)+Skills!O25</f>
        <v/>
      </c>
      <c r="G1003">
        <f>Skills!G25*IF(Skills!H25&gt;0,Skills!I25/Skills!H25,1)</f>
        <v/>
      </c>
      <c r="H1003">
        <f>1-(1-Skills!J25/100)^Skills!K25</f>
        <v/>
      </c>
      <c r="I1003" t="inlineStr">
        <is>
          <t>1</t>
        </is>
      </c>
      <c r="J1003" t="inlineStr"/>
      <c r="K1003" t="inlineStr"/>
      <c r="L1003" t="inlineStr"/>
      <c r="M1003" t="inlineStr"/>
      <c r="N1003" t="inlineStr"/>
      <c r="O1003">
        <f>(1-Summary!$B$55)*T1003+Summary!$B$55*V1003</f>
        <v/>
      </c>
      <c r="P1003">
        <f>IF(B1020=0,0,O1003/B1020)</f>
        <v/>
      </c>
      <c r="Q1003" t="n">
        <v>0</v>
      </c>
      <c r="R1003" t="n">
        <v>0</v>
      </c>
      <c r="S1003" t="n">
        <v>0</v>
      </c>
      <c r="T1003" t="n">
        <v>0</v>
      </c>
      <c r="V1003" t="n">
        <v>0</v>
      </c>
    </row>
    <row r="1004">
      <c r="A1004">
        <f>Skills!A26</f>
        <v/>
      </c>
      <c r="B1004">
        <f>Skills!B26</f>
        <v/>
      </c>
      <c r="C1004">
        <f>Inputs!$B$3&gt;=125</f>
        <v/>
      </c>
      <c r="D1004">
        <f>IF(Skills!C26=1,60+Inputs!$B$25+Inputs!$B$29,IF(Skills!C26=2,90+Inputs!$B$26+Inputs!$B$29,IF(Skills!C26=3,120+Inputs!$B$27+Inputs!$B$29,MAX(0,(Inputs!$B$3-100)*3)+Inputs!$B$28+Inputs!$B$29)))</f>
        <v/>
      </c>
      <c r="E1004">
        <f>INDEX(FactorTable!$B$2:$Y$301, MATCH(ROUND(MIN(300,MAX(1,D1004)),0), FactorTable!$A$2:$A$301,0), Skills!M26+1)</f>
        <v/>
      </c>
      <c r="F1004">
        <f>IF(Skills!N26=TRUE,(Skills!L26/10)*(E1004/1000),Skills!L26/10)+Skills!O26</f>
        <v/>
      </c>
      <c r="G1004">
        <f>Skills!G26*IF(Skills!H26&gt;0,Skills!I26/Skills!H26,1)</f>
        <v/>
      </c>
      <c r="H1004">
        <f>1-(1-Skills!J26/100)^Skills!K26</f>
        <v/>
      </c>
      <c r="I1004" t="inlineStr">
        <is>
          <t>1</t>
        </is>
      </c>
      <c r="J1004" t="inlineStr"/>
      <c r="K1004" t="inlineStr"/>
      <c r="L1004" t="inlineStr"/>
      <c r="M1004" t="inlineStr"/>
      <c r="N1004" t="inlineStr"/>
      <c r="O1004">
        <f>(1-Summary!$B$55)*T1004+Summary!$B$55*V1004</f>
        <v/>
      </c>
      <c r="P1004">
        <f>IF(B1020=0,0,O1004/B1020)</f>
        <v/>
      </c>
      <c r="Q1004" t="n">
        <v>0</v>
      </c>
      <c r="R1004" t="n">
        <v>0</v>
      </c>
      <c r="S1004" t="n">
        <v>0</v>
      </c>
      <c r="T1004" t="n">
        <v>0</v>
      </c>
      <c r="V1004" t="n">
        <v>0</v>
      </c>
    </row>
    <row r="1005">
      <c r="A1005">
        <f>Skills!A27</f>
        <v/>
      </c>
      <c r="B1005">
        <f>Skills!B27</f>
        <v/>
      </c>
      <c r="C1005">
        <f>Inputs!$B$3&gt;=120</f>
        <v/>
      </c>
      <c r="D1005">
        <f>IF(Skills!C27=1,60+Inputs!$B$25+Inputs!$B$29,IF(Skills!C27=2,90+Inputs!$B$26+Inputs!$B$29,IF(Skills!C27=3,120+Inputs!$B$27+Inputs!$B$29,MAX(0,(Inputs!$B$3-100)*3)+Inputs!$B$28+Inputs!$B$29)))</f>
        <v/>
      </c>
      <c r="E1005">
        <f>INDEX(FactorTable!$B$2:$Y$301, MATCH(ROUND(MIN(300,MAX(1,D1005)),0), FactorTable!$A$2:$A$301,0), Skills!M27+1)</f>
        <v/>
      </c>
      <c r="F1005">
        <f>IF(Skills!N27=TRUE,(Skills!L27/10)*(E1005/1000),Skills!L27/10)+Skills!O27</f>
        <v/>
      </c>
      <c r="G1005">
        <f>Skills!G27*IF(Skills!H27&gt;0,Skills!I27/Skills!H27,1)</f>
        <v/>
      </c>
      <c r="H1005">
        <f>1-(1-Skills!J27/100)^Skills!K27</f>
        <v/>
      </c>
      <c r="I1005" t="inlineStr">
        <is>
          <t>1</t>
        </is>
      </c>
      <c r="J1005" t="inlineStr"/>
      <c r="K1005" t="inlineStr"/>
      <c r="L1005" t="inlineStr"/>
      <c r="M1005" t="inlineStr"/>
      <c r="N1005" t="inlineStr"/>
      <c r="O1005">
        <f>(1-Summary!$B$55)*T1005+Summary!$B$55*V1005</f>
        <v/>
      </c>
      <c r="P1005">
        <f>IF(B1020=0,0,O1005/B1020)</f>
        <v/>
      </c>
      <c r="Q1005" t="n">
        <v>0</v>
      </c>
      <c r="R1005" t="n">
        <v>0</v>
      </c>
      <c r="S1005" t="n">
        <v>0</v>
      </c>
      <c r="T1005" t="n">
        <v>0</v>
      </c>
      <c r="V1005" t="n">
        <v>0</v>
      </c>
    </row>
    <row r="1006">
      <c r="A1006">
        <f>Skills!A28</f>
        <v/>
      </c>
      <c r="B1006">
        <f>Skills!B28</f>
        <v/>
      </c>
      <c r="C1006">
        <f>Inputs!$B$3&gt;=120</f>
        <v/>
      </c>
      <c r="D1006">
        <f>IF(Skills!C28=1,60+Inputs!$B$25+Inputs!$B$29,IF(Skills!C28=2,90+Inputs!$B$26+Inputs!$B$29,IF(Skills!C28=3,120+Inputs!$B$27+Inputs!$B$29,MAX(0,(Inputs!$B$3-100)*3)+Inputs!$B$28+Inputs!$B$29)))</f>
        <v/>
      </c>
      <c r="E1006">
        <f>INDEX(FactorTable!$B$2:$Y$301, MATCH(ROUND(MIN(300,MAX(1,D1006)),0), FactorTable!$A$2:$A$301,0), Skills!M28+1)</f>
        <v/>
      </c>
      <c r="F1006">
        <f>IF(Skills!N28=TRUE,(Skills!L28/10)*(E1006/1000),Skills!L28/10)+Skills!O28</f>
        <v/>
      </c>
      <c r="G1006">
        <f>Skills!G28*IF(Skills!H28&gt;0,Skills!I28/Skills!H28,1)</f>
        <v/>
      </c>
      <c r="H1006">
        <f>1-(1-Skills!J28/100)^Skills!K28</f>
        <v/>
      </c>
      <c r="I1006" t="inlineStr">
        <is>
          <t>1</t>
        </is>
      </c>
      <c r="J1006" t="inlineStr"/>
      <c r="K1006" t="inlineStr"/>
      <c r="L1006" t="inlineStr"/>
      <c r="M1006" t="inlineStr"/>
      <c r="N1006" t="inlineStr"/>
      <c r="O1006">
        <f>(1-Summary!$B$55)*T1006+Summary!$B$55*V1006</f>
        <v/>
      </c>
      <c r="P1006">
        <f>IF(B1020=0,0,O1006/B1020)</f>
        <v/>
      </c>
      <c r="Q1006" t="n">
        <v>0</v>
      </c>
      <c r="R1006" t="n">
        <v>0</v>
      </c>
      <c r="S1006" t="n">
        <v>0</v>
      </c>
      <c r="T1006" t="n">
        <v>0</v>
      </c>
      <c r="V1006" t="n">
        <v>0</v>
      </c>
    </row>
    <row r="1007">
      <c r="A1007">
        <f>Skills!A29</f>
        <v/>
      </c>
      <c r="B1007">
        <f>Skills!B29</f>
        <v/>
      </c>
      <c r="C1007">
        <f>Inputs!$B$3&gt;=45</f>
        <v/>
      </c>
      <c r="D1007">
        <f>IF(Skills!C29=1,60+Inputs!$B$25+Inputs!$B$29,IF(Skills!C29=2,90+Inputs!$B$26+Inputs!$B$29,IF(Skills!C29=3,120+Inputs!$B$27+Inputs!$B$29,MAX(0,(Inputs!$B$3-100)*3)+Inputs!$B$28+Inputs!$B$29)))</f>
        <v/>
      </c>
      <c r="E1007">
        <f>INDEX(FactorTable!$B$2:$Y$301, MATCH(ROUND(MIN(300,MAX(1,D1007)),0), FactorTable!$A$2:$A$301,0), Skills!M29+1)</f>
        <v/>
      </c>
      <c r="F1007">
        <f>IF(Skills!N29=TRUE,(Skills!L29/10)*(E1007/1000),Skills!L29/10)+Skills!O29</f>
        <v/>
      </c>
      <c r="G1007">
        <f>Skills!G29*IF(Skills!H29&gt;0,Skills!I29/Skills!H29,1)</f>
        <v/>
      </c>
      <c r="H1007">
        <f>1-(1-Skills!J29/100)^Skills!K29</f>
        <v/>
      </c>
      <c r="I1007" t="inlineStr">
        <is>
          <t>1</t>
        </is>
      </c>
      <c r="J1007" t="inlineStr"/>
      <c r="K1007" t="inlineStr"/>
      <c r="L1007" t="inlineStr"/>
      <c r="M1007" t="inlineStr"/>
      <c r="N1007" t="inlineStr"/>
      <c r="O1007">
        <f>(1-Summary!$B$55)*T1007+Summary!$B$55*V1007</f>
        <v/>
      </c>
      <c r="P1007">
        <f>IF(B1020=0,0,O1007/B1020)</f>
        <v/>
      </c>
      <c r="Q1007" t="n">
        <v>0</v>
      </c>
      <c r="R1007" t="n">
        <v>0</v>
      </c>
      <c r="S1007" t="n">
        <v>0</v>
      </c>
      <c r="T1007" t="n">
        <v>0</v>
      </c>
      <c r="V1007" t="n">
        <v>0</v>
      </c>
    </row>
    <row r="1009">
      <c r="A1009" t="inlineStr">
        <is>
          <t>Attack% Bucket Multiplier</t>
        </is>
      </c>
      <c r="B1009">
        <f>(1+(((C991=TRUE)*F991)+((C992=TRUE)*IF(Inputs!$B$38="pvp",F992,(1-Summary!$B$55)*(F992)+Summary!$B$55*(0)))+((C993=TRUE)*F993*IF(AND(Inputs!$B$38&lt;&gt;"pvp",Inputs!$B$43&gt;0),(((R993-1)*(Skills!T15*(1+Inputs!$B$34/100))+MIN((Skills!T15*(1+Inputs!$B$34/100)),MAX(0,Inputs!$B$43-((R993-1)*Skills!D15))))/Inputs!$B$43),IF(Inputs!$B$38="pvp",MIN((Skills!T15*(1+Inputs!$B$34/100)),15)/15,(Skills!T15*(1+Inputs!$B$34/100))/Skills!D15)))+((C990=TRUE)*F990)+((C1007=TRUE)*(F1007-Calc!F29)))/100)</f>
        <v/>
      </c>
    </row>
    <row r="1010">
      <c r="A1010" t="inlineStr">
        <is>
          <t>Global Crit Rate Bonus %</t>
        </is>
      </c>
      <c r="B1010">
        <f>(C994=TRUE)*20*IF(AND(Inputs!$B$38&lt;&gt;"pvp",Inputs!$B$43&gt;0),(((R994-1)*(Skills!T16*(1+Inputs!$B$34/100))+MIN((Skills!T16*(1+Inputs!$B$34/100)),MAX(0,Inputs!$B$43-((R994-1)*Skills!D16))))/Inputs!$B$43),IF(Inputs!$B$38="pvp",MIN((Skills!T16*(1+Inputs!$B$34/100)),15)/15,(Skills!T16*(1+Inputs!$B$34/100))/Skills!D16))</f>
        <v/>
      </c>
    </row>
    <row r="1011">
      <c r="A1011" t="inlineStr">
        <is>
          <t>Attack Speed Buff Bonus %</t>
        </is>
      </c>
      <c r="B1011">
        <f>((C996=TRUE)*F996*IF(AND(Inputs!$B$38&lt;&gt;"pvp",Inputs!$B$43&gt;0),(((R996-1)*(Skills!T18*(1+Inputs!$B$34/100))+MIN((Skills!T18*(1+Inputs!$B$34/100)),MAX(0,Inputs!$B$43-((R996-1)*Skills!D18))))/Inputs!$B$43),IF(Inputs!$B$38="pvp",MIN((Skills!T18*(1+Inputs!$B$34/100)),15)/15,(Skills!T18*(1+Inputs!$B$34/100))/Skills!D18)))</f>
        <v/>
      </c>
    </row>
    <row r="1012">
      <c r="A1012" t="inlineStr">
        <is>
          <t>Actions Per Second</t>
        </is>
      </c>
      <c r="B1012">
        <f>1+MIN(150,150*(1-(1-(Inputs!$B$11+((C998=TRUE)*(F998-Calc!F20))+((C999=TRUE)*(F999-Calc!F21)))/150)*(1-B1011/150)))/100</f>
        <v/>
      </c>
    </row>
    <row r="1013">
      <c r="A1013" t="inlineStr">
        <is>
          <t>Skill + Buff Cast Rate</t>
        </is>
      </c>
      <c r="B1013">
        <f>IF(AND(Inputs!$B$38&lt;&gt;"pvp",Inputs!$B$43&gt;0),SUMPRODUCT((Skills!E2:E29=TRUE)*(C980:C1007=TRUE)*R980:R1007*Skills!F2:F29)/Inputs!$B$43,SUMPRODUCT((Skills!E2:E29=TRUE)*(C980:C1007=TRUE)*Q980:Q1007*Skills!F2:F29))</f>
        <v/>
      </c>
    </row>
    <row r="1014">
      <c r="A1014" t="inlineStr">
        <is>
          <t>Empowered Piercing Arrow Casts Per Second</t>
        </is>
      </c>
      <c r="B1014">
        <f>MAX(0,B1012-B1013)</f>
        <v/>
      </c>
    </row>
    <row r="1015">
      <c r="A1015" t="inlineStr">
        <is>
          <t>Global Critical Damage Bonus % (Sharp Eyes)</t>
        </is>
      </c>
      <c r="B1015">
        <f>(C994=TRUE)*F994*IF(AND(Inputs!$B$38&lt;&gt;"pvp",Inputs!$B$43&gt;0),(((R994-1)*(Skills!T16*(1+Inputs!$B$34/100))+MIN((Skills!T16*(1+Inputs!$B$34/100)),MAX(0,Inputs!$B$43-((R994-1)*Skills!D16))))/Inputs!$B$43),IF(Inputs!$B$38="pvp",MIN((Skills!T16*(1+Inputs!$B$34/100)),15)/15,(Skills!T16*(1+Inputs!$B$34/100))/Skills!D16))</f>
        <v/>
      </c>
    </row>
    <row r="1016">
      <c r="A1016" t="inlineStr">
        <is>
          <t>Global Final Damage Bonus % (Mortal Blow + Last Man Standing conditional half)</t>
        </is>
      </c>
      <c r="B1016">
        <f>(C995=TRUE)*F995+((C1004=TRUE)*IF(Inputs!$B$38="pvp",F1004,(1-Summary!$B$55)*(F1004)+Summary!$B$55*(0)))</f>
        <v/>
      </c>
    </row>
    <row r="1017">
      <c r="A1017" t="inlineStr">
        <is>
          <t>Buff-Casting Startup Delay (s, fixed-duration only)</t>
        </is>
      </c>
      <c r="B1017">
        <f>IF(AND(Inputs!$B$38&lt;&gt;"pvp",Inputs!$B$43&gt;0),SUMPRODUCT((Skills!T2:T29&gt;0)*(Skills!E2:E29=TRUE)*(C980:C1007=TRUE))/B1012,0)</f>
        <v/>
      </c>
    </row>
    <row r="1018">
      <c r="A1018" t="inlineStr">
        <is>
          <t>Boss-Only Total DPS (this block's swept value)</t>
        </is>
      </c>
      <c r="B1018">
        <f>SUM(T980:T1007)</f>
        <v/>
      </c>
    </row>
    <row r="1019">
      <c r="A1019" t="inlineStr">
        <is>
          <t>Normal-Only Total DPS (this block's swept value)</t>
        </is>
      </c>
      <c r="B1019">
        <f>SUM(V980:V1007)</f>
        <v/>
      </c>
    </row>
    <row r="1020">
      <c r="A1020" s="5" t="inlineStr">
        <is>
          <t>TOTAL DPS</t>
        </is>
      </c>
      <c r="B1020" s="5">
        <f>SUM(O980:O1007)</f>
        <v/>
      </c>
    </row>
    <row r="1023">
      <c r="A1023" s="5" t="inlineStr">
        <is>
          <t>Stat: ATTACK %</t>
        </is>
      </c>
    </row>
    <row r="1024">
      <c r="A1024" s="9" t="inlineStr">
        <is>
          <t>Key</t>
        </is>
      </c>
      <c r="B1024" s="9" t="inlineStr">
        <is>
          <t>Name</t>
        </is>
      </c>
      <c r="C1024" s="9" t="inlineStr">
        <is>
          <t>Unlocked</t>
        </is>
      </c>
      <c r="D1024" s="9" t="inlineStr">
        <is>
          <t>InputLevel</t>
        </is>
      </c>
      <c r="E1024" s="9" t="inlineStr">
        <is>
          <t>Factor</t>
        </is>
      </c>
      <c r="F1024" s="9" t="inlineStr">
        <is>
          <t>CoefficientPercent</t>
        </is>
      </c>
      <c r="G1024" s="9" t="inlineStr">
        <is>
          <t>EffectiveHits</t>
        </is>
      </c>
      <c r="H1024" s="9" t="inlineStr">
        <is>
          <t>ProcProbability</t>
        </is>
      </c>
      <c r="I1024" s="9" t="inlineStr">
        <is>
          <t>MapleHeroMultiplier</t>
        </is>
      </c>
      <c r="J1024" s="9" t="inlineStr">
        <is>
          <t>BaseDamage</t>
        </is>
      </c>
      <c r="K1024" s="9" t="inlineStr">
        <is>
          <t>BaseHitDamage</t>
        </is>
      </c>
      <c r="L1024" s="9" t="inlineStr">
        <is>
          <t>NonCritAvg</t>
        </is>
      </c>
      <c r="M1024" s="9" t="inlineStr">
        <is>
          <t>CritAvg</t>
        </is>
      </c>
      <c r="N1024" s="9" t="inlineStr">
        <is>
          <t>ExpectedDamage(perHit)</t>
        </is>
      </c>
      <c r="O1024" s="9" t="inlineStr">
        <is>
          <t>DPS</t>
        </is>
      </c>
      <c r="P1024" s="9" t="inlineStr">
        <is>
          <t>% of Total</t>
        </is>
      </c>
      <c r="Q1024" s="9" t="inlineStr">
        <is>
          <t>InvCooldown</t>
        </is>
      </c>
      <c r="R1024" s="9" t="inlineStr">
        <is>
          <t>CastsInFight</t>
        </is>
      </c>
      <c r="S1024" s="9" t="inlineStr">
        <is>
          <t>HitRate(perSec)</t>
        </is>
      </c>
      <c r="U1024" t="inlineStr">
        <is>
          <t>helpers</t>
        </is>
      </c>
    </row>
    <row r="1025">
      <c r="A1025">
        <f>Skills!A2</f>
        <v/>
      </c>
      <c r="B1025">
        <f>Skills!B2</f>
        <v/>
      </c>
      <c r="C1025">
        <f>Inputs!$B$3&gt;=100</f>
        <v/>
      </c>
      <c r="D1025" t="inlineStr"/>
      <c r="E1025" t="inlineStr"/>
      <c r="F1025">
        <f>U1027+Skills!O2</f>
        <v/>
      </c>
      <c r="G1025">
        <f>Skills!G2*IF(Skills!H2&gt;0,Skills!I2/Skills!H2,1)</f>
        <v/>
      </c>
      <c r="H1025">
        <f>1-(1-Skills!J2/100)^Skills!K2</f>
        <v/>
      </c>
      <c r="I1025" t="inlineStr">
        <is>
          <t>1</t>
        </is>
      </c>
      <c r="J1025">
        <f>((Inputs!$B$6*(1+(Inputs!$B$7+1)/100))+(((Inputs!$B$12*(1+Inputs!$B$13/100))-(Inputs!$B$12*(1+Inputs!$B$13/100)))+0.25*(Inputs!$B$14-Inputs!$B$14))*(1+(Inputs!$B$7+1)/100))*(F1025/100)</f>
        <v/>
      </c>
      <c r="K1025">
        <f>J1025*(1+((Inputs!$B$12*(1+Inputs!$B$13/100))*0.01+Inputs!$B$14*0.0025)/100)*(1+Inputs!$B$15/100)*(1+Inputs!$B$16/100)*(5000/(6000+Inputs!$B$42*(1-(Inputs!$B$19+0)/100)))*(1+(Inputs!$B$24+((C1047=TRUE)*(F1047-Calc!F24))+((C1048=TRUE)*(F1048-Calc!F25))+B1061)/100)*(1+(IF(Skills!A2="EMPOWERED_PIERCING_ARROW",Inputs!$B$17+((C1045=TRUE)*(F1045-Calc!F22)),Inputs!$B$18+((C1050=TRUE)*(F1050-Calc!F27))))/100)*((1+(((C1036=TRUE)*F1036)+((C1037=TRUE)*IF(Inputs!$B$38="pvp",F1037,(1-Summary!$B$55)*(F1037)+Summary!$B$55*(0)))+((C1038=TRUE)*F1038*IF(AND(Inputs!$B$38&lt;&gt;"pvp",Inputs!$B$43&gt;0),(((R1038-1)*(Skills!T15*(1+Inputs!$B$34/100))+MIN((Skills!T15*(1+Inputs!$B$34/100)),MAX(0,Inputs!$B$43-((R1038-1)*Skills!D15))))/Inputs!$B$43),IF(Inputs!$B$38="pvp",MIN((Skills!T15*(1+Inputs!$B$34/100)),15)/15,(Skills!T15*(1+Inputs!$B$34/100))/Skills!D15)))+((C1035=TRUE)*F1035)+((C1052=TRUE)*(F1052-Calc!F29)))/100)*I1025)</f>
        <v/>
      </c>
      <c r="L1025">
        <f>K1025*(MIN(Inputs!$B$22+((C1046=TRUE)*(F1046-Calc!F23)),Inputs!$B$23+((C1051=TRUE)*(F1051-Calc!F28)))/100+(Inputs!$B$23+((C1051=TRUE)*(F1051-Calc!F28)))/100)/2</f>
        <v/>
      </c>
      <c r="M1025">
        <f>L1025*(1+(Inputs!$B$10+0+B1060)/100)</f>
        <v/>
      </c>
      <c r="N1025">
        <f>L1025*(1-MIN((Inputs!$B$9+((C1042=TRUE)*(F1042-Calc!F19))+B1055),100)/100)+M1025*(MIN((Inputs!$B$9+((C1042=TRUE)*(F1042-Calc!F19))+B1055),100)/100)</f>
        <v/>
      </c>
      <c r="O1025">
        <f>(1-Summary!$B$55)*T1025+Summary!$B$55*V1025</f>
        <v/>
      </c>
      <c r="P1025">
        <f>IF(B1065=0,0,O1025/B1065)</f>
        <v/>
      </c>
      <c r="Q1025" t="n">
        <v>0</v>
      </c>
      <c r="R1025" t="n">
        <v>0</v>
      </c>
      <c r="S1025">
        <f>IFERROR((Skills!G2*N1025*B1059)/N1025*IF(Inputs!$B$38="pvp",1,(1-Summary!$B$55)*1+Summary!$B$55*(MIN((6+Inputs!$B$33),Inputs!$B$37))),0)</f>
        <v/>
      </c>
      <c r="T1025">
        <f>IF(C1025,(Skills!G2*N1025*B1059)*IF(Inputs!$B$38="pvp",1,1+(Inputs!$B$20+0+Skills!P2)/100),0)</f>
        <v/>
      </c>
      <c r="U1025">
        <f>MAX(0,(Inputs!$B$3-100)*3)+Inputs!$B$28+Inputs!$B$29</f>
        <v/>
      </c>
      <c r="V1025">
        <f>IF(C1025,(Skills!G2*N1025*B1059)*IF(Inputs!$B$38="pvp",1,(1+(Inputs!$B$21+Skills!Q2)/100)*(MIN((6+Inputs!$B$33),Inputs!$B$37))),0)</f>
        <v/>
      </c>
    </row>
    <row r="1026">
      <c r="A1026">
        <f>Skills!A3</f>
        <v/>
      </c>
      <c r="B1026">
        <f>Skills!B3</f>
        <v/>
      </c>
      <c r="C1026">
        <f>Inputs!$B$3&gt;=50</f>
        <v/>
      </c>
      <c r="D1026">
        <f>IF(Skills!C3=1,60+Inputs!$B$25+Inputs!$B$29,IF(Skills!C3=2,90+Inputs!$B$26+Inputs!$B$29,IF(Skills!C3=3,120+Inputs!$B$27+Inputs!$B$29,MAX(0,(Inputs!$B$3-100)*3)+Inputs!$B$28+Inputs!$B$29)))</f>
        <v/>
      </c>
      <c r="E1026">
        <f>INDEX(FactorTable!$B$2:$Y$301, MATCH(ROUND(MIN(300,MAX(1,D1026)),0), FactorTable!$A$2:$A$301,0), Skills!M3+1)</f>
        <v/>
      </c>
      <c r="F1026">
        <f>IF(Skills!N3=TRUE,(Skills!L3/10)*(E1026/1000),Skills!L3/10)+Skills!O3</f>
        <v/>
      </c>
      <c r="G1026" t="inlineStr"/>
      <c r="H1026" t="inlineStr"/>
      <c r="I1026" t="inlineStr">
        <is>
          <t>1</t>
        </is>
      </c>
      <c r="J1026" t="inlineStr"/>
      <c r="K1026" t="inlineStr"/>
      <c r="L1026" t="inlineStr"/>
      <c r="M1026" t="inlineStr"/>
      <c r="N1026" t="inlineStr"/>
      <c r="O1026" t="inlineStr"/>
      <c r="P1026" t="inlineStr"/>
      <c r="Q1026" t="inlineStr"/>
      <c r="R1026" t="inlineStr"/>
      <c r="S1026" t="inlineStr"/>
      <c r="T1026" t="inlineStr"/>
      <c r="U1026">
        <f>INDEX(FactorTable!$B$2:$Y$301, MATCH(ROUND(MIN(300,MAX(1,U1025)),0), FactorTable!$A$2:$A$301,0), 22)</f>
        <v/>
      </c>
      <c r="V1026" t="inlineStr"/>
    </row>
    <row r="1027">
      <c r="A1027">
        <f>Skills!A4</f>
        <v/>
      </c>
      <c r="B1027">
        <f>Skills!B4</f>
        <v/>
      </c>
      <c r="C1027">
        <f>Inputs!$B$3&gt;=105</f>
        <v/>
      </c>
      <c r="D1027">
        <f>IF(Skills!C4=1,60+Inputs!$B$25+Inputs!$B$29,IF(Skills!C4=2,90+Inputs!$B$26+Inputs!$B$29,IF(Skills!C4=3,120+Inputs!$B$27+Inputs!$B$29,MAX(0,(Inputs!$B$3-100)*3)+Inputs!$B$28+Inputs!$B$29)))</f>
        <v/>
      </c>
      <c r="E1027">
        <f>INDEX(FactorTable!$B$2:$Y$301, MATCH(ROUND(MIN(300,MAX(1,D1027)),0), FactorTable!$A$2:$A$301,0), Skills!M4+1)</f>
        <v/>
      </c>
      <c r="F1027">
        <f>IF(Skills!N4=TRUE,(Skills!L4/10)*(E1027/1000),Skills!L4/10)+Skills!O4</f>
        <v/>
      </c>
      <c r="G1027" t="inlineStr"/>
      <c r="H1027" t="inlineStr"/>
      <c r="I1027" t="inlineStr">
        <is>
          <t>1</t>
        </is>
      </c>
      <c r="J1027" t="inlineStr"/>
      <c r="K1027" t="inlineStr"/>
      <c r="L1027" t="inlineStr"/>
      <c r="M1027" t="inlineStr"/>
      <c r="N1027" t="inlineStr"/>
      <c r="O1027" t="inlineStr"/>
      <c r="P1027" t="inlineStr"/>
      <c r="Q1027" t="inlineStr"/>
      <c r="R1027" t="inlineStr"/>
      <c r="S1027" t="inlineStr"/>
      <c r="T1027" t="inlineStr"/>
      <c r="U1027">
        <f>290*U1026/1000</f>
        <v/>
      </c>
      <c r="V1027" t="inlineStr"/>
    </row>
    <row r="1028">
      <c r="A1028">
        <f>Skills!A5</f>
        <v/>
      </c>
      <c r="B1028">
        <f>Skills!B5</f>
        <v/>
      </c>
      <c r="C1028">
        <f>Inputs!$B$3&gt;=35</f>
        <v/>
      </c>
      <c r="D1028">
        <f>IF(Skills!C5=1,60+Inputs!$B$25+Inputs!$B$29,IF(Skills!C5=2,90+Inputs!$B$26+Inputs!$B$29,IF(Skills!C5=3,120+Inputs!$B$27+Inputs!$B$29,MAX(0,(Inputs!$B$3-100)*3)+Inputs!$B$28+Inputs!$B$29)))</f>
        <v/>
      </c>
      <c r="E1028">
        <f>INDEX(FactorTable!$B$2:$Y$301, MATCH(ROUND(MIN(300,MAX(1,D1028)),0), FactorTable!$A$2:$A$301,0), Skills!M5+1)</f>
        <v/>
      </c>
      <c r="F1028">
        <f>IF(Skills!N5=TRUE,(Skills!L5/10)*(E1028/1000),Skills!L5/10)+Skills!O5</f>
        <v/>
      </c>
      <c r="G1028">
        <f>Skills!G5*IF(Skills!H5&gt;0,Skills!I5/Skills!H5,1)</f>
        <v/>
      </c>
      <c r="H1028">
        <f>1-(1-Skills!J5/100)^Skills!K5</f>
        <v/>
      </c>
      <c r="I1028" t="inlineStr">
        <is>
          <t>1</t>
        </is>
      </c>
      <c r="J1028">
        <f>((Inputs!$B$6*(1+(Inputs!$B$7+1)/100))+(((Inputs!$B$12*(1+Inputs!$B$13/100))-(Inputs!$B$12*(1+Inputs!$B$13/100)))+0.25*(Inputs!$B$14-Inputs!$B$14))*(1+(Inputs!$B$7+1)/100))*(F1028/100)</f>
        <v/>
      </c>
      <c r="K1028">
        <f>J1028*(1+((Inputs!$B$12*(1+Inputs!$B$13/100))*0.01+Inputs!$B$14*0.0025)/100)*(1+Inputs!$B$15/100)*(1+Inputs!$B$16/100)*(5000/(6000+Inputs!$B$42*(1-(Inputs!$B$19+0)/100)))*(1+(Inputs!$B$24+((C1047=TRUE)*(F1047-Calc!F24))+((C1048=TRUE)*(F1048-Calc!F25))+B1061)/100)*(1+4.0*IF(C1031=TRUE,F1031,0)/100)*(1+(IF(Skills!A5="EMPOWERED_PIERCING_ARROW",Inputs!$B$17+((C1045=TRUE)*(F1045-Calc!F22)),Inputs!$B$18+((C1050=TRUE)*(F1050-Calc!F27))))/100)*((1+(((C1036=TRUE)*F1036)+((C1037=TRUE)*IF(Inputs!$B$38="pvp",F1037,(1-Summary!$B$55)*(F1037)+Summary!$B$55*(0)))+((C1038=TRUE)*F1038*IF(AND(Inputs!$B$38&lt;&gt;"pvp",Inputs!$B$43&gt;0),(((R1038-1)*(Skills!T15*(1+Inputs!$B$34/100))+MIN((Skills!T15*(1+Inputs!$B$34/100)),MAX(0,Inputs!$B$43-((R1038-1)*Skills!D15))))/Inputs!$B$43),IF(Inputs!$B$38="pvp",MIN((Skills!T15*(1+Inputs!$B$34/100)),15)/15,(Skills!T15*(1+Inputs!$B$34/100))/Skills!D15)))+((C1035=TRUE)*F1035)+((C1052=TRUE)*(F1052-Calc!F29)))/100)*I1028)</f>
        <v/>
      </c>
      <c r="L1028">
        <f>K1028*(MIN(Inputs!$B$22+((C1046=TRUE)*(F1046-Calc!F23)),Inputs!$B$23+((C1051=TRUE)*(F1051-Calc!F28)))/100+(Inputs!$B$23+((C1051=TRUE)*(F1051-Calc!F28)))/100)/2</f>
        <v/>
      </c>
      <c r="M1028">
        <f>L1028*(1+(Inputs!$B$10+0+B1060)/100)</f>
        <v/>
      </c>
      <c r="N1028">
        <f>L1028*(1-MIN((Inputs!$B$9+((C1042=TRUE)*(F1042-Calc!F19))+B1055),100)/100)+M1028*(MIN((Inputs!$B$9+((C1042=TRUE)*(F1042-Calc!F19))+B1055),100)/100)</f>
        <v/>
      </c>
      <c r="O1028">
        <f>(1-Summary!$B$55)*T1028+Summary!$B$55*V1028</f>
        <v/>
      </c>
      <c r="P1028">
        <f>IF(B1065=0,0,O1028/B1065)</f>
        <v/>
      </c>
      <c r="Q1028">
        <f>IFERROR(1/IF(Inputs!$B$38="pvp",15,MAX(0.1,Skills!D5-IF(Skills!E5=TRUE,Inputs!$B$32,0))),0)</f>
        <v/>
      </c>
      <c r="R1028">
        <f>IF(AND(Inputs!$B$38&lt;&gt;"pvp",Inputs!$B$43&gt;0),IF(MAX(0,Inputs!$B$43-B1062)&lt;=0,0,(INT(MAX(0,Inputs!$B$43-B1062)/IF(Inputs!$B$38="pvp",15,MAX(0.1,Skills!D5-IF(Skills!E5=TRUE,Inputs!$B$32,0))))+1)),0)</f>
        <v/>
      </c>
      <c r="S1028">
        <f>IFERROR((H1028*N1028*IF(AND(Inputs!$B$38&lt;&gt;"pvp",Inputs!$B$43&gt;0),((Skills!G5*((R1028-1)*IF(Skills!H5&gt;0,Skills!I5/Skills!H5,1)+IF(Skills!H5&gt;0,MIN(Skills!I5,MAX(0,MAX(0,Inputs!$B$43-B1062)-((R1028-1)*IF(Inputs!$B$38="pvp",15,MAX(0.1,Skills!D5-IF(Skills!E5=TRUE,Inputs!$B$32,0))))))/Skills!H5,1)))/Inputs!$B$43),G1028*Q1028))/N1028*IF(Inputs!$B$38="pvp",1,(1-Summary!$B$55)*1+Summary!$B$55*(MIN(Skills!R5,Inputs!$B$37))),0)</f>
        <v/>
      </c>
      <c r="T1028">
        <f>IF(C1028,(H1028*N1028*IF(AND(Inputs!$B$38&lt;&gt;"pvp",Inputs!$B$43&gt;0),((Skills!G5*((R1028-1)*IF(Skills!H5&gt;0,Skills!I5/Skills!H5,1)+IF(Skills!H5&gt;0,MIN(Skills!I5,MAX(0,MAX(0,Inputs!$B$43-B1062)-((R1028-1)*IF(Inputs!$B$38="pvp",15,MAX(0.1,Skills!D5-IF(Skills!E5=TRUE,Inputs!$B$32,0))))))/Skills!H5,1)))/Inputs!$B$43),G1028*Q1028))*IF(Inputs!$B$38="pvp",1,1+(Inputs!$B$20+0+Skills!P5)/100),0)</f>
        <v/>
      </c>
      <c r="V1028">
        <f>IF(C1028,(H1028*N1028*IF(AND(Inputs!$B$38&lt;&gt;"pvp",Inputs!$B$43&gt;0),((Skills!G5*((R1028-1)*IF(Skills!H5&gt;0,Skills!I5/Skills!H5,1)+IF(Skills!H5&gt;0,MIN(Skills!I5,MAX(0,MAX(0,Inputs!$B$43-B1062)-((R1028-1)*IF(Inputs!$B$38="pvp",15,MAX(0.1,Skills!D5-IF(Skills!E5=TRUE,Inputs!$B$32,0))))))/Skills!H5,1)))/Inputs!$B$43),G1028*Q1028))*IF(Inputs!$B$38="pvp",1,(1+(Inputs!$B$21+Skills!Q5)/100)*(MIN(Skills!R5,Inputs!$B$37))),0)</f>
        <v/>
      </c>
    </row>
    <row r="1029">
      <c r="A1029">
        <f>Skills!A6</f>
        <v/>
      </c>
      <c r="B1029">
        <f>Skills!B6</f>
        <v/>
      </c>
      <c r="C1029">
        <f>Inputs!$B$3&gt;=63</f>
        <v/>
      </c>
      <c r="D1029">
        <f>IF(Skills!C6=1,60+Inputs!$B$25+Inputs!$B$29,IF(Skills!C6=2,90+Inputs!$B$26+Inputs!$B$29,IF(Skills!C6=3,120+Inputs!$B$27+Inputs!$B$29,MAX(0,(Inputs!$B$3-100)*3)+Inputs!$B$28+Inputs!$B$29)))</f>
        <v/>
      </c>
      <c r="E1029">
        <f>INDEX(FactorTable!$B$2:$Y$301, MATCH(ROUND(MIN(300,MAX(1,D1029)),0), FactorTable!$A$2:$A$301,0), Skills!M6+1)</f>
        <v/>
      </c>
      <c r="F1029">
        <f>IF(Skills!N6=TRUE,(Skills!L6/10)*(E1029/1000),Skills!L6/10)+Skills!O6</f>
        <v/>
      </c>
      <c r="G1029">
        <f>Skills!G6*IF(Skills!H6&gt;0,Skills!I6/Skills!H6,1)</f>
        <v/>
      </c>
      <c r="H1029">
        <f>1-(1-Skills!J6/100)^Skills!K6</f>
        <v/>
      </c>
      <c r="I1029" t="inlineStr">
        <is>
          <t>1</t>
        </is>
      </c>
      <c r="J1029">
        <f>((Inputs!$B$6*(1+(Inputs!$B$7+1)/100))+(((Inputs!$B$12*(1+Inputs!$B$13/100))-(Inputs!$B$12*(1+Inputs!$B$13/100)))+0.25*(Inputs!$B$14-Inputs!$B$14))*(1+(Inputs!$B$7+1)/100))*(F1029/100)</f>
        <v/>
      </c>
      <c r="K1029">
        <f>J1029*(1+((Inputs!$B$12*(1+Inputs!$B$13/100))*0.01+Inputs!$B$14*0.0025)/100)*(1+Inputs!$B$15/100)*(1+Inputs!$B$16/100)*(5000/(6000+Inputs!$B$42*(1-(Inputs!$B$19+0)/100)))*(1+(Inputs!$B$24+((C1047=TRUE)*(F1047-Calc!F24))+((C1048=TRUE)*(F1048-Calc!F25))+B1061)/100)*(1+1.0*IF(C1031=TRUE,F1031,0)/100)*(1+(IF(Skills!A6="EMPOWERED_PIERCING_ARROW",Inputs!$B$17+((C1045=TRUE)*(F1045-Calc!F22)),Inputs!$B$18+((C1050=TRUE)*(F1050-Calc!F27))))/100)*((1+(((C1036=TRUE)*F1036)+((C1037=TRUE)*IF(Inputs!$B$38="pvp",F1037,(1-Summary!$B$55)*(F1037)+Summary!$B$55*(0)))+((C1038=TRUE)*F1038*IF(AND(Inputs!$B$38&lt;&gt;"pvp",Inputs!$B$43&gt;0),(((R1038-1)*(Skills!T15*(1+Inputs!$B$34/100))+MIN((Skills!T15*(1+Inputs!$B$34/100)),MAX(0,Inputs!$B$43-((R1038-1)*Skills!D15))))/Inputs!$B$43),IF(Inputs!$B$38="pvp",MIN((Skills!T15*(1+Inputs!$B$34/100)),15)/15,(Skills!T15*(1+Inputs!$B$34/100))/Skills!D15)))+((C1035=TRUE)*F1035)+((C1052=TRUE)*(F1052-Calc!F29)))/100)*I1029)</f>
        <v/>
      </c>
      <c r="L1029">
        <f>K1029*(MIN(Inputs!$B$22+((C1046=TRUE)*(F1046-Calc!F23)),Inputs!$B$23+((C1051=TRUE)*(F1051-Calc!F28)))/100+(Inputs!$B$23+((C1051=TRUE)*(F1051-Calc!F28)))/100)/2</f>
        <v/>
      </c>
      <c r="M1029">
        <f>L1029*(1+(Inputs!$B$10+0+B1060)/100)</f>
        <v/>
      </c>
      <c r="N1029">
        <f>L1029*(1-MIN((Inputs!$B$9+((C1042=TRUE)*(F1042-Calc!F19))+B1055),100)/100)+M1029*(MIN((Inputs!$B$9+((C1042=TRUE)*(F1042-Calc!F19))+B1055),100)/100)</f>
        <v/>
      </c>
      <c r="O1029">
        <f>(1-Summary!$B$55)*T1029+Summary!$B$55*V1029</f>
        <v/>
      </c>
      <c r="P1029">
        <f>IF(B1065=0,0,O1029/B1065)</f>
        <v/>
      </c>
      <c r="Q1029">
        <f>IFERROR(1/IF(Inputs!$B$38="pvp",15,MAX(0.1,Skills!D6-IF(Skills!E6=TRUE,Inputs!$B$32,0))),0)</f>
        <v/>
      </c>
      <c r="R1029">
        <f>IF(AND(Inputs!$B$38&lt;&gt;"pvp",Inputs!$B$43&gt;0),IF(MAX(0,Inputs!$B$43-B1062)&lt;=0,0,(INT(MAX(0,Inputs!$B$43-B1062)/IF(Inputs!$B$38="pvp",15,MAX(0.1,Skills!D6-IF(Skills!E6=TRUE,Inputs!$B$32,0))))+1)),0)</f>
        <v/>
      </c>
      <c r="S1029">
        <f>IFERROR((H1029*N1029*IF(AND(Inputs!$B$38&lt;&gt;"pvp",Inputs!$B$43&gt;0),((Skills!G6*((R1029-1)*IF(Skills!H6&gt;0,Skills!I6/Skills!H6,1)+IF(Skills!H6&gt;0,MIN(Skills!I6,MAX(0,MAX(0,Inputs!$B$43-B1062)-((R1029-1)*IF(Inputs!$B$38="pvp",15,MAX(0.1,Skills!D6-IF(Skills!E6=TRUE,Inputs!$B$32,0))))))/Skills!H6,1)))/Inputs!$B$43),G1029*Q1029))/N1029*IF(Inputs!$B$38="pvp",1,(1-Summary!$B$55)*1+Summary!$B$55*(MIN(Skills!R6,Inputs!$B$37))),0)</f>
        <v/>
      </c>
      <c r="T1029">
        <f>IF(C1029,(H1029*N1029*IF(AND(Inputs!$B$38&lt;&gt;"pvp",Inputs!$B$43&gt;0),((Skills!G6*((R1029-1)*IF(Skills!H6&gt;0,Skills!I6/Skills!H6,1)+IF(Skills!H6&gt;0,MIN(Skills!I6,MAX(0,MAX(0,Inputs!$B$43-B1062)-((R1029-1)*IF(Inputs!$B$38="pvp",15,MAX(0.1,Skills!D6-IF(Skills!E6=TRUE,Inputs!$B$32,0))))))/Skills!H6,1)))/Inputs!$B$43),G1029*Q1029))*IF(Inputs!$B$38="pvp",1,1+(Inputs!$B$20+0+Skills!P6)/100),0)</f>
        <v/>
      </c>
      <c r="V1029">
        <f>IF(C1029,(H1029*N1029*IF(AND(Inputs!$B$38&lt;&gt;"pvp",Inputs!$B$43&gt;0),((Skills!G6*((R1029-1)*IF(Skills!H6&gt;0,Skills!I6/Skills!H6,1)+IF(Skills!H6&gt;0,MIN(Skills!I6,MAX(0,MAX(0,Inputs!$B$43-B1062)-((R1029-1)*IF(Inputs!$B$38="pvp",15,MAX(0.1,Skills!D6-IF(Skills!E6=TRUE,Inputs!$B$32,0))))))/Skills!H6,1)))/Inputs!$B$43),G1029*Q1029))*IF(Inputs!$B$38="pvp",1,(1+(Inputs!$B$21+Skills!Q6)/100)*(MIN(Skills!R6,Inputs!$B$37))),0)</f>
        <v/>
      </c>
    </row>
    <row r="1030">
      <c r="A1030">
        <f>Skills!A7</f>
        <v/>
      </c>
      <c r="B1030">
        <f>Skills!B7</f>
        <v/>
      </c>
      <c r="C1030">
        <f>Inputs!$B$3&gt;=69</f>
        <v/>
      </c>
      <c r="D1030">
        <f>IF(Skills!C7=1,60+Inputs!$B$25+Inputs!$B$29,IF(Skills!C7=2,90+Inputs!$B$26+Inputs!$B$29,IF(Skills!C7=3,120+Inputs!$B$27+Inputs!$B$29,MAX(0,(Inputs!$B$3-100)*3)+Inputs!$B$28+Inputs!$B$29)))</f>
        <v/>
      </c>
      <c r="E1030">
        <f>INDEX(FactorTable!$B$2:$Y$301, MATCH(ROUND(MIN(300,MAX(1,D1030)),0), FactorTable!$A$2:$A$301,0), Skills!M7+1)</f>
        <v/>
      </c>
      <c r="F1030">
        <f>IF(Skills!N7=TRUE,(Skills!L7/10)*(E1030/1000),Skills!L7/10)+Skills!O7</f>
        <v/>
      </c>
      <c r="G1030">
        <f>Skills!G7*IF(Skills!H7&gt;0,Skills!I7/Skills!H7,1)</f>
        <v/>
      </c>
      <c r="H1030">
        <f>1-(1-Skills!J7/100)^Skills!K7</f>
        <v/>
      </c>
      <c r="I1030" t="inlineStr">
        <is>
          <t>1</t>
        </is>
      </c>
      <c r="J1030">
        <f>((Inputs!$B$6*(1+(Inputs!$B$7+1)/100))+(((Inputs!$B$12*(1+Inputs!$B$13/100))-(Inputs!$B$12*(1+Inputs!$B$13/100)))+0.25*(Inputs!$B$14-Inputs!$B$14))*(1+(Inputs!$B$7+1)/100))*(F1030/100)</f>
        <v/>
      </c>
      <c r="K1030">
        <f>J1030*(1+((Inputs!$B$12*(1+Inputs!$B$13/100))*0.01+Inputs!$B$14*0.0025)/100)*(1+Inputs!$B$15/100)*(1+Inputs!$B$16/100)*(5000/(6000+Inputs!$B$42*(1-(Inputs!$B$19+0)/100)))*(1+(Inputs!$B$24+((C1047=TRUE)*(F1047-Calc!F24))+((C1048=TRUE)*(F1048-Calc!F25))+B1061)/100)*(1+1.2*IF(C1031=TRUE,F1031,0)/100)*(1+(IF(Skills!A7="EMPOWERED_PIERCING_ARROW",Inputs!$B$17+((C1045=TRUE)*(F1045-Calc!F22)),Inputs!$B$18+((C1050=TRUE)*(F1050-Calc!F27))))/100)*((1+(((C1036=TRUE)*F1036)+((C1037=TRUE)*IF(Inputs!$B$38="pvp",F1037,(1-Summary!$B$55)*(F1037)+Summary!$B$55*(0)))+((C1038=TRUE)*F1038*IF(AND(Inputs!$B$38&lt;&gt;"pvp",Inputs!$B$43&gt;0),(((R1038-1)*(Skills!T15*(1+Inputs!$B$34/100))+MIN((Skills!T15*(1+Inputs!$B$34/100)),MAX(0,Inputs!$B$43-((R1038-1)*Skills!D15))))/Inputs!$B$43),IF(Inputs!$B$38="pvp",MIN((Skills!T15*(1+Inputs!$B$34/100)),15)/15,(Skills!T15*(1+Inputs!$B$34/100))/Skills!D15)))+((C1035=TRUE)*F1035)+((C1052=TRUE)*(F1052-Calc!F29)))/100)*I1030)</f>
        <v/>
      </c>
      <c r="L1030">
        <f>K1030*(MIN(Inputs!$B$22+((C1046=TRUE)*(F1046-Calc!F23)),Inputs!$B$23+((C1051=TRUE)*(F1051-Calc!F28)))/100+(Inputs!$B$23+((C1051=TRUE)*(F1051-Calc!F28)))/100)/2</f>
        <v/>
      </c>
      <c r="M1030">
        <f>L1030*(1+(Inputs!$B$10+0+B1060)/100)</f>
        <v/>
      </c>
      <c r="N1030">
        <f>L1030*(1-MIN((Inputs!$B$9+((C1042=TRUE)*(F1042-Calc!F19))+B1055),100)/100)+M1030*(MIN((Inputs!$B$9+((C1042=TRUE)*(F1042-Calc!F19))+B1055),100)/100)</f>
        <v/>
      </c>
      <c r="O1030">
        <f>(1-Summary!$B$55)*T1030+Summary!$B$55*V1030</f>
        <v/>
      </c>
      <c r="P1030">
        <f>IF(B1065=0,0,O1030/B1065)</f>
        <v/>
      </c>
      <c r="Q1030">
        <f>IFERROR(1/IF(Inputs!$B$38="pvp",15,MAX(0.1,Skills!D7-IF(Skills!E7=TRUE,Inputs!$B$32,0))),0)</f>
        <v/>
      </c>
      <c r="R1030">
        <f>IF(AND(Inputs!$B$38&lt;&gt;"pvp",Inputs!$B$43&gt;0),IF(MAX(0,Inputs!$B$43-B1062)&lt;=0,0,(INT(MAX(0,Inputs!$B$43-B1062)/IF(Inputs!$B$38="pvp",15,MAX(0.1,Skills!D7-IF(Skills!E7=TRUE,Inputs!$B$32,0))))+1)),0)</f>
        <v/>
      </c>
      <c r="S1030">
        <f>IFERROR((H1030*N1030*IF(AND(Inputs!$B$38&lt;&gt;"pvp",Inputs!$B$43&gt;0),((Skills!G7*((R1030-1)*IF(Skills!H7&gt;0,Skills!I7/Skills!H7,1)+IF(Skills!H7&gt;0,MIN(Skills!I7,MAX(0,MAX(0,Inputs!$B$43-B1062)-((R1030-1)*IF(Inputs!$B$38="pvp",15,MAX(0.1,Skills!D7-IF(Skills!E7=TRUE,Inputs!$B$32,0))))))/Skills!H7,1)))/Inputs!$B$43),G1030*Q1030))/N1030*IF(Inputs!$B$38="pvp",1,(1-Summary!$B$55)*1+Summary!$B$55*(MIN(Skills!R7,Inputs!$B$37))),0)</f>
        <v/>
      </c>
      <c r="T1030">
        <f>IF(C1030,(H1030*N1030*IF(AND(Inputs!$B$38&lt;&gt;"pvp",Inputs!$B$43&gt;0),((Skills!G7*((R1030-1)*IF(Skills!H7&gt;0,Skills!I7/Skills!H7,1)+IF(Skills!H7&gt;0,MIN(Skills!I7,MAX(0,MAX(0,Inputs!$B$43-B1062)-((R1030-1)*IF(Inputs!$B$38="pvp",15,MAX(0.1,Skills!D7-IF(Skills!E7=TRUE,Inputs!$B$32,0))))))/Skills!H7,1)))/Inputs!$B$43),G1030*Q1030))*IF(Inputs!$B$38="pvp",1,1+(Inputs!$B$20+0+Skills!P7)/100),0)</f>
        <v/>
      </c>
      <c r="V1030">
        <f>IF(C1030,(H1030*N1030*IF(AND(Inputs!$B$38&lt;&gt;"pvp",Inputs!$B$43&gt;0),((Skills!G7*((R1030-1)*IF(Skills!H7&gt;0,Skills!I7/Skills!H7,1)+IF(Skills!H7&gt;0,MIN(Skills!I7,MAX(0,MAX(0,Inputs!$B$43-B1062)-((R1030-1)*IF(Inputs!$B$38="pvp",15,MAX(0.1,Skills!D7-IF(Skills!E7=TRUE,Inputs!$B$32,0))))))/Skills!H7,1)))/Inputs!$B$43),G1030*Q1030))*IF(Inputs!$B$38="pvp",1,(1+(Inputs!$B$21+Skills!Q7)/100)*(MIN(Skills!R7,Inputs!$B$37))),0)</f>
        <v/>
      </c>
    </row>
    <row r="1031">
      <c r="A1031">
        <f>Skills!A8</f>
        <v/>
      </c>
      <c r="B1031">
        <f>Skills!B8</f>
        <v/>
      </c>
      <c r="C1031">
        <f>Inputs!$B$3&gt;=100</f>
        <v/>
      </c>
      <c r="D1031">
        <f>IF(Skills!C8=1,60+Inputs!$B$25+Inputs!$B$29,IF(Skills!C8=2,90+Inputs!$B$26+Inputs!$B$29,IF(Skills!C8=3,120+Inputs!$B$27+Inputs!$B$29,MAX(0,(Inputs!$B$3-100)*3)+Inputs!$B$28+Inputs!$B$29)))</f>
        <v/>
      </c>
      <c r="E1031">
        <f>INDEX(FactorTable!$B$2:$Y$301, MATCH(ROUND(MIN(300,MAX(1,D1031)),0), FactorTable!$A$2:$A$301,0), Skills!M8+1)</f>
        <v/>
      </c>
      <c r="F1031">
        <f>IF(Skills!N8=TRUE,(Skills!L8/10)*(E1031/1000),Skills!L8/10)+Skills!O8</f>
        <v/>
      </c>
      <c r="G1031" t="inlineStr"/>
      <c r="H1031" t="inlineStr"/>
      <c r="I1031" t="inlineStr">
        <is>
          <t>1</t>
        </is>
      </c>
      <c r="J1031" t="inlineStr"/>
      <c r="K1031" t="inlineStr"/>
      <c r="L1031" t="inlineStr"/>
      <c r="M1031" t="inlineStr"/>
      <c r="N1031" t="inlineStr"/>
      <c r="O1031" t="inlineStr"/>
      <c r="P1031" t="inlineStr"/>
      <c r="Q1031" t="inlineStr"/>
      <c r="R1031" t="inlineStr"/>
      <c r="S1031" t="inlineStr"/>
      <c r="T1031" t="inlineStr"/>
      <c r="V1031" t="inlineStr"/>
    </row>
    <row r="1032">
      <c r="A1032">
        <f>Skills!A9</f>
        <v/>
      </c>
      <c r="B1032">
        <f>Skills!B9</f>
        <v/>
      </c>
      <c r="C1032">
        <f>Inputs!$B$3&gt;=103</f>
        <v/>
      </c>
      <c r="D1032">
        <f>IF(Skills!C9=1,60+Inputs!$B$25+Inputs!$B$29,IF(Skills!C9=2,90+Inputs!$B$26+Inputs!$B$29,IF(Skills!C9=3,120+Inputs!$B$27+Inputs!$B$29,MAX(0,(Inputs!$B$3-100)*3)+Inputs!$B$28+Inputs!$B$29)))</f>
        <v/>
      </c>
      <c r="E1032">
        <f>INDEX(FactorTable!$B$2:$Y$301, MATCH(ROUND(MIN(300,MAX(1,D1032)),0), FactorTable!$A$2:$A$301,0), Skills!M9+1)</f>
        <v/>
      </c>
      <c r="F1032">
        <f>IF(Skills!N9=TRUE,(Skills!L9/10)*(E1032/1000),Skills!L9/10)+Skills!O9</f>
        <v/>
      </c>
      <c r="G1032">
        <f>Skills!G9*IF(Skills!H9&gt;0,Skills!I9/Skills!H9,1)</f>
        <v/>
      </c>
      <c r="H1032">
        <f>1-(1-Skills!J9/100)^Skills!K9</f>
        <v/>
      </c>
      <c r="I1032" t="inlineStr">
        <is>
          <t>1</t>
        </is>
      </c>
      <c r="J1032">
        <f>((Inputs!$B$6*(1+(Inputs!$B$7+1)/100))+(((Inputs!$B$12*(1+Inputs!$B$13/100))-(Inputs!$B$12*(1+Inputs!$B$13/100)))+0.25*(Inputs!$B$14-Inputs!$B$14))*(1+(Inputs!$B$7+1)/100))*(F1032/100)</f>
        <v/>
      </c>
      <c r="K1032">
        <f>J1032*(1+((Inputs!$B$12*(1+Inputs!$B$13/100))*0.01+Inputs!$B$14*0.0025)/100)*(1+Inputs!$B$15/100)*(1+Inputs!$B$16/100)*(5000/(6000+Inputs!$B$42*(1-(Inputs!$B$19+0)/100)))*(1+(Inputs!$B$24+((C1047=TRUE)*(F1047-Calc!F24))+((C1048=TRUE)*(F1048-Calc!F25))+B1061)/100)*(1+(IF(Skills!A9="EMPOWERED_PIERCING_ARROW",Inputs!$B$17+((C1045=TRUE)*(F1045-Calc!F22)),Inputs!$B$18+((C1050=TRUE)*(F1050-Calc!F27))))/100)*((1+(((C1036=TRUE)*F1036)+((C1037=TRUE)*IF(Inputs!$B$38="pvp",F1037,(1-Summary!$B$55)*(F1037)+Summary!$B$55*(0)))+((C1038=TRUE)*F1038*IF(AND(Inputs!$B$38&lt;&gt;"pvp",Inputs!$B$43&gt;0),(((R1038-1)*(Skills!T15*(1+Inputs!$B$34/100))+MIN((Skills!T15*(1+Inputs!$B$34/100)),MAX(0,Inputs!$B$43-((R1038-1)*Skills!D15))))/Inputs!$B$43),IF(Inputs!$B$38="pvp",MIN((Skills!T15*(1+Inputs!$B$34/100)),15)/15,(Skills!T15*(1+Inputs!$B$34/100))/Skills!D15)))+((C1035=TRUE)*F1035)+((C1052=TRUE)*(F1052-Calc!F29)))/100)*I1032)</f>
        <v/>
      </c>
      <c r="L1032">
        <f>K1032*(MIN(Inputs!$B$22+((C1046=TRUE)*(F1046-Calc!F23)),Inputs!$B$23+((C1051=TRUE)*(F1051-Calc!F28)))/100+(Inputs!$B$23+((C1051=TRUE)*(F1051-Calc!F28)))/100)/2</f>
        <v/>
      </c>
      <c r="M1032">
        <f>L1032*(1+(Inputs!$B$10+0+B1060)/100)</f>
        <v/>
      </c>
      <c r="N1032">
        <f>L1032*(1-MIN((Inputs!$B$9+((C1042=TRUE)*(F1042-Calc!F19))+B1055),100)/100)+M1032*(MIN((Inputs!$B$9+((C1042=TRUE)*(F1042-Calc!F19))+B1055),100)/100)</f>
        <v/>
      </c>
      <c r="O1032">
        <f>(1-Summary!$B$55)*T1032+Summary!$B$55*V1032</f>
        <v/>
      </c>
      <c r="P1032">
        <f>IF(B1065=0,0,O1032/B1065)</f>
        <v/>
      </c>
      <c r="Q1032">
        <f>IFERROR(1/IF(Inputs!$B$38="pvp",15,MAX(0.1,Skills!D9-IF(Skills!E9=TRUE,Inputs!$B$32,0))),0)</f>
        <v/>
      </c>
      <c r="R1032">
        <f>IF(AND(Inputs!$B$38&lt;&gt;"pvp",Inputs!$B$43&gt;0),IF(MAX(0,Inputs!$B$43-B1062)&lt;=0,0,(INT(MAX(0,Inputs!$B$43-B1062)/IF(Inputs!$B$38="pvp",15,MAX(0.1,Skills!D9-IF(Skills!E9=TRUE,Inputs!$B$32,0))))+1)),0)</f>
        <v/>
      </c>
      <c r="S1032">
        <f>IFERROR((H1032*N1032*IF(AND(Inputs!$B$38&lt;&gt;"pvp",Inputs!$B$43&gt;0),((Skills!G9*((R1032-1)*IF(Skills!H9&gt;0,Skills!I9/Skills!H9,1)+IF(Skills!H9&gt;0,MIN(Skills!I9,MAX(0,MAX(0,Inputs!$B$43-B1062)-((R1032-1)*IF(Inputs!$B$38="pvp",15,MAX(0.1,Skills!D9-IF(Skills!E9=TRUE,Inputs!$B$32,0))))))/Skills!H9,1)))/Inputs!$B$43),G1032*Q1032))/N1032*IF(Inputs!$B$38="pvp",1,(1-Summary!$B$55)*1+Summary!$B$55*(MIN(Skills!R9,Inputs!$B$37))),0)</f>
        <v/>
      </c>
      <c r="T1032">
        <f>IF(C1032,(H1032*N1032*IF(AND(Inputs!$B$38&lt;&gt;"pvp",Inputs!$B$43&gt;0),((Skills!G9*((R1032-1)*IF(Skills!H9&gt;0,Skills!I9/Skills!H9,1)+IF(Skills!H9&gt;0,MIN(Skills!I9,MAX(0,MAX(0,Inputs!$B$43-B1062)-((R1032-1)*IF(Inputs!$B$38="pvp",15,MAX(0.1,Skills!D9-IF(Skills!E9=TRUE,Inputs!$B$32,0))))))/Skills!H9,1)))/Inputs!$B$43),G1032*Q1032))*IF(Inputs!$B$38="pvp",1,1+(Inputs!$B$20+0+Skills!P9)/100),0)</f>
        <v/>
      </c>
      <c r="V1032">
        <f>IF(C1032,(H1032*N1032*IF(AND(Inputs!$B$38&lt;&gt;"pvp",Inputs!$B$43&gt;0),((Skills!G9*((R1032-1)*IF(Skills!H9&gt;0,Skills!I9/Skills!H9,1)+IF(Skills!H9&gt;0,MIN(Skills!I9,MAX(0,MAX(0,Inputs!$B$43-B1062)-((R1032-1)*IF(Inputs!$B$38="pvp",15,MAX(0.1,Skills!D9-IF(Skills!E9=TRUE,Inputs!$B$32,0))))))/Skills!H9,1)))/Inputs!$B$43),G1032*Q1032))*IF(Inputs!$B$38="pvp",1,(1+(Inputs!$B$21+Skills!Q9)/100)*(MIN(Skills!R9,Inputs!$B$37))),0)</f>
        <v/>
      </c>
    </row>
    <row r="1033">
      <c r="A1033">
        <f>Skills!A10</f>
        <v/>
      </c>
      <c r="B1033">
        <f>Skills!B10</f>
        <v/>
      </c>
      <c r="C1033">
        <f>Inputs!$B$3&gt;=107</f>
        <v/>
      </c>
      <c r="D1033">
        <f>IF(Skills!C10=1,60+Inputs!$B$25+Inputs!$B$29,IF(Skills!C10=2,90+Inputs!$B$26+Inputs!$B$29,IF(Skills!C10=3,120+Inputs!$B$27+Inputs!$B$29,MAX(0,(Inputs!$B$3-100)*3)+Inputs!$B$28+Inputs!$B$29)))</f>
        <v/>
      </c>
      <c r="E1033">
        <f>INDEX(FactorTable!$B$2:$Y$301, MATCH(ROUND(MIN(300,MAX(1,D1033)),0), FactorTable!$A$2:$A$301,0), Skills!M10+1)</f>
        <v/>
      </c>
      <c r="F1033">
        <f>IF(Skills!N10=TRUE,(Skills!L10/10)*(E1033/1000),Skills!L10/10)+Skills!O10</f>
        <v/>
      </c>
      <c r="G1033">
        <f>Skills!G10*IF(Skills!H10&gt;0,Skills!I10/Skills!H10,1)</f>
        <v/>
      </c>
      <c r="H1033">
        <f>1-(1-Skills!J10/100)^Skills!K10</f>
        <v/>
      </c>
      <c r="I1033" t="inlineStr">
        <is>
          <t>1</t>
        </is>
      </c>
      <c r="J1033">
        <f>((Inputs!$B$6*(1+(Inputs!$B$7+1)/100))+(((Inputs!$B$12*(1+Inputs!$B$13/100))-(Inputs!$B$12*(1+Inputs!$B$13/100)))+0.25*(Inputs!$B$14-Inputs!$B$14))*(1+(Inputs!$B$7+1)/100))*(F1033/100)</f>
        <v/>
      </c>
      <c r="K1033">
        <f>J1033*(1+((Inputs!$B$12*(1+Inputs!$B$13/100))*0.01+Inputs!$B$14*0.0025)/100)*(1+Inputs!$B$15/100)*(1+Inputs!$B$16/100)*(5000/(6000+Inputs!$B$42*(1-(Inputs!$B$19+0)/100)))*(1+(Inputs!$B$24+((C1047=TRUE)*(F1047-Calc!F24))+((C1048=TRUE)*(F1048-Calc!F25))+B1061)/100)*(1+(IF(Skills!A10="EMPOWERED_PIERCING_ARROW",Inputs!$B$17+((C1045=TRUE)*(F1045-Calc!F22)),Inputs!$B$18+((C1050=TRUE)*(F1050-Calc!F27))))/100)*((1+(((C1036=TRUE)*F1036)+((C1037=TRUE)*IF(Inputs!$B$38="pvp",F1037,(1-Summary!$B$55)*(F1037)+Summary!$B$55*(0)))+((C1038=TRUE)*F1038*IF(AND(Inputs!$B$38&lt;&gt;"pvp",Inputs!$B$43&gt;0),(((R1038-1)*(Skills!T15*(1+Inputs!$B$34/100))+MIN((Skills!T15*(1+Inputs!$B$34/100)),MAX(0,Inputs!$B$43-((R1038-1)*Skills!D15))))/Inputs!$B$43),IF(Inputs!$B$38="pvp",MIN((Skills!T15*(1+Inputs!$B$34/100)),15)/15,(Skills!T15*(1+Inputs!$B$34/100))/Skills!D15)))+((C1035=TRUE)*F1035)+((C1052=TRUE)*(F1052-Calc!F29)))/100)*I1033)</f>
        <v/>
      </c>
      <c r="L1033">
        <f>K1033*(MIN(Inputs!$B$22+((C1046=TRUE)*(F1046-Calc!F23)),Inputs!$B$23+((C1051=TRUE)*(F1051-Calc!F28)))/100+(Inputs!$B$23+((C1051=TRUE)*(F1051-Calc!F28)))/100)/2</f>
        <v/>
      </c>
      <c r="M1033">
        <f>L1033*(1+(Inputs!$B$10+0+B1060)/100)</f>
        <v/>
      </c>
      <c r="N1033">
        <f>L1033*(1-MIN((Inputs!$B$9+((C1042=TRUE)*(F1042-Calc!F19))+B1055),100)/100)+M1033*(MIN((Inputs!$B$9+((C1042=TRUE)*(F1042-Calc!F19))+B1055),100)/100)</f>
        <v/>
      </c>
      <c r="O1033">
        <f>(1-Summary!$B$55)*T1033+Summary!$B$55*V1033</f>
        <v/>
      </c>
      <c r="P1033">
        <f>IF(B1065=0,0,O1033/B1065)</f>
        <v/>
      </c>
      <c r="Q1033" t="n">
        <v>0</v>
      </c>
      <c r="R1033" t="n">
        <v>0</v>
      </c>
      <c r="S1033" t="n">
        <v>0</v>
      </c>
      <c r="T1033">
        <f>IF(C1033,(0.15*SUMPRODUCT((Skills!U2:U29=TRUE)*(C1025:C1052=TRUE)*S1025:S1052)*Skills!G10*N1033)*IF(Inputs!$B$38="pvp",1,1+(Inputs!$B$20+0+Skills!P10)/100),0)</f>
        <v/>
      </c>
      <c r="V1033">
        <f>IF(C1033,(0.15*SUMPRODUCT((Skills!U2:U29=TRUE)*(C1025:C1052=TRUE)*S1025:S1052)*Skills!G10*N1033)*IF(Inputs!$B$38="pvp",1,(1+(Inputs!$B$21+Skills!Q10)/100)*(MIN(Skills!R10,Inputs!$B$37))),0)</f>
        <v/>
      </c>
    </row>
    <row r="1034">
      <c r="A1034">
        <f>Skills!A11</f>
        <v/>
      </c>
      <c r="B1034">
        <f>Skills!B11</f>
        <v/>
      </c>
      <c r="C1034">
        <f>Inputs!$B$3&gt;=110</f>
        <v/>
      </c>
      <c r="D1034">
        <f>IF(Skills!C11=1,60+Inputs!$B$25+Inputs!$B$29,IF(Skills!C11=2,90+Inputs!$B$26+Inputs!$B$29,IF(Skills!C11=3,120+Inputs!$B$27+Inputs!$B$29,MAX(0,(Inputs!$B$3-100)*3)+Inputs!$B$28+Inputs!$B$29)))</f>
        <v/>
      </c>
      <c r="E1034">
        <f>INDEX(FactorTable!$B$2:$Y$301, MATCH(ROUND(MIN(300,MAX(1,D1034)),0), FactorTable!$A$2:$A$301,0), Skills!M11+1)</f>
        <v/>
      </c>
      <c r="F1034">
        <f>IF(Skills!N11=TRUE,(Skills!L11/10)*(E1034/1000),Skills!L11/10)+Skills!O11</f>
        <v/>
      </c>
      <c r="G1034">
        <f>Skills!G11*IF(Skills!H11&gt;0,Skills!I11/Skills!H11,1)</f>
        <v/>
      </c>
      <c r="H1034">
        <f>1-(1-Skills!J11/100)^Skills!K11</f>
        <v/>
      </c>
      <c r="I1034" t="inlineStr">
        <is>
          <t>1</t>
        </is>
      </c>
      <c r="J1034">
        <f>((Inputs!$B$6*(1+(Inputs!$B$7+1)/100))+(((Inputs!$B$12*(1+Inputs!$B$13/100))-(Inputs!$B$12*(1+Inputs!$B$13/100)))+0.25*(Inputs!$B$14-Inputs!$B$14))*(1+(Inputs!$B$7+1)/100))*(F1034/100)</f>
        <v/>
      </c>
      <c r="K1034">
        <f>J1034*(1+((Inputs!$B$12*(1+Inputs!$B$13/100))*0.01+Inputs!$B$14*0.0025)/100)*(1+Inputs!$B$15/100)*(1+Inputs!$B$16/100)*(5000/(6000+Inputs!$B$42*(1-(Inputs!$B$19+0)/100)))*(1+(Inputs!$B$24+((C1047=TRUE)*(F1047-Calc!F24))+((C1048=TRUE)*(F1048-Calc!F25))+B1061)/100)*(1+(IF(Skills!A11="EMPOWERED_PIERCING_ARROW",Inputs!$B$17+((C1045=TRUE)*(F1045-Calc!F22)),Inputs!$B$18+((C1050=TRUE)*(F1050-Calc!F27))))/100)*((1+(((C1036=TRUE)*F1036)+((C1037=TRUE)*IF(Inputs!$B$38="pvp",F1037,(1-Summary!$B$55)*(F1037)+Summary!$B$55*(0)))+((C1038=TRUE)*F1038*IF(AND(Inputs!$B$38&lt;&gt;"pvp",Inputs!$B$43&gt;0),(((R1038-1)*(Skills!T15*(1+Inputs!$B$34/100))+MIN((Skills!T15*(1+Inputs!$B$34/100)),MAX(0,Inputs!$B$43-((R1038-1)*Skills!D15))))/Inputs!$B$43),IF(Inputs!$B$38="pvp",MIN((Skills!T15*(1+Inputs!$B$34/100)),15)/15,(Skills!T15*(1+Inputs!$B$34/100))/Skills!D15)))+((C1035=TRUE)*F1035)+((C1052=TRUE)*(F1052-Calc!F29)))/100)*I1034)</f>
        <v/>
      </c>
      <c r="L1034">
        <f>K1034*(MIN(Inputs!$B$22+((C1046=TRUE)*(F1046-Calc!F23)),Inputs!$B$23+((C1051=TRUE)*(F1051-Calc!F28)))/100+(Inputs!$B$23+((C1051=TRUE)*(F1051-Calc!F28)))/100)/2</f>
        <v/>
      </c>
      <c r="M1034">
        <f>L1034*(1+(Inputs!$B$10+0+B1060)/100)</f>
        <v/>
      </c>
      <c r="N1034">
        <f>L1034*(1-MIN((Inputs!$B$9+((C1042=TRUE)*(F1042-Calc!F19))+B1055),100)/100)+M1034*(MIN((Inputs!$B$9+((C1042=TRUE)*(F1042-Calc!F19))+B1055),100)/100)</f>
        <v/>
      </c>
      <c r="O1034">
        <f>(1-Summary!$B$55)*T1034+Summary!$B$55*V1034</f>
        <v/>
      </c>
      <c r="P1034">
        <f>IF(B1065=0,0,O1034/B1065)</f>
        <v/>
      </c>
      <c r="Q1034">
        <f>IFERROR(1/IF(Inputs!$B$38="pvp",15,MAX(0.1,Skills!D11-IF(Skills!E11=TRUE,Inputs!$B$32,0))),0)</f>
        <v/>
      </c>
      <c r="R1034">
        <f>IF(AND(Inputs!$B$38&lt;&gt;"pvp",Inputs!$B$43&gt;0),IF(MAX(0,Inputs!$B$43-B1062)&lt;=0,0,(INT(MAX(0,Inputs!$B$43-B1062)/IF(Inputs!$B$38="pvp",15,MAX(0.1,Skills!D11-IF(Skills!E11=TRUE,Inputs!$B$32,0))))+1)),0)</f>
        <v/>
      </c>
      <c r="S1034">
        <f>IFERROR((H1034*N1034*IF(AND(Inputs!$B$38&lt;&gt;"pvp",Inputs!$B$43&gt;0),((Skills!G11*((R1034-1)*IF(Skills!H11&gt;0,Skills!I11/Skills!H11,1)+IF(Skills!H11&gt;0,MIN(Skills!I11,MAX(0,MAX(0,Inputs!$B$43-B1062)-((R1034-1)*IF(Inputs!$B$38="pvp",15,MAX(0.1,Skills!D11-IF(Skills!E11=TRUE,Inputs!$B$32,0))))))/Skills!H11,1)))/Inputs!$B$43),G1034*Q1034))/N1034*IF(Inputs!$B$38="pvp",1,(1-Summary!$B$55)*1+Summary!$B$55*(MIN(Skills!R11,Inputs!$B$37))),0)</f>
        <v/>
      </c>
      <c r="T1034">
        <f>IF(C1034,(H1034*N1034*IF(AND(Inputs!$B$38&lt;&gt;"pvp",Inputs!$B$43&gt;0),((Skills!G11*((R1034-1)*IF(Skills!H11&gt;0,Skills!I11/Skills!H11,1)+IF(Skills!H11&gt;0,MIN(Skills!I11,MAX(0,MAX(0,Inputs!$B$43-B1062)-((R1034-1)*IF(Inputs!$B$38="pvp",15,MAX(0.1,Skills!D11-IF(Skills!E11=TRUE,Inputs!$B$32,0))))))/Skills!H11,1)))/Inputs!$B$43),G1034*Q1034))*IF(Inputs!$B$38="pvp",1,1+(Inputs!$B$20+0+Skills!P11)/100),0)</f>
        <v/>
      </c>
      <c r="V1034">
        <f>IF(C1034,(H1034*N1034*IF(AND(Inputs!$B$38&lt;&gt;"pvp",Inputs!$B$43&gt;0),((Skills!G11*((R1034-1)*IF(Skills!H11&gt;0,Skills!I11/Skills!H11,1)+IF(Skills!H11&gt;0,MIN(Skills!I11,MAX(0,MAX(0,Inputs!$B$43-B1062)-((R1034-1)*IF(Inputs!$B$38="pvp",15,MAX(0.1,Skills!D11-IF(Skills!E11=TRUE,Inputs!$B$32,0))))))/Skills!H11,1)))/Inputs!$B$43),G1034*Q1034))*IF(Inputs!$B$38="pvp",1,(1+(Inputs!$B$21+Skills!Q11)/100)*(MIN(Skills!R11,Inputs!$B$37))),0)</f>
        <v/>
      </c>
    </row>
    <row r="1035">
      <c r="A1035">
        <f>Skills!A12</f>
        <v/>
      </c>
      <c r="B1035">
        <f>Skills!B12</f>
        <v/>
      </c>
      <c r="C1035">
        <f>Inputs!$B$3&gt;=60</f>
        <v/>
      </c>
      <c r="D1035">
        <f>IF(Skills!C12=1,60+Inputs!$B$25+Inputs!$B$29,IF(Skills!C12=2,90+Inputs!$B$26+Inputs!$B$29,IF(Skills!C12=3,120+Inputs!$B$27+Inputs!$B$29,MAX(0,(Inputs!$B$3-100)*3)+Inputs!$B$28+Inputs!$B$29)))</f>
        <v/>
      </c>
      <c r="E1035">
        <f>INDEX(FactorTable!$B$2:$Y$301, MATCH(ROUND(MIN(300,MAX(1,D1035)),0), FactorTable!$A$2:$A$301,0), Skills!M12+1)</f>
        <v/>
      </c>
      <c r="F1035">
        <f>IF(Skills!N12=TRUE,(Skills!L12/10)*(E1035/1000),Skills!L12/10)+Skills!O12</f>
        <v/>
      </c>
      <c r="G1035">
        <f>Skills!G12*IF(Skills!H12&gt;0,Skills!I12/Skills!H12,1)</f>
        <v/>
      </c>
      <c r="H1035">
        <f>1-(1-Skills!J12/100)^Skills!K12</f>
        <v/>
      </c>
      <c r="I1035" t="inlineStr">
        <is>
          <t>1</t>
        </is>
      </c>
      <c r="J1035" t="inlineStr"/>
      <c r="K1035" t="inlineStr"/>
      <c r="L1035" t="inlineStr"/>
      <c r="M1035" t="inlineStr"/>
      <c r="N1035" t="inlineStr"/>
      <c r="O1035">
        <f>(1-Summary!$B$55)*T1035+Summary!$B$55*V1035</f>
        <v/>
      </c>
      <c r="P1035">
        <f>IF(B1065=0,0,O1035/B1065)</f>
        <v/>
      </c>
      <c r="Q1035" t="n">
        <v>0</v>
      </c>
      <c r="R1035" t="n">
        <v>0</v>
      </c>
      <c r="S1035" t="n">
        <v>0</v>
      </c>
      <c r="T1035" t="n">
        <v>0</v>
      </c>
      <c r="V1035" t="n">
        <v>0</v>
      </c>
    </row>
    <row r="1036">
      <c r="A1036">
        <f>Skills!A13</f>
        <v/>
      </c>
      <c r="B1036">
        <f>Skills!B13</f>
        <v/>
      </c>
      <c r="C1036">
        <f>Inputs!$B$3&gt;=74</f>
        <v/>
      </c>
      <c r="D1036">
        <f>IF(Skills!C13=1,60+Inputs!$B$25+Inputs!$B$29,IF(Skills!C13=2,90+Inputs!$B$26+Inputs!$B$29,IF(Skills!C13=3,120+Inputs!$B$27+Inputs!$B$29,MAX(0,(Inputs!$B$3-100)*3)+Inputs!$B$28+Inputs!$B$29)))</f>
        <v/>
      </c>
      <c r="E1036">
        <f>INDEX(FactorTable!$B$2:$Y$301, MATCH(ROUND(MIN(300,MAX(1,D1036)),0), FactorTable!$A$2:$A$301,0), Skills!M13+1)</f>
        <v/>
      </c>
      <c r="F1036">
        <f>IF(Skills!N13=TRUE,(Skills!L13/10)*(E1036/1000),Skills!L13/10)+Skills!O13</f>
        <v/>
      </c>
      <c r="G1036">
        <f>Skills!G13*IF(Skills!H13&gt;0,Skills!I13/Skills!H13,1)</f>
        <v/>
      </c>
      <c r="H1036">
        <f>1-(1-Skills!J13/100)^Skills!K13</f>
        <v/>
      </c>
      <c r="I1036" t="inlineStr">
        <is>
          <t>1</t>
        </is>
      </c>
      <c r="J1036" t="inlineStr"/>
      <c r="K1036" t="inlineStr"/>
      <c r="L1036" t="inlineStr"/>
      <c r="M1036" t="inlineStr"/>
      <c r="N1036" t="inlineStr"/>
      <c r="O1036">
        <f>(1-Summary!$B$55)*T1036+Summary!$B$55*V1036</f>
        <v/>
      </c>
      <c r="P1036">
        <f>IF(B1065=0,0,O1036/B1065)</f>
        <v/>
      </c>
      <c r="Q1036" t="n">
        <v>0</v>
      </c>
      <c r="R1036" t="n">
        <v>0</v>
      </c>
      <c r="S1036" t="n">
        <v>0</v>
      </c>
      <c r="T1036" t="n">
        <v>0</v>
      </c>
      <c r="V1036" t="n">
        <v>0</v>
      </c>
    </row>
    <row r="1037">
      <c r="A1037">
        <f>Skills!A14</f>
        <v/>
      </c>
      <c r="B1037">
        <f>Skills!B14</f>
        <v/>
      </c>
      <c r="C1037">
        <f>Inputs!$B$3&gt;=74</f>
        <v/>
      </c>
      <c r="D1037">
        <f>IF(Skills!C14=1,60+Inputs!$B$25+Inputs!$B$29,IF(Skills!C14=2,90+Inputs!$B$26+Inputs!$B$29,IF(Skills!C14=3,120+Inputs!$B$27+Inputs!$B$29,MAX(0,(Inputs!$B$3-100)*3)+Inputs!$B$28+Inputs!$B$29)))</f>
        <v/>
      </c>
      <c r="E1037">
        <f>INDEX(FactorTable!$B$2:$Y$301, MATCH(ROUND(MIN(300,MAX(1,D1037)),0), FactorTable!$A$2:$A$301,0), Skills!M14+1)</f>
        <v/>
      </c>
      <c r="F1037">
        <f>IF(Skills!N14=TRUE,(Skills!L14/10)*(E1037/1000),Skills!L14/10)+Skills!O14</f>
        <v/>
      </c>
      <c r="G1037">
        <f>Skills!G14*IF(Skills!H14&gt;0,Skills!I14/Skills!H14,1)</f>
        <v/>
      </c>
      <c r="H1037">
        <f>1-(1-Skills!J14/100)^Skills!K14</f>
        <v/>
      </c>
      <c r="I1037" t="inlineStr">
        <is>
          <t>1</t>
        </is>
      </c>
      <c r="J1037" t="inlineStr"/>
      <c r="K1037" t="inlineStr"/>
      <c r="L1037" t="inlineStr"/>
      <c r="M1037" t="inlineStr"/>
      <c r="N1037" t="inlineStr"/>
      <c r="O1037">
        <f>(1-Summary!$B$55)*T1037+Summary!$B$55*V1037</f>
        <v/>
      </c>
      <c r="P1037">
        <f>IF(B1065=0,0,O1037/B1065)</f>
        <v/>
      </c>
      <c r="Q1037" t="n">
        <v>0</v>
      </c>
      <c r="R1037" t="n">
        <v>0</v>
      </c>
      <c r="S1037" t="n">
        <v>0</v>
      </c>
      <c r="T1037" t="n">
        <v>0</v>
      </c>
      <c r="V1037" t="n">
        <v>0</v>
      </c>
    </row>
    <row r="1038">
      <c r="A1038">
        <f>Skills!A15</f>
        <v/>
      </c>
      <c r="B1038">
        <f>Skills!B15</f>
        <v/>
      </c>
      <c r="C1038">
        <f>Inputs!$B$3&gt;=117</f>
        <v/>
      </c>
      <c r="D1038">
        <f>IF(Skills!C15=1,60+Inputs!$B$25+Inputs!$B$29,IF(Skills!C15=2,90+Inputs!$B$26+Inputs!$B$29,IF(Skills!C15=3,120+Inputs!$B$27+Inputs!$B$29,MAX(0,(Inputs!$B$3-100)*3)+Inputs!$B$28+Inputs!$B$29)))</f>
        <v/>
      </c>
      <c r="E1038">
        <f>INDEX(FactorTable!$B$2:$Y$301, MATCH(ROUND(MIN(300,MAX(1,D1038)),0), FactorTable!$A$2:$A$301,0), Skills!M15+1)</f>
        <v/>
      </c>
      <c r="F1038">
        <f>IF(Skills!N15=TRUE,(Skills!L15/10)*(E1038/1000),Skills!L15/10)+Skills!O15</f>
        <v/>
      </c>
      <c r="G1038">
        <f>Skills!G15*IF(Skills!H15&gt;0,Skills!I15/Skills!H15,1)</f>
        <v/>
      </c>
      <c r="H1038">
        <f>1-(1-Skills!J15/100)^Skills!K15</f>
        <v/>
      </c>
      <c r="I1038" t="inlineStr">
        <is>
          <t>1</t>
        </is>
      </c>
      <c r="J1038" t="inlineStr"/>
      <c r="K1038" t="inlineStr"/>
      <c r="L1038" t="inlineStr"/>
      <c r="M1038" t="inlineStr"/>
      <c r="N1038" t="inlineStr"/>
      <c r="O1038">
        <f>(1-Summary!$B$55)*T1038+Summary!$B$55*V1038</f>
        <v/>
      </c>
      <c r="P1038">
        <f>IF(B1065=0,0,O1038/B1065)</f>
        <v/>
      </c>
      <c r="Q1038">
        <f>IFERROR(1/IF(Inputs!$B$38="pvp",15,MAX(0.1,Skills!D15-IF(Skills!E15=TRUE,Inputs!$B$32,0))),0)</f>
        <v/>
      </c>
      <c r="R1038">
        <f>IF(AND(Inputs!$B$38&lt;&gt;"pvp",Inputs!$B$43&gt;0),IF(Inputs!$B$43&lt;=0,0,(INT(Inputs!$B$43/IF(Inputs!$B$38="pvp",15,MAX(0.1,Skills!D15-IF(Skills!E15=TRUE,Inputs!$B$32,0))))+1)),0)</f>
        <v/>
      </c>
      <c r="S1038" t="n">
        <v>0</v>
      </c>
      <c r="T1038" t="n">
        <v>0</v>
      </c>
      <c r="V1038" t="n">
        <v>0</v>
      </c>
    </row>
    <row r="1039">
      <c r="A1039">
        <f>Skills!A16</f>
        <v/>
      </c>
      <c r="B1039">
        <f>Skills!B16</f>
        <v/>
      </c>
      <c r="C1039">
        <f>Inputs!$B$3&gt;=115</f>
        <v/>
      </c>
      <c r="D1039">
        <f>IF(Skills!C16=1,60+Inputs!$B$25+Inputs!$B$29,IF(Skills!C16=2,90+Inputs!$B$26+Inputs!$B$29,IF(Skills!C16=3,120+Inputs!$B$27+Inputs!$B$29,MAX(0,(Inputs!$B$3-100)*3)+Inputs!$B$28+Inputs!$B$29)))</f>
        <v/>
      </c>
      <c r="E1039">
        <f>INDEX(FactorTable!$B$2:$Y$301, MATCH(ROUND(MIN(300,MAX(1,D1039)),0), FactorTable!$A$2:$A$301,0), Skills!M16+1)</f>
        <v/>
      </c>
      <c r="F1039">
        <f>IF(Skills!N16=TRUE,(Skills!L16/10)*(E1039/1000),Skills!L16/10)+Skills!O16</f>
        <v/>
      </c>
      <c r="G1039">
        <f>Skills!G16*IF(Skills!H16&gt;0,Skills!I16/Skills!H16,1)</f>
        <v/>
      </c>
      <c r="H1039">
        <f>1-(1-Skills!J16/100)^Skills!K16</f>
        <v/>
      </c>
      <c r="I1039" t="inlineStr">
        <is>
          <t>1</t>
        </is>
      </c>
      <c r="J1039" t="inlineStr"/>
      <c r="K1039" t="inlineStr"/>
      <c r="L1039" t="inlineStr"/>
      <c r="M1039" t="inlineStr"/>
      <c r="N1039" t="inlineStr"/>
      <c r="O1039">
        <f>(1-Summary!$B$55)*T1039+Summary!$B$55*V1039</f>
        <v/>
      </c>
      <c r="P1039">
        <f>IF(B1065=0,0,O1039/B1065)</f>
        <v/>
      </c>
      <c r="Q1039">
        <f>IFERROR(1/IF(Inputs!$B$38="pvp",15,MAX(0.1,Skills!D16-IF(Skills!E16=TRUE,Inputs!$B$32,0))),0)</f>
        <v/>
      </c>
      <c r="R1039">
        <f>IF(AND(Inputs!$B$38&lt;&gt;"pvp",Inputs!$B$43&gt;0),IF(Inputs!$B$43&lt;=0,0,(INT(Inputs!$B$43/IF(Inputs!$B$38="pvp",15,MAX(0.1,Skills!D16-IF(Skills!E16=TRUE,Inputs!$B$32,0))))+1)),0)</f>
        <v/>
      </c>
      <c r="S1039" t="n">
        <v>0</v>
      </c>
      <c r="T1039" t="n">
        <v>0</v>
      </c>
      <c r="V1039" t="n">
        <v>0</v>
      </c>
    </row>
    <row r="1040">
      <c r="A1040">
        <f>Skills!A17</f>
        <v/>
      </c>
      <c r="B1040">
        <f>Skills!B17</f>
        <v/>
      </c>
      <c r="C1040">
        <f>Inputs!$B$3&gt;=72</f>
        <v/>
      </c>
      <c r="D1040">
        <f>IF(Skills!C17=1,60+Inputs!$B$25+Inputs!$B$29,IF(Skills!C17=2,90+Inputs!$B$26+Inputs!$B$29,IF(Skills!C17=3,120+Inputs!$B$27+Inputs!$B$29,MAX(0,(Inputs!$B$3-100)*3)+Inputs!$B$28+Inputs!$B$29)))</f>
        <v/>
      </c>
      <c r="E1040">
        <f>INDEX(FactorTable!$B$2:$Y$301, MATCH(ROUND(MIN(300,MAX(1,D1040)),0), FactorTable!$A$2:$A$301,0), Skills!M17+1)</f>
        <v/>
      </c>
      <c r="F1040">
        <f>IF(Skills!N17=TRUE,(Skills!L17/10)*(E1040/1000),Skills!L17/10)+Skills!O17</f>
        <v/>
      </c>
      <c r="G1040">
        <f>Skills!G17*IF(Skills!H17&gt;0,Skills!I17/Skills!H17,1)</f>
        <v/>
      </c>
      <c r="H1040">
        <f>1-(1-Skills!J17/100)^Skills!K17</f>
        <v/>
      </c>
      <c r="I1040" t="inlineStr">
        <is>
          <t>1</t>
        </is>
      </c>
      <c r="J1040" t="inlineStr"/>
      <c r="K1040" t="inlineStr"/>
      <c r="L1040" t="inlineStr"/>
      <c r="M1040" t="inlineStr"/>
      <c r="N1040" t="inlineStr"/>
      <c r="O1040">
        <f>(1-Summary!$B$55)*T1040+Summary!$B$55*V1040</f>
        <v/>
      </c>
      <c r="P1040">
        <f>IF(B1065=0,0,O1040/B1065)</f>
        <v/>
      </c>
      <c r="Q1040" t="n">
        <v>0</v>
      </c>
      <c r="R1040" t="n">
        <v>0</v>
      </c>
      <c r="S1040" t="n">
        <v>0</v>
      </c>
      <c r="T1040" t="n">
        <v>0</v>
      </c>
      <c r="V1040" t="n">
        <v>0</v>
      </c>
    </row>
    <row r="1041">
      <c r="A1041">
        <f>Skills!A18</f>
        <v/>
      </c>
      <c r="B1041">
        <f>Skills!B18</f>
        <v/>
      </c>
      <c r="C1041">
        <f>TRUE</f>
        <v/>
      </c>
      <c r="D1041">
        <f>IF(Skills!C18=1,60+Inputs!$B$25+Inputs!$B$29,IF(Skills!C18=2,90+Inputs!$B$26+Inputs!$B$29,IF(Skills!C18=3,120+Inputs!$B$27+Inputs!$B$29,MAX(0,(Inputs!$B$3-100)*3)+Inputs!$B$28+Inputs!$B$29)))</f>
        <v/>
      </c>
      <c r="E1041">
        <f>INDEX(FactorTable!$B$2:$Y$301, MATCH(ROUND(MIN(300,MAX(1,D1041)),0), FactorTable!$A$2:$A$301,0), Skills!M18+1)</f>
        <v/>
      </c>
      <c r="F1041">
        <f>IF(Skills!N18=TRUE,(Skills!L18/10)*(E1041/1000),Skills!L18/10)+Skills!O18</f>
        <v/>
      </c>
      <c r="G1041">
        <f>Skills!G18*IF(Skills!H18&gt;0,Skills!I18/Skills!H18,1)</f>
        <v/>
      </c>
      <c r="H1041">
        <f>1-(1-Skills!J18/100)^Skills!K18</f>
        <v/>
      </c>
      <c r="I1041" t="inlineStr">
        <is>
          <t>1</t>
        </is>
      </c>
      <c r="J1041" t="inlineStr"/>
      <c r="K1041" t="inlineStr"/>
      <c r="L1041" t="inlineStr"/>
      <c r="M1041" t="inlineStr"/>
      <c r="N1041" t="inlineStr"/>
      <c r="O1041">
        <f>(1-Summary!$B$55)*T1041+Summary!$B$55*V1041</f>
        <v/>
      </c>
      <c r="P1041">
        <f>IF(B1065=0,0,O1041/B1065)</f>
        <v/>
      </c>
      <c r="Q1041">
        <f>IFERROR(1/IF(Inputs!$B$38="pvp",15,MAX(0.1,Skills!D18-IF(Skills!E18=TRUE,Inputs!$B$32,0))),0)</f>
        <v/>
      </c>
      <c r="R1041">
        <f>IF(AND(Inputs!$B$38&lt;&gt;"pvp",Inputs!$B$43&gt;0),IF(Inputs!$B$43&lt;=0,0,(INT(Inputs!$B$43/IF(Inputs!$B$38="pvp",15,MAX(0.1,Skills!D18-IF(Skills!E18=TRUE,Inputs!$B$32,0))))+1)),0)</f>
        <v/>
      </c>
      <c r="S1041" t="n">
        <v>0</v>
      </c>
      <c r="T1041" t="n">
        <v>0</v>
      </c>
      <c r="V1041" t="n">
        <v>0</v>
      </c>
    </row>
    <row r="1042">
      <c r="A1042">
        <f>Skills!A19</f>
        <v/>
      </c>
      <c r="B1042">
        <f>Skills!B19</f>
        <v/>
      </c>
      <c r="C1042">
        <f>Inputs!$B$3&gt;=15</f>
        <v/>
      </c>
      <c r="D1042">
        <f>IF(Skills!C19=1,60+Inputs!$B$25+Inputs!$B$29,IF(Skills!C19=2,90+Inputs!$B$26+Inputs!$B$29,IF(Skills!C19=3,120+Inputs!$B$27+Inputs!$B$29,MAX(0,(Inputs!$B$3-100)*3)+Inputs!$B$28+Inputs!$B$29)))</f>
        <v/>
      </c>
      <c r="E1042">
        <f>INDEX(FactorTable!$B$2:$Y$301, MATCH(ROUND(MIN(300,MAX(1,D1042)),0), FactorTable!$A$2:$A$301,0), Skills!M19+1)</f>
        <v/>
      </c>
      <c r="F1042">
        <f>IF(Skills!N19=TRUE,(Skills!L19/10)*(E1042/1000),Skills!L19/10)+Skills!O19</f>
        <v/>
      </c>
      <c r="G1042">
        <f>Skills!G19*IF(Skills!H19&gt;0,Skills!I19/Skills!H19,1)</f>
        <v/>
      </c>
      <c r="H1042">
        <f>1-(1-Skills!J19/100)^Skills!K19</f>
        <v/>
      </c>
      <c r="I1042" t="inlineStr">
        <is>
          <t>1</t>
        </is>
      </c>
      <c r="J1042" t="inlineStr"/>
      <c r="K1042" t="inlineStr"/>
      <c r="L1042" t="inlineStr"/>
      <c r="M1042" t="inlineStr"/>
      <c r="N1042" t="inlineStr"/>
      <c r="O1042">
        <f>(1-Summary!$B$55)*T1042+Summary!$B$55*V1042</f>
        <v/>
      </c>
      <c r="P1042">
        <f>IF(B1065=0,0,O1042/B1065)</f>
        <v/>
      </c>
      <c r="Q1042" t="n">
        <v>0</v>
      </c>
      <c r="R1042" t="n">
        <v>0</v>
      </c>
      <c r="S1042" t="n">
        <v>0</v>
      </c>
      <c r="T1042" t="n">
        <v>0</v>
      </c>
      <c r="V1042" t="n">
        <v>0</v>
      </c>
    </row>
    <row r="1043">
      <c r="A1043">
        <f>Skills!A20</f>
        <v/>
      </c>
      <c r="B1043">
        <f>Skills!B20</f>
        <v/>
      </c>
      <c r="C1043">
        <f>Inputs!$B$3&gt;=10</f>
        <v/>
      </c>
      <c r="D1043">
        <f>IF(Skills!C20=1,60+Inputs!$B$25+Inputs!$B$29,IF(Skills!C20=2,90+Inputs!$B$26+Inputs!$B$29,IF(Skills!C20=3,120+Inputs!$B$27+Inputs!$B$29,MAX(0,(Inputs!$B$3-100)*3)+Inputs!$B$28+Inputs!$B$29)))</f>
        <v/>
      </c>
      <c r="E1043">
        <f>INDEX(FactorTable!$B$2:$Y$301, MATCH(ROUND(MIN(300,MAX(1,D1043)),0), FactorTable!$A$2:$A$301,0), Skills!M20+1)</f>
        <v/>
      </c>
      <c r="F1043">
        <f>IF(Skills!N20=TRUE,(Skills!L20/10)*(E1043/1000),Skills!L20/10)+Skills!O20</f>
        <v/>
      </c>
      <c r="G1043">
        <f>Skills!G20*IF(Skills!H20&gt;0,Skills!I20/Skills!H20,1)</f>
        <v/>
      </c>
      <c r="H1043">
        <f>1-(1-Skills!J20/100)^Skills!K20</f>
        <v/>
      </c>
      <c r="I1043" t="inlineStr">
        <is>
          <t>1</t>
        </is>
      </c>
      <c r="J1043" t="inlineStr"/>
      <c r="K1043" t="inlineStr"/>
      <c r="L1043" t="inlineStr"/>
      <c r="M1043" t="inlineStr"/>
      <c r="N1043" t="inlineStr"/>
      <c r="O1043">
        <f>(1-Summary!$B$55)*T1043+Summary!$B$55*V1043</f>
        <v/>
      </c>
      <c r="P1043">
        <f>IF(B1065=0,0,O1043/B1065)</f>
        <v/>
      </c>
      <c r="Q1043" t="n">
        <v>0</v>
      </c>
      <c r="R1043" t="n">
        <v>0</v>
      </c>
      <c r="S1043" t="n">
        <v>0</v>
      </c>
      <c r="T1043" t="n">
        <v>0</v>
      </c>
      <c r="V1043" t="n">
        <v>0</v>
      </c>
    </row>
    <row r="1044">
      <c r="A1044">
        <f>Skills!A21</f>
        <v/>
      </c>
      <c r="B1044">
        <f>Skills!B21</f>
        <v/>
      </c>
      <c r="C1044">
        <f>Inputs!$B$3&gt;=33</f>
        <v/>
      </c>
      <c r="D1044">
        <f>IF(Skills!C21=1,60+Inputs!$B$25+Inputs!$B$29,IF(Skills!C21=2,90+Inputs!$B$26+Inputs!$B$29,IF(Skills!C21=3,120+Inputs!$B$27+Inputs!$B$29,MAX(0,(Inputs!$B$3-100)*3)+Inputs!$B$28+Inputs!$B$29)))</f>
        <v/>
      </c>
      <c r="E1044">
        <f>INDEX(FactorTable!$B$2:$Y$301, MATCH(ROUND(MIN(300,MAX(1,D1044)),0), FactorTable!$A$2:$A$301,0), Skills!M21+1)</f>
        <v/>
      </c>
      <c r="F1044">
        <f>IF(Skills!N21=TRUE,(Skills!L21/10)*(E1044/1000),Skills!L21/10)+Skills!O21</f>
        <v/>
      </c>
      <c r="G1044">
        <f>Skills!G21*IF(Skills!H21&gt;0,Skills!I21/Skills!H21,1)</f>
        <v/>
      </c>
      <c r="H1044">
        <f>1-(1-Skills!J21/100)^Skills!K21</f>
        <v/>
      </c>
      <c r="I1044" t="inlineStr">
        <is>
          <t>1</t>
        </is>
      </c>
      <c r="J1044" t="inlineStr"/>
      <c r="K1044" t="inlineStr"/>
      <c r="L1044" t="inlineStr"/>
      <c r="M1044" t="inlineStr"/>
      <c r="N1044" t="inlineStr"/>
      <c r="O1044">
        <f>(1-Summary!$B$55)*T1044+Summary!$B$55*V1044</f>
        <v/>
      </c>
      <c r="P1044">
        <f>IF(B1065=0,0,O1044/B1065)</f>
        <v/>
      </c>
      <c r="Q1044" t="n">
        <v>0</v>
      </c>
      <c r="R1044" t="n">
        <v>0</v>
      </c>
      <c r="S1044" t="n">
        <v>0</v>
      </c>
      <c r="T1044" t="n">
        <v>0</v>
      </c>
      <c r="V1044" t="n">
        <v>0</v>
      </c>
    </row>
    <row r="1045">
      <c r="A1045">
        <f>Skills!A22</f>
        <v/>
      </c>
      <c r="B1045">
        <f>Skills!B22</f>
        <v/>
      </c>
      <c r="C1045">
        <f>Inputs!$B$3&gt;=38</f>
        <v/>
      </c>
      <c r="D1045">
        <f>IF(Skills!C22=1,60+Inputs!$B$25+Inputs!$B$29,IF(Skills!C22=2,90+Inputs!$B$26+Inputs!$B$29,IF(Skills!C22=3,120+Inputs!$B$27+Inputs!$B$29,MAX(0,(Inputs!$B$3-100)*3)+Inputs!$B$28+Inputs!$B$29)))</f>
        <v/>
      </c>
      <c r="E1045">
        <f>INDEX(FactorTable!$B$2:$Y$301, MATCH(ROUND(MIN(300,MAX(1,D1045)),0), FactorTable!$A$2:$A$301,0), Skills!M22+1)</f>
        <v/>
      </c>
      <c r="F1045">
        <f>IF(Skills!N22=TRUE,(Skills!L22/10)*(E1045/1000),Skills!L22/10)+Skills!O22</f>
        <v/>
      </c>
      <c r="G1045">
        <f>Skills!G22*IF(Skills!H22&gt;0,Skills!I22/Skills!H22,1)</f>
        <v/>
      </c>
      <c r="H1045">
        <f>1-(1-Skills!J22/100)^Skills!K22</f>
        <v/>
      </c>
      <c r="I1045" t="inlineStr">
        <is>
          <t>1</t>
        </is>
      </c>
      <c r="J1045" t="inlineStr"/>
      <c r="K1045" t="inlineStr"/>
      <c r="L1045" t="inlineStr"/>
      <c r="M1045" t="inlineStr"/>
      <c r="N1045" t="inlineStr"/>
      <c r="O1045">
        <f>(1-Summary!$B$55)*T1045+Summary!$B$55*V1045</f>
        <v/>
      </c>
      <c r="P1045">
        <f>IF(B1065=0,0,O1045/B1065)</f>
        <v/>
      </c>
      <c r="Q1045" t="n">
        <v>0</v>
      </c>
      <c r="R1045" t="n">
        <v>0</v>
      </c>
      <c r="S1045" t="n">
        <v>0</v>
      </c>
      <c r="T1045" t="n">
        <v>0</v>
      </c>
      <c r="V1045" t="n">
        <v>0</v>
      </c>
    </row>
    <row r="1046">
      <c r="A1046">
        <f>Skills!A23</f>
        <v/>
      </c>
      <c r="B1046">
        <f>Skills!B23</f>
        <v/>
      </c>
      <c r="C1046">
        <f>Inputs!$B$3&gt;=43</f>
        <v/>
      </c>
      <c r="D1046">
        <f>IF(Skills!C23=1,60+Inputs!$B$25+Inputs!$B$29,IF(Skills!C23=2,90+Inputs!$B$26+Inputs!$B$29,IF(Skills!C23=3,120+Inputs!$B$27+Inputs!$B$29,MAX(0,(Inputs!$B$3-100)*3)+Inputs!$B$28+Inputs!$B$29)))</f>
        <v/>
      </c>
      <c r="E1046">
        <f>INDEX(FactorTable!$B$2:$Y$301, MATCH(ROUND(MIN(300,MAX(1,D1046)),0), FactorTable!$A$2:$A$301,0), Skills!M23+1)</f>
        <v/>
      </c>
      <c r="F1046">
        <f>IF(Skills!N23=TRUE,(Skills!L23/10)*(E1046/1000),Skills!L23/10)+Skills!O23</f>
        <v/>
      </c>
      <c r="G1046">
        <f>Skills!G23*IF(Skills!H23&gt;0,Skills!I23/Skills!H23,1)</f>
        <v/>
      </c>
      <c r="H1046">
        <f>1-(1-Skills!J23/100)^Skills!K23</f>
        <v/>
      </c>
      <c r="I1046" t="inlineStr">
        <is>
          <t>1</t>
        </is>
      </c>
      <c r="J1046" t="inlineStr"/>
      <c r="K1046" t="inlineStr"/>
      <c r="L1046" t="inlineStr"/>
      <c r="M1046" t="inlineStr"/>
      <c r="N1046" t="inlineStr"/>
      <c r="O1046">
        <f>(1-Summary!$B$55)*T1046+Summary!$B$55*V1046</f>
        <v/>
      </c>
      <c r="P1046">
        <f>IF(B1065=0,0,O1046/B1065)</f>
        <v/>
      </c>
      <c r="Q1046" t="n">
        <v>0</v>
      </c>
      <c r="R1046" t="n">
        <v>0</v>
      </c>
      <c r="S1046" t="n">
        <v>0</v>
      </c>
      <c r="T1046" t="n">
        <v>0</v>
      </c>
      <c r="V1046" t="n">
        <v>0</v>
      </c>
    </row>
    <row r="1047">
      <c r="A1047">
        <f>Skills!A24</f>
        <v/>
      </c>
      <c r="B1047">
        <f>Skills!B24</f>
        <v/>
      </c>
      <c r="C1047">
        <f>Inputs!$B$3&gt;=75</f>
        <v/>
      </c>
      <c r="D1047">
        <f>IF(Skills!C24=1,60+Inputs!$B$25+Inputs!$B$29,IF(Skills!C24=2,90+Inputs!$B$26+Inputs!$B$29,IF(Skills!C24=3,120+Inputs!$B$27+Inputs!$B$29,MAX(0,(Inputs!$B$3-100)*3)+Inputs!$B$28+Inputs!$B$29)))</f>
        <v/>
      </c>
      <c r="E1047">
        <f>INDEX(FactorTable!$B$2:$Y$301, MATCH(ROUND(MIN(300,MAX(1,D1047)),0), FactorTable!$A$2:$A$301,0), Skills!M24+1)</f>
        <v/>
      </c>
      <c r="F1047">
        <f>IF(Skills!N24=TRUE,(Skills!L24/10)*(E1047/1000),Skills!L24/10)+Skills!O24</f>
        <v/>
      </c>
      <c r="G1047">
        <f>Skills!G24*IF(Skills!H24&gt;0,Skills!I24/Skills!H24,1)</f>
        <v/>
      </c>
      <c r="H1047">
        <f>1-(1-Skills!J24/100)^Skills!K24</f>
        <v/>
      </c>
      <c r="I1047" t="inlineStr">
        <is>
          <t>1</t>
        </is>
      </c>
      <c r="J1047" t="inlineStr"/>
      <c r="K1047" t="inlineStr"/>
      <c r="L1047" t="inlineStr"/>
      <c r="M1047" t="inlineStr"/>
      <c r="N1047" t="inlineStr"/>
      <c r="O1047">
        <f>(1-Summary!$B$55)*T1047+Summary!$B$55*V1047</f>
        <v/>
      </c>
      <c r="P1047">
        <f>IF(B1065=0,0,O1047/B1065)</f>
        <v/>
      </c>
      <c r="Q1047" t="n">
        <v>0</v>
      </c>
      <c r="R1047" t="n">
        <v>0</v>
      </c>
      <c r="S1047" t="n">
        <v>0</v>
      </c>
      <c r="T1047" t="n">
        <v>0</v>
      </c>
      <c r="V1047" t="n">
        <v>0</v>
      </c>
    </row>
    <row r="1048">
      <c r="A1048">
        <f>Skills!A25</f>
        <v/>
      </c>
      <c r="B1048">
        <f>Skills!B25</f>
        <v/>
      </c>
      <c r="C1048">
        <f>Inputs!$B$3&gt;=125</f>
        <v/>
      </c>
      <c r="D1048">
        <f>IF(Skills!C25=1,60+Inputs!$B$25+Inputs!$B$29,IF(Skills!C25=2,90+Inputs!$B$26+Inputs!$B$29,IF(Skills!C25=3,120+Inputs!$B$27+Inputs!$B$29,MAX(0,(Inputs!$B$3-100)*3)+Inputs!$B$28+Inputs!$B$29)))</f>
        <v/>
      </c>
      <c r="E1048">
        <f>INDEX(FactorTable!$B$2:$Y$301, MATCH(ROUND(MIN(300,MAX(1,D1048)),0), FactorTable!$A$2:$A$301,0), Skills!M25+1)</f>
        <v/>
      </c>
      <c r="F1048">
        <f>IF(Skills!N25=TRUE,(Skills!L25/10)*(E1048/1000),Skills!L25/10)+Skills!O25</f>
        <v/>
      </c>
      <c r="G1048">
        <f>Skills!G25*IF(Skills!H25&gt;0,Skills!I25/Skills!H25,1)</f>
        <v/>
      </c>
      <c r="H1048">
        <f>1-(1-Skills!J25/100)^Skills!K25</f>
        <v/>
      </c>
      <c r="I1048" t="inlineStr">
        <is>
          <t>1</t>
        </is>
      </c>
      <c r="J1048" t="inlineStr"/>
      <c r="K1048" t="inlineStr"/>
      <c r="L1048" t="inlineStr"/>
      <c r="M1048" t="inlineStr"/>
      <c r="N1048" t="inlineStr"/>
      <c r="O1048">
        <f>(1-Summary!$B$55)*T1048+Summary!$B$55*V1048</f>
        <v/>
      </c>
      <c r="P1048">
        <f>IF(B1065=0,0,O1048/B1065)</f>
        <v/>
      </c>
      <c r="Q1048" t="n">
        <v>0</v>
      </c>
      <c r="R1048" t="n">
        <v>0</v>
      </c>
      <c r="S1048" t="n">
        <v>0</v>
      </c>
      <c r="T1048" t="n">
        <v>0</v>
      </c>
      <c r="V1048" t="n">
        <v>0</v>
      </c>
    </row>
    <row r="1049">
      <c r="A1049">
        <f>Skills!A26</f>
        <v/>
      </c>
      <c r="B1049">
        <f>Skills!B26</f>
        <v/>
      </c>
      <c r="C1049">
        <f>Inputs!$B$3&gt;=125</f>
        <v/>
      </c>
      <c r="D1049">
        <f>IF(Skills!C26=1,60+Inputs!$B$25+Inputs!$B$29,IF(Skills!C26=2,90+Inputs!$B$26+Inputs!$B$29,IF(Skills!C26=3,120+Inputs!$B$27+Inputs!$B$29,MAX(0,(Inputs!$B$3-100)*3)+Inputs!$B$28+Inputs!$B$29)))</f>
        <v/>
      </c>
      <c r="E1049">
        <f>INDEX(FactorTable!$B$2:$Y$301, MATCH(ROUND(MIN(300,MAX(1,D1049)),0), FactorTable!$A$2:$A$301,0), Skills!M26+1)</f>
        <v/>
      </c>
      <c r="F1049">
        <f>IF(Skills!N26=TRUE,(Skills!L26/10)*(E1049/1000),Skills!L26/10)+Skills!O26</f>
        <v/>
      </c>
      <c r="G1049">
        <f>Skills!G26*IF(Skills!H26&gt;0,Skills!I26/Skills!H26,1)</f>
        <v/>
      </c>
      <c r="H1049">
        <f>1-(1-Skills!J26/100)^Skills!K26</f>
        <v/>
      </c>
      <c r="I1049" t="inlineStr">
        <is>
          <t>1</t>
        </is>
      </c>
      <c r="J1049" t="inlineStr"/>
      <c r="K1049" t="inlineStr"/>
      <c r="L1049" t="inlineStr"/>
      <c r="M1049" t="inlineStr"/>
      <c r="N1049" t="inlineStr"/>
      <c r="O1049">
        <f>(1-Summary!$B$55)*T1049+Summary!$B$55*V1049</f>
        <v/>
      </c>
      <c r="P1049">
        <f>IF(B1065=0,0,O1049/B1065)</f>
        <v/>
      </c>
      <c r="Q1049" t="n">
        <v>0</v>
      </c>
      <c r="R1049" t="n">
        <v>0</v>
      </c>
      <c r="S1049" t="n">
        <v>0</v>
      </c>
      <c r="T1049" t="n">
        <v>0</v>
      </c>
      <c r="V1049" t="n">
        <v>0</v>
      </c>
    </row>
    <row r="1050">
      <c r="A1050">
        <f>Skills!A27</f>
        <v/>
      </c>
      <c r="B1050">
        <f>Skills!B27</f>
        <v/>
      </c>
      <c r="C1050">
        <f>Inputs!$B$3&gt;=120</f>
        <v/>
      </c>
      <c r="D1050">
        <f>IF(Skills!C27=1,60+Inputs!$B$25+Inputs!$B$29,IF(Skills!C27=2,90+Inputs!$B$26+Inputs!$B$29,IF(Skills!C27=3,120+Inputs!$B$27+Inputs!$B$29,MAX(0,(Inputs!$B$3-100)*3)+Inputs!$B$28+Inputs!$B$29)))</f>
        <v/>
      </c>
      <c r="E1050">
        <f>INDEX(FactorTable!$B$2:$Y$301, MATCH(ROUND(MIN(300,MAX(1,D1050)),0), FactorTable!$A$2:$A$301,0), Skills!M27+1)</f>
        <v/>
      </c>
      <c r="F1050">
        <f>IF(Skills!N27=TRUE,(Skills!L27/10)*(E1050/1000),Skills!L27/10)+Skills!O27</f>
        <v/>
      </c>
      <c r="G1050">
        <f>Skills!G27*IF(Skills!H27&gt;0,Skills!I27/Skills!H27,1)</f>
        <v/>
      </c>
      <c r="H1050">
        <f>1-(1-Skills!J27/100)^Skills!K27</f>
        <v/>
      </c>
      <c r="I1050" t="inlineStr">
        <is>
          <t>1</t>
        </is>
      </c>
      <c r="J1050" t="inlineStr"/>
      <c r="K1050" t="inlineStr"/>
      <c r="L1050" t="inlineStr"/>
      <c r="M1050" t="inlineStr"/>
      <c r="N1050" t="inlineStr"/>
      <c r="O1050">
        <f>(1-Summary!$B$55)*T1050+Summary!$B$55*V1050</f>
        <v/>
      </c>
      <c r="P1050">
        <f>IF(B1065=0,0,O1050/B1065)</f>
        <v/>
      </c>
      <c r="Q1050" t="n">
        <v>0</v>
      </c>
      <c r="R1050" t="n">
        <v>0</v>
      </c>
      <c r="S1050" t="n">
        <v>0</v>
      </c>
      <c r="T1050" t="n">
        <v>0</v>
      </c>
      <c r="V1050" t="n">
        <v>0</v>
      </c>
    </row>
    <row r="1051">
      <c r="A1051">
        <f>Skills!A28</f>
        <v/>
      </c>
      <c r="B1051">
        <f>Skills!B28</f>
        <v/>
      </c>
      <c r="C1051">
        <f>Inputs!$B$3&gt;=120</f>
        <v/>
      </c>
      <c r="D1051">
        <f>IF(Skills!C28=1,60+Inputs!$B$25+Inputs!$B$29,IF(Skills!C28=2,90+Inputs!$B$26+Inputs!$B$29,IF(Skills!C28=3,120+Inputs!$B$27+Inputs!$B$29,MAX(0,(Inputs!$B$3-100)*3)+Inputs!$B$28+Inputs!$B$29)))</f>
        <v/>
      </c>
      <c r="E1051">
        <f>INDEX(FactorTable!$B$2:$Y$301, MATCH(ROUND(MIN(300,MAX(1,D1051)),0), FactorTable!$A$2:$A$301,0), Skills!M28+1)</f>
        <v/>
      </c>
      <c r="F1051">
        <f>IF(Skills!N28=TRUE,(Skills!L28/10)*(E1051/1000),Skills!L28/10)+Skills!O28</f>
        <v/>
      </c>
      <c r="G1051">
        <f>Skills!G28*IF(Skills!H28&gt;0,Skills!I28/Skills!H28,1)</f>
        <v/>
      </c>
      <c r="H1051">
        <f>1-(1-Skills!J28/100)^Skills!K28</f>
        <v/>
      </c>
      <c r="I1051" t="inlineStr">
        <is>
          <t>1</t>
        </is>
      </c>
      <c r="J1051" t="inlineStr"/>
      <c r="K1051" t="inlineStr"/>
      <c r="L1051" t="inlineStr"/>
      <c r="M1051" t="inlineStr"/>
      <c r="N1051" t="inlineStr"/>
      <c r="O1051">
        <f>(1-Summary!$B$55)*T1051+Summary!$B$55*V1051</f>
        <v/>
      </c>
      <c r="P1051">
        <f>IF(B1065=0,0,O1051/B1065)</f>
        <v/>
      </c>
      <c r="Q1051" t="n">
        <v>0</v>
      </c>
      <c r="R1051" t="n">
        <v>0</v>
      </c>
      <c r="S1051" t="n">
        <v>0</v>
      </c>
      <c r="T1051" t="n">
        <v>0</v>
      </c>
      <c r="V1051" t="n">
        <v>0</v>
      </c>
    </row>
    <row r="1052">
      <c r="A1052">
        <f>Skills!A29</f>
        <v/>
      </c>
      <c r="B1052">
        <f>Skills!B29</f>
        <v/>
      </c>
      <c r="C1052">
        <f>Inputs!$B$3&gt;=45</f>
        <v/>
      </c>
      <c r="D1052">
        <f>IF(Skills!C29=1,60+Inputs!$B$25+Inputs!$B$29,IF(Skills!C29=2,90+Inputs!$B$26+Inputs!$B$29,IF(Skills!C29=3,120+Inputs!$B$27+Inputs!$B$29,MAX(0,(Inputs!$B$3-100)*3)+Inputs!$B$28+Inputs!$B$29)))</f>
        <v/>
      </c>
      <c r="E1052">
        <f>INDEX(FactorTable!$B$2:$Y$301, MATCH(ROUND(MIN(300,MAX(1,D1052)),0), FactorTable!$A$2:$A$301,0), Skills!M29+1)</f>
        <v/>
      </c>
      <c r="F1052">
        <f>IF(Skills!N29=TRUE,(Skills!L29/10)*(E1052/1000),Skills!L29/10)+Skills!O29</f>
        <v/>
      </c>
      <c r="G1052">
        <f>Skills!G29*IF(Skills!H29&gt;0,Skills!I29/Skills!H29,1)</f>
        <v/>
      </c>
      <c r="H1052">
        <f>1-(1-Skills!J29/100)^Skills!K29</f>
        <v/>
      </c>
      <c r="I1052" t="inlineStr">
        <is>
          <t>1</t>
        </is>
      </c>
      <c r="J1052" t="inlineStr"/>
      <c r="K1052" t="inlineStr"/>
      <c r="L1052" t="inlineStr"/>
      <c r="M1052" t="inlineStr"/>
      <c r="N1052" t="inlineStr"/>
      <c r="O1052">
        <f>(1-Summary!$B$55)*T1052+Summary!$B$55*V1052</f>
        <v/>
      </c>
      <c r="P1052">
        <f>IF(B1065=0,0,O1052/B1065)</f>
        <v/>
      </c>
      <c r="Q1052" t="n">
        <v>0</v>
      </c>
      <c r="R1052" t="n">
        <v>0</v>
      </c>
      <c r="S1052" t="n">
        <v>0</v>
      </c>
      <c r="T1052" t="n">
        <v>0</v>
      </c>
      <c r="V1052" t="n">
        <v>0</v>
      </c>
    </row>
    <row r="1054">
      <c r="A1054" t="inlineStr">
        <is>
          <t>Attack% Bucket Multiplier</t>
        </is>
      </c>
      <c r="B1054">
        <f>(1+(((C1036=TRUE)*F1036)+((C1037=TRUE)*IF(Inputs!$B$38="pvp",F1037,(1-Summary!$B$55)*(F1037)+Summary!$B$55*(0)))+((C1038=TRUE)*F1038*IF(AND(Inputs!$B$38&lt;&gt;"pvp",Inputs!$B$43&gt;0),(((R1038-1)*(Skills!T15*(1+Inputs!$B$34/100))+MIN((Skills!T15*(1+Inputs!$B$34/100)),MAX(0,Inputs!$B$43-((R1038-1)*Skills!D15))))/Inputs!$B$43),IF(Inputs!$B$38="pvp",MIN((Skills!T15*(1+Inputs!$B$34/100)),15)/15,(Skills!T15*(1+Inputs!$B$34/100))/Skills!D15)))+((C1035=TRUE)*F1035)+((C1052=TRUE)*(F1052-Calc!F29)))/100)</f>
        <v/>
      </c>
    </row>
    <row r="1055">
      <c r="A1055" t="inlineStr">
        <is>
          <t>Global Crit Rate Bonus %</t>
        </is>
      </c>
      <c r="B1055">
        <f>(C1039=TRUE)*20*IF(AND(Inputs!$B$38&lt;&gt;"pvp",Inputs!$B$43&gt;0),(((R1039-1)*(Skills!T16*(1+Inputs!$B$34/100))+MIN((Skills!T16*(1+Inputs!$B$34/100)),MAX(0,Inputs!$B$43-((R1039-1)*Skills!D16))))/Inputs!$B$43),IF(Inputs!$B$38="pvp",MIN((Skills!T16*(1+Inputs!$B$34/100)),15)/15,(Skills!T16*(1+Inputs!$B$34/100))/Skills!D16))</f>
        <v/>
      </c>
    </row>
    <row r="1056">
      <c r="A1056" t="inlineStr">
        <is>
          <t>Attack Speed Buff Bonus %</t>
        </is>
      </c>
      <c r="B1056">
        <f>((C1041=TRUE)*F1041*IF(AND(Inputs!$B$38&lt;&gt;"pvp",Inputs!$B$43&gt;0),(((R1041-1)*(Skills!T18*(1+Inputs!$B$34/100))+MIN((Skills!T18*(1+Inputs!$B$34/100)),MAX(0,Inputs!$B$43-((R1041-1)*Skills!D18))))/Inputs!$B$43),IF(Inputs!$B$38="pvp",MIN((Skills!T18*(1+Inputs!$B$34/100)),15)/15,(Skills!T18*(1+Inputs!$B$34/100))/Skills!D18)))</f>
        <v/>
      </c>
    </row>
    <row r="1057">
      <c r="A1057" t="inlineStr">
        <is>
          <t>Actions Per Second</t>
        </is>
      </c>
      <c r="B1057">
        <f>1+MIN(150,150*(1-(1-(Inputs!$B$11+((C1043=TRUE)*(F1043-Calc!F20))+((C1044=TRUE)*(F1044-Calc!F21)))/150)*(1-B1056/150)))/100</f>
        <v/>
      </c>
    </row>
    <row r="1058">
      <c r="A1058" t="inlineStr">
        <is>
          <t>Skill + Buff Cast Rate</t>
        </is>
      </c>
      <c r="B1058">
        <f>IF(AND(Inputs!$B$38&lt;&gt;"pvp",Inputs!$B$43&gt;0),SUMPRODUCT((Skills!E2:E29=TRUE)*(C1025:C1052=TRUE)*R1025:R1052*Skills!F2:F29)/Inputs!$B$43,SUMPRODUCT((Skills!E2:E29=TRUE)*(C1025:C1052=TRUE)*Q1025:Q1052*Skills!F2:F29))</f>
        <v/>
      </c>
    </row>
    <row r="1059">
      <c r="A1059" t="inlineStr">
        <is>
          <t>Empowered Piercing Arrow Casts Per Second</t>
        </is>
      </c>
      <c r="B1059">
        <f>MAX(0,B1057-B1058)</f>
        <v/>
      </c>
    </row>
    <row r="1060">
      <c r="A1060" t="inlineStr">
        <is>
          <t>Global Critical Damage Bonus % (Sharp Eyes)</t>
        </is>
      </c>
      <c r="B1060">
        <f>(C1039=TRUE)*F1039*IF(AND(Inputs!$B$38&lt;&gt;"pvp",Inputs!$B$43&gt;0),(((R1039-1)*(Skills!T16*(1+Inputs!$B$34/100))+MIN((Skills!T16*(1+Inputs!$B$34/100)),MAX(0,Inputs!$B$43-((R1039-1)*Skills!D16))))/Inputs!$B$43),IF(Inputs!$B$38="pvp",MIN((Skills!T16*(1+Inputs!$B$34/100)),15)/15,(Skills!T16*(1+Inputs!$B$34/100))/Skills!D16))</f>
        <v/>
      </c>
    </row>
    <row r="1061">
      <c r="A1061" t="inlineStr">
        <is>
          <t>Global Final Damage Bonus % (Mortal Blow + Last Man Standing conditional half)</t>
        </is>
      </c>
      <c r="B1061">
        <f>(C1040=TRUE)*F1040+((C1049=TRUE)*IF(Inputs!$B$38="pvp",F1049,(1-Summary!$B$55)*(F1049)+Summary!$B$55*(0)))</f>
        <v/>
      </c>
    </row>
    <row r="1062">
      <c r="A1062" t="inlineStr">
        <is>
          <t>Buff-Casting Startup Delay (s, fixed-duration only)</t>
        </is>
      </c>
      <c r="B1062">
        <f>IF(AND(Inputs!$B$38&lt;&gt;"pvp",Inputs!$B$43&gt;0),SUMPRODUCT((Skills!T2:T29&gt;0)*(Skills!E2:E29=TRUE)*(C1025:C1052=TRUE))/B1057,0)</f>
        <v/>
      </c>
    </row>
    <row r="1063">
      <c r="A1063" t="inlineStr">
        <is>
          <t>Boss-Only Total DPS (this block's swept value)</t>
        </is>
      </c>
      <c r="B1063">
        <f>SUM(T1025:T1052)</f>
        <v/>
      </c>
    </row>
    <row r="1064">
      <c r="A1064" t="inlineStr">
        <is>
          <t>Normal-Only Total DPS (this block's swept value)</t>
        </is>
      </c>
      <c r="B1064">
        <f>SUM(V1025:V1052)</f>
        <v/>
      </c>
    </row>
    <row r="1065">
      <c r="A1065" s="5" t="inlineStr">
        <is>
          <t>TOTAL DPS</t>
        </is>
      </c>
      <c r="B1065" s="5">
        <f>SUM(O1025:O1052)</f>
        <v/>
      </c>
    </row>
    <row r="1068">
      <c r="A1068" s="5" t="inlineStr">
        <is>
          <t>Stat: Skill Cooldown Decrease (seconds)</t>
        </is>
      </c>
    </row>
    <row r="1069">
      <c r="A1069" s="9" t="inlineStr">
        <is>
          <t>Key</t>
        </is>
      </c>
      <c r="B1069" s="9" t="inlineStr">
        <is>
          <t>Name</t>
        </is>
      </c>
      <c r="C1069" s="9" t="inlineStr">
        <is>
          <t>Unlocked</t>
        </is>
      </c>
      <c r="D1069" s="9" t="inlineStr">
        <is>
          <t>InputLevel</t>
        </is>
      </c>
      <c r="E1069" s="9" t="inlineStr">
        <is>
          <t>Factor</t>
        </is>
      </c>
      <c r="F1069" s="9" t="inlineStr">
        <is>
          <t>CoefficientPercent</t>
        </is>
      </c>
      <c r="G1069" s="9" t="inlineStr">
        <is>
          <t>EffectiveHits</t>
        </is>
      </c>
      <c r="H1069" s="9" t="inlineStr">
        <is>
          <t>ProcProbability</t>
        </is>
      </c>
      <c r="I1069" s="9" t="inlineStr">
        <is>
          <t>MapleHeroMultiplier</t>
        </is>
      </c>
      <c r="J1069" s="9" t="inlineStr">
        <is>
          <t>BaseDamage</t>
        </is>
      </c>
      <c r="K1069" s="9" t="inlineStr">
        <is>
          <t>BaseHitDamage</t>
        </is>
      </c>
      <c r="L1069" s="9" t="inlineStr">
        <is>
          <t>NonCritAvg</t>
        </is>
      </c>
      <c r="M1069" s="9" t="inlineStr">
        <is>
          <t>CritAvg</t>
        </is>
      </c>
      <c r="N1069" s="9" t="inlineStr">
        <is>
          <t>ExpectedDamage(perHit)</t>
        </is>
      </c>
      <c r="O1069" s="9" t="inlineStr">
        <is>
          <t>DPS</t>
        </is>
      </c>
      <c r="P1069" s="9" t="inlineStr">
        <is>
          <t>% of Total</t>
        </is>
      </c>
      <c r="Q1069" s="9" t="inlineStr">
        <is>
          <t>InvCooldown</t>
        </is>
      </c>
      <c r="R1069" s="9" t="inlineStr">
        <is>
          <t>CastsInFight</t>
        </is>
      </c>
      <c r="S1069" s="9" t="inlineStr">
        <is>
          <t>HitRate(perSec)</t>
        </is>
      </c>
      <c r="U1069" t="inlineStr">
        <is>
          <t>helpers</t>
        </is>
      </c>
    </row>
    <row r="1070">
      <c r="A1070">
        <f>Skills!A2</f>
        <v/>
      </c>
      <c r="B1070">
        <f>Skills!B2</f>
        <v/>
      </c>
      <c r="C1070">
        <f>Inputs!$B$3&gt;=100</f>
        <v/>
      </c>
      <c r="D1070" t="inlineStr"/>
      <c r="E1070" t="inlineStr"/>
      <c r="F1070">
        <f>U1072+Skills!O2</f>
        <v/>
      </c>
      <c r="G1070">
        <f>Skills!G2*IF(Skills!H2&gt;0,Skills!I2/Skills!H2,1)</f>
        <v/>
      </c>
      <c r="H1070">
        <f>1-(1-Skills!J2/100)^Skills!K2</f>
        <v/>
      </c>
      <c r="I1070" t="inlineStr">
        <is>
          <t>1</t>
        </is>
      </c>
      <c r="J1070">
        <f>((Inputs!$B$6*(1+Inputs!$B$7/100))+(((Inputs!$B$12*(1+Inputs!$B$13/100))-(Inputs!$B$12*(1+Inputs!$B$13/100)))+0.25*(Inputs!$B$14-Inputs!$B$14))*(1+Inputs!$B$7/100))*(F1070/100)</f>
        <v/>
      </c>
      <c r="K1070">
        <f>J1070*(1+((Inputs!$B$12*(1+Inputs!$B$13/100))*0.01+Inputs!$B$14*0.0025)/100)*(1+Inputs!$B$15/100)*(1+Inputs!$B$16/100)*(5000/(6000+Inputs!$B$42*(1-(Inputs!$B$19+0)/100)))*(1+(Inputs!$B$24+((C1092=TRUE)*(F1092-Calc!F24))+((C1093=TRUE)*(F1093-Calc!F25))+B1106)/100)*(1+(IF(Skills!A2="EMPOWERED_PIERCING_ARROW",Inputs!$B$17+((C1090=TRUE)*(F1090-Calc!F22)),Inputs!$B$18+((C1095=TRUE)*(F1095-Calc!F27))))/100)*((1+(((C1081=TRUE)*F1081)+((C1082=TRUE)*IF(Inputs!$B$38="pvp",F1082,(1-Summary!$B$55)*(F1082)+Summary!$B$55*(0)))+((C1083=TRUE)*F1083*IF(AND(Inputs!$B$38&lt;&gt;"pvp",Inputs!$B$43&gt;0),(((R1083-1)*(Skills!T15*(1+Inputs!$B$34/100))+MIN((Skills!T15*(1+Inputs!$B$34/100)),MAX(0,Inputs!$B$43-((R1083-1)*Skills!D15))))/Inputs!$B$43),IF(Inputs!$B$38="pvp",MIN((Skills!T15*(1+Inputs!$B$34/100)),15)/15,(Skills!T15*(1+Inputs!$B$34/100))/Skills!D15)))+((C1080=TRUE)*F1080)+((C1097=TRUE)*(F1097-Calc!F29)))/100)*I1070)</f>
        <v/>
      </c>
      <c r="L1070">
        <f>K1070*(MIN(Inputs!$B$22+((C1091=TRUE)*(F1091-Calc!F23)),Inputs!$B$23+((C1096=TRUE)*(F1096-Calc!F28)))/100+(Inputs!$B$23+((C1096=TRUE)*(F1096-Calc!F28)))/100)/2</f>
        <v/>
      </c>
      <c r="M1070">
        <f>L1070*(1+(Inputs!$B$10+0+B1105)/100)</f>
        <v/>
      </c>
      <c r="N1070">
        <f>L1070*(1-MIN((Inputs!$B$9+((C1087=TRUE)*(F1087-Calc!F19))+B1100),100)/100)+M1070*(MIN((Inputs!$B$9+((C1087=TRUE)*(F1087-Calc!F19))+B1100),100)/100)</f>
        <v/>
      </c>
      <c r="O1070">
        <f>(1-Summary!$B$55)*T1070+Summary!$B$55*V1070</f>
        <v/>
      </c>
      <c r="P1070">
        <f>IF(B1110=0,0,O1070/B1110)</f>
        <v/>
      </c>
      <c r="Q1070" t="n">
        <v>0</v>
      </c>
      <c r="R1070" t="n">
        <v>0</v>
      </c>
      <c r="S1070">
        <f>IFERROR((Skills!G2*N1070*B1104)/N1070*IF(Inputs!$B$38="pvp",1,(1-Summary!$B$55)*1+Summary!$B$55*(MIN((6+Inputs!$B$33),Inputs!$B$37))),0)</f>
        <v/>
      </c>
      <c r="T1070">
        <f>IF(C1070,(Skills!G2*N1070*B1104)*IF(Inputs!$B$38="pvp",1,1+(Inputs!$B$20+0+Skills!P2)/100),0)</f>
        <v/>
      </c>
      <c r="U1070">
        <f>MAX(0,(Inputs!$B$3-100)*3)+Inputs!$B$28+Inputs!$B$29</f>
        <v/>
      </c>
      <c r="V1070">
        <f>IF(C1070,(Skills!G2*N1070*B1104)*IF(Inputs!$B$38="pvp",1,(1+(Inputs!$B$21+Skills!Q2)/100)*(MIN((6+Inputs!$B$33),Inputs!$B$37))),0)</f>
        <v/>
      </c>
    </row>
    <row r="1071">
      <c r="A1071">
        <f>Skills!A3</f>
        <v/>
      </c>
      <c r="B1071">
        <f>Skills!B3</f>
        <v/>
      </c>
      <c r="C1071">
        <f>Inputs!$B$3&gt;=50</f>
        <v/>
      </c>
      <c r="D1071">
        <f>IF(Skills!C3=1,60+Inputs!$B$25+Inputs!$B$29,IF(Skills!C3=2,90+Inputs!$B$26+Inputs!$B$29,IF(Skills!C3=3,120+Inputs!$B$27+Inputs!$B$29,MAX(0,(Inputs!$B$3-100)*3)+Inputs!$B$28+Inputs!$B$29)))</f>
        <v/>
      </c>
      <c r="E1071">
        <f>INDEX(FactorTable!$B$2:$Y$301, MATCH(ROUND(MIN(300,MAX(1,D1071)),0), FactorTable!$A$2:$A$301,0), Skills!M3+1)</f>
        <v/>
      </c>
      <c r="F1071">
        <f>IF(Skills!N3=TRUE,(Skills!L3/10)*(E1071/1000),Skills!L3/10)+Skills!O3</f>
        <v/>
      </c>
      <c r="G1071" t="inlineStr"/>
      <c r="H1071" t="inlineStr"/>
      <c r="I1071" t="inlineStr">
        <is>
          <t>1</t>
        </is>
      </c>
      <c r="J1071" t="inlineStr"/>
      <c r="K1071" t="inlineStr"/>
      <c r="L1071" t="inlineStr"/>
      <c r="M1071" t="inlineStr"/>
      <c r="N1071" t="inlineStr"/>
      <c r="O1071" t="inlineStr"/>
      <c r="P1071" t="inlineStr"/>
      <c r="Q1071" t="inlineStr"/>
      <c r="R1071" t="inlineStr"/>
      <c r="S1071" t="inlineStr"/>
      <c r="T1071" t="inlineStr"/>
      <c r="U1071">
        <f>INDEX(FactorTable!$B$2:$Y$301, MATCH(ROUND(MIN(300,MAX(1,U1070)),0), FactorTable!$A$2:$A$301,0), 22)</f>
        <v/>
      </c>
      <c r="V1071" t="inlineStr"/>
    </row>
    <row r="1072">
      <c r="A1072">
        <f>Skills!A4</f>
        <v/>
      </c>
      <c r="B1072">
        <f>Skills!B4</f>
        <v/>
      </c>
      <c r="C1072">
        <f>Inputs!$B$3&gt;=105</f>
        <v/>
      </c>
      <c r="D1072">
        <f>IF(Skills!C4=1,60+Inputs!$B$25+Inputs!$B$29,IF(Skills!C4=2,90+Inputs!$B$26+Inputs!$B$29,IF(Skills!C4=3,120+Inputs!$B$27+Inputs!$B$29,MAX(0,(Inputs!$B$3-100)*3)+Inputs!$B$28+Inputs!$B$29)))</f>
        <v/>
      </c>
      <c r="E1072">
        <f>INDEX(FactorTable!$B$2:$Y$301, MATCH(ROUND(MIN(300,MAX(1,D1072)),0), FactorTable!$A$2:$A$301,0), Skills!M4+1)</f>
        <v/>
      </c>
      <c r="F1072">
        <f>IF(Skills!N4=TRUE,(Skills!L4/10)*(E1072/1000),Skills!L4/10)+Skills!O4</f>
        <v/>
      </c>
      <c r="G1072" t="inlineStr"/>
      <c r="H1072" t="inlineStr"/>
      <c r="I1072" t="inlineStr">
        <is>
          <t>1</t>
        </is>
      </c>
      <c r="J1072" t="inlineStr"/>
      <c r="K1072" t="inlineStr"/>
      <c r="L1072" t="inlineStr"/>
      <c r="M1072" t="inlineStr"/>
      <c r="N1072" t="inlineStr"/>
      <c r="O1072" t="inlineStr"/>
      <c r="P1072" t="inlineStr"/>
      <c r="Q1072" t="inlineStr"/>
      <c r="R1072" t="inlineStr"/>
      <c r="S1072" t="inlineStr"/>
      <c r="T1072" t="inlineStr"/>
      <c r="U1072">
        <f>290*U1071/1000</f>
        <v/>
      </c>
      <c r="V1072" t="inlineStr"/>
    </row>
    <row r="1073">
      <c r="A1073">
        <f>Skills!A5</f>
        <v/>
      </c>
      <c r="B1073">
        <f>Skills!B5</f>
        <v/>
      </c>
      <c r="C1073">
        <f>Inputs!$B$3&gt;=35</f>
        <v/>
      </c>
      <c r="D1073">
        <f>IF(Skills!C5=1,60+Inputs!$B$25+Inputs!$B$29,IF(Skills!C5=2,90+Inputs!$B$26+Inputs!$B$29,IF(Skills!C5=3,120+Inputs!$B$27+Inputs!$B$29,MAX(0,(Inputs!$B$3-100)*3)+Inputs!$B$28+Inputs!$B$29)))</f>
        <v/>
      </c>
      <c r="E1073">
        <f>INDEX(FactorTable!$B$2:$Y$301, MATCH(ROUND(MIN(300,MAX(1,D1073)),0), FactorTable!$A$2:$A$301,0), Skills!M5+1)</f>
        <v/>
      </c>
      <c r="F1073">
        <f>IF(Skills!N5=TRUE,(Skills!L5/10)*(E1073/1000),Skills!L5/10)+Skills!O5</f>
        <v/>
      </c>
      <c r="G1073">
        <f>Skills!G5*IF(Skills!H5&gt;0,Skills!I5/Skills!H5,1)</f>
        <v/>
      </c>
      <c r="H1073">
        <f>1-(1-Skills!J5/100)^Skills!K5</f>
        <v/>
      </c>
      <c r="I1073" t="inlineStr">
        <is>
          <t>1</t>
        </is>
      </c>
      <c r="J1073">
        <f>((Inputs!$B$6*(1+Inputs!$B$7/100))+(((Inputs!$B$12*(1+Inputs!$B$13/100))-(Inputs!$B$12*(1+Inputs!$B$13/100)))+0.25*(Inputs!$B$14-Inputs!$B$14))*(1+Inputs!$B$7/100))*(F1073/100)</f>
        <v/>
      </c>
      <c r="K1073">
        <f>J1073*(1+((Inputs!$B$12*(1+Inputs!$B$13/100))*0.01+Inputs!$B$14*0.0025)/100)*(1+Inputs!$B$15/100)*(1+Inputs!$B$16/100)*(5000/(6000+Inputs!$B$42*(1-(Inputs!$B$19+0)/100)))*(1+(Inputs!$B$24+((C1092=TRUE)*(F1092-Calc!F24))+((C1093=TRUE)*(F1093-Calc!F25))+B1106)/100)*(1+4.0*IF(C1076=TRUE,F1076,0)/100)*(1+(IF(Skills!A5="EMPOWERED_PIERCING_ARROW",Inputs!$B$17+((C1090=TRUE)*(F1090-Calc!F22)),Inputs!$B$18+((C1095=TRUE)*(F1095-Calc!F27))))/100)*((1+(((C1081=TRUE)*F1081)+((C1082=TRUE)*IF(Inputs!$B$38="pvp",F1082,(1-Summary!$B$55)*(F1082)+Summary!$B$55*(0)))+((C1083=TRUE)*F1083*IF(AND(Inputs!$B$38&lt;&gt;"pvp",Inputs!$B$43&gt;0),(((R1083-1)*(Skills!T15*(1+Inputs!$B$34/100))+MIN((Skills!T15*(1+Inputs!$B$34/100)),MAX(0,Inputs!$B$43-((R1083-1)*Skills!D15))))/Inputs!$B$43),IF(Inputs!$B$38="pvp",MIN((Skills!T15*(1+Inputs!$B$34/100)),15)/15,(Skills!T15*(1+Inputs!$B$34/100))/Skills!D15)))+((C1080=TRUE)*F1080)+((C1097=TRUE)*(F1097-Calc!F29)))/100)*I1073)</f>
        <v/>
      </c>
      <c r="L1073">
        <f>K1073*(MIN(Inputs!$B$22+((C1091=TRUE)*(F1091-Calc!F23)),Inputs!$B$23+((C1096=TRUE)*(F1096-Calc!F28)))/100+(Inputs!$B$23+((C1096=TRUE)*(F1096-Calc!F28)))/100)/2</f>
        <v/>
      </c>
      <c r="M1073">
        <f>L1073*(1+(Inputs!$B$10+0+B1105)/100)</f>
        <v/>
      </c>
      <c r="N1073">
        <f>L1073*(1-MIN((Inputs!$B$9+((C1087=TRUE)*(F1087-Calc!F19))+B1100),100)/100)+M1073*(MIN((Inputs!$B$9+((C1087=TRUE)*(F1087-Calc!F19))+B1100),100)/100)</f>
        <v/>
      </c>
      <c r="O1073">
        <f>(1-Summary!$B$55)*T1073+Summary!$B$55*V1073</f>
        <v/>
      </c>
      <c r="P1073">
        <f>IF(B1110=0,0,O1073/B1110)</f>
        <v/>
      </c>
      <c r="Q1073">
        <f>IFERROR(1/IF(Inputs!$B$38="pvp",15,MAX(0.1,Skills!D5-IF(Skills!E5=TRUE,(Inputs!$B$32+1),0))),0)</f>
        <v/>
      </c>
      <c r="R1073">
        <f>IF(AND(Inputs!$B$38&lt;&gt;"pvp",Inputs!$B$43&gt;0),IF(MAX(0,Inputs!$B$43-B1107)&lt;=0,0,(INT(MAX(0,Inputs!$B$43-B1107)/IF(Inputs!$B$38="pvp",15,MAX(0.1,Skills!D5-IF(Skills!E5=TRUE,(Inputs!$B$32+1),0))))+1)),0)</f>
        <v/>
      </c>
      <c r="S1073">
        <f>IFERROR((H1073*N1073*IF(AND(Inputs!$B$38&lt;&gt;"pvp",Inputs!$B$43&gt;0),((Skills!G5*((R1073-1)*IF(Skills!H5&gt;0,Skills!I5/Skills!H5,1)+IF(Skills!H5&gt;0,MIN(Skills!I5,MAX(0,MAX(0,Inputs!$B$43-B1107)-((R1073-1)*IF(Inputs!$B$38="pvp",15,MAX(0.1,Skills!D5-IF(Skills!E5=TRUE,(Inputs!$B$32+1),0))))))/Skills!H5,1)))/Inputs!$B$43),G1073*Q1073))/N1073*IF(Inputs!$B$38="pvp",1,(1-Summary!$B$55)*1+Summary!$B$55*(MIN(Skills!R5,Inputs!$B$37))),0)</f>
        <v/>
      </c>
      <c r="T1073">
        <f>IF(C1073,(H1073*N1073*IF(AND(Inputs!$B$38&lt;&gt;"pvp",Inputs!$B$43&gt;0),((Skills!G5*((R1073-1)*IF(Skills!H5&gt;0,Skills!I5/Skills!H5,1)+IF(Skills!H5&gt;0,MIN(Skills!I5,MAX(0,MAX(0,Inputs!$B$43-B1107)-((R1073-1)*IF(Inputs!$B$38="pvp",15,MAX(0.1,Skills!D5-IF(Skills!E5=TRUE,(Inputs!$B$32+1),0))))))/Skills!H5,1)))/Inputs!$B$43),G1073*Q1073))*IF(Inputs!$B$38="pvp",1,1+(Inputs!$B$20+0+Skills!P5)/100),0)</f>
        <v/>
      </c>
      <c r="V1073">
        <f>IF(C1073,(H1073*N1073*IF(AND(Inputs!$B$38&lt;&gt;"pvp",Inputs!$B$43&gt;0),((Skills!G5*((R1073-1)*IF(Skills!H5&gt;0,Skills!I5/Skills!H5,1)+IF(Skills!H5&gt;0,MIN(Skills!I5,MAX(0,MAX(0,Inputs!$B$43-B1107)-((R1073-1)*IF(Inputs!$B$38="pvp",15,MAX(0.1,Skills!D5-IF(Skills!E5=TRUE,(Inputs!$B$32+1),0))))))/Skills!H5,1)))/Inputs!$B$43),G1073*Q1073))*IF(Inputs!$B$38="pvp",1,(1+(Inputs!$B$21+Skills!Q5)/100)*(MIN(Skills!R5,Inputs!$B$37))),0)</f>
        <v/>
      </c>
    </row>
    <row r="1074">
      <c r="A1074">
        <f>Skills!A6</f>
        <v/>
      </c>
      <c r="B1074">
        <f>Skills!B6</f>
        <v/>
      </c>
      <c r="C1074">
        <f>Inputs!$B$3&gt;=63</f>
        <v/>
      </c>
      <c r="D1074">
        <f>IF(Skills!C6=1,60+Inputs!$B$25+Inputs!$B$29,IF(Skills!C6=2,90+Inputs!$B$26+Inputs!$B$29,IF(Skills!C6=3,120+Inputs!$B$27+Inputs!$B$29,MAX(0,(Inputs!$B$3-100)*3)+Inputs!$B$28+Inputs!$B$29)))</f>
        <v/>
      </c>
      <c r="E1074">
        <f>INDEX(FactorTable!$B$2:$Y$301, MATCH(ROUND(MIN(300,MAX(1,D1074)),0), FactorTable!$A$2:$A$301,0), Skills!M6+1)</f>
        <v/>
      </c>
      <c r="F1074">
        <f>IF(Skills!N6=TRUE,(Skills!L6/10)*(E1074/1000),Skills!L6/10)+Skills!O6</f>
        <v/>
      </c>
      <c r="G1074">
        <f>Skills!G6*IF(Skills!H6&gt;0,Skills!I6/Skills!H6,1)</f>
        <v/>
      </c>
      <c r="H1074">
        <f>1-(1-Skills!J6/100)^Skills!K6</f>
        <v/>
      </c>
      <c r="I1074" t="inlineStr">
        <is>
          <t>1</t>
        </is>
      </c>
      <c r="J1074">
        <f>((Inputs!$B$6*(1+Inputs!$B$7/100))+(((Inputs!$B$12*(1+Inputs!$B$13/100))-(Inputs!$B$12*(1+Inputs!$B$13/100)))+0.25*(Inputs!$B$14-Inputs!$B$14))*(1+Inputs!$B$7/100))*(F1074/100)</f>
        <v/>
      </c>
      <c r="K1074">
        <f>J1074*(1+((Inputs!$B$12*(1+Inputs!$B$13/100))*0.01+Inputs!$B$14*0.0025)/100)*(1+Inputs!$B$15/100)*(1+Inputs!$B$16/100)*(5000/(6000+Inputs!$B$42*(1-(Inputs!$B$19+0)/100)))*(1+(Inputs!$B$24+((C1092=TRUE)*(F1092-Calc!F24))+((C1093=TRUE)*(F1093-Calc!F25))+B1106)/100)*(1+1.0*IF(C1076=TRUE,F1076,0)/100)*(1+(IF(Skills!A6="EMPOWERED_PIERCING_ARROW",Inputs!$B$17+((C1090=TRUE)*(F1090-Calc!F22)),Inputs!$B$18+((C1095=TRUE)*(F1095-Calc!F27))))/100)*((1+(((C1081=TRUE)*F1081)+((C1082=TRUE)*IF(Inputs!$B$38="pvp",F1082,(1-Summary!$B$55)*(F1082)+Summary!$B$55*(0)))+((C1083=TRUE)*F1083*IF(AND(Inputs!$B$38&lt;&gt;"pvp",Inputs!$B$43&gt;0),(((R1083-1)*(Skills!T15*(1+Inputs!$B$34/100))+MIN((Skills!T15*(1+Inputs!$B$34/100)),MAX(0,Inputs!$B$43-((R1083-1)*Skills!D15))))/Inputs!$B$43),IF(Inputs!$B$38="pvp",MIN((Skills!T15*(1+Inputs!$B$34/100)),15)/15,(Skills!T15*(1+Inputs!$B$34/100))/Skills!D15)))+((C1080=TRUE)*F1080)+((C1097=TRUE)*(F1097-Calc!F29)))/100)*I1074)</f>
        <v/>
      </c>
      <c r="L1074">
        <f>K1074*(MIN(Inputs!$B$22+((C1091=TRUE)*(F1091-Calc!F23)),Inputs!$B$23+((C1096=TRUE)*(F1096-Calc!F28)))/100+(Inputs!$B$23+((C1096=TRUE)*(F1096-Calc!F28)))/100)/2</f>
        <v/>
      </c>
      <c r="M1074">
        <f>L1074*(1+(Inputs!$B$10+0+B1105)/100)</f>
        <v/>
      </c>
      <c r="N1074">
        <f>L1074*(1-MIN((Inputs!$B$9+((C1087=TRUE)*(F1087-Calc!F19))+B1100),100)/100)+M1074*(MIN((Inputs!$B$9+((C1087=TRUE)*(F1087-Calc!F19))+B1100),100)/100)</f>
        <v/>
      </c>
      <c r="O1074">
        <f>(1-Summary!$B$55)*T1074+Summary!$B$55*V1074</f>
        <v/>
      </c>
      <c r="P1074">
        <f>IF(B1110=0,0,O1074/B1110)</f>
        <v/>
      </c>
      <c r="Q1074">
        <f>IFERROR(1/IF(Inputs!$B$38="pvp",15,MAX(0.1,Skills!D6-IF(Skills!E6=TRUE,(Inputs!$B$32+1),0))),0)</f>
        <v/>
      </c>
      <c r="R1074">
        <f>IF(AND(Inputs!$B$38&lt;&gt;"pvp",Inputs!$B$43&gt;0),IF(MAX(0,Inputs!$B$43-B1107)&lt;=0,0,(INT(MAX(0,Inputs!$B$43-B1107)/IF(Inputs!$B$38="pvp",15,MAX(0.1,Skills!D6-IF(Skills!E6=TRUE,(Inputs!$B$32+1),0))))+1)),0)</f>
        <v/>
      </c>
      <c r="S1074">
        <f>IFERROR((H1074*N1074*IF(AND(Inputs!$B$38&lt;&gt;"pvp",Inputs!$B$43&gt;0),((Skills!G6*((R1074-1)*IF(Skills!H6&gt;0,Skills!I6/Skills!H6,1)+IF(Skills!H6&gt;0,MIN(Skills!I6,MAX(0,MAX(0,Inputs!$B$43-B1107)-((R1074-1)*IF(Inputs!$B$38="pvp",15,MAX(0.1,Skills!D6-IF(Skills!E6=TRUE,(Inputs!$B$32+1),0))))))/Skills!H6,1)))/Inputs!$B$43),G1074*Q1074))/N1074*IF(Inputs!$B$38="pvp",1,(1-Summary!$B$55)*1+Summary!$B$55*(MIN(Skills!R6,Inputs!$B$37))),0)</f>
        <v/>
      </c>
      <c r="T1074">
        <f>IF(C1074,(H1074*N1074*IF(AND(Inputs!$B$38&lt;&gt;"pvp",Inputs!$B$43&gt;0),((Skills!G6*((R1074-1)*IF(Skills!H6&gt;0,Skills!I6/Skills!H6,1)+IF(Skills!H6&gt;0,MIN(Skills!I6,MAX(0,MAX(0,Inputs!$B$43-B1107)-((R1074-1)*IF(Inputs!$B$38="pvp",15,MAX(0.1,Skills!D6-IF(Skills!E6=TRUE,(Inputs!$B$32+1),0))))))/Skills!H6,1)))/Inputs!$B$43),G1074*Q1074))*IF(Inputs!$B$38="pvp",1,1+(Inputs!$B$20+0+Skills!P6)/100),0)</f>
        <v/>
      </c>
      <c r="V1074">
        <f>IF(C1074,(H1074*N1074*IF(AND(Inputs!$B$38&lt;&gt;"pvp",Inputs!$B$43&gt;0),((Skills!G6*((R1074-1)*IF(Skills!H6&gt;0,Skills!I6/Skills!H6,1)+IF(Skills!H6&gt;0,MIN(Skills!I6,MAX(0,MAX(0,Inputs!$B$43-B1107)-((R1074-1)*IF(Inputs!$B$38="pvp",15,MAX(0.1,Skills!D6-IF(Skills!E6=TRUE,(Inputs!$B$32+1),0))))))/Skills!H6,1)))/Inputs!$B$43),G1074*Q1074))*IF(Inputs!$B$38="pvp",1,(1+(Inputs!$B$21+Skills!Q6)/100)*(MIN(Skills!R6,Inputs!$B$37))),0)</f>
        <v/>
      </c>
    </row>
    <row r="1075">
      <c r="A1075">
        <f>Skills!A7</f>
        <v/>
      </c>
      <c r="B1075">
        <f>Skills!B7</f>
        <v/>
      </c>
      <c r="C1075">
        <f>Inputs!$B$3&gt;=69</f>
        <v/>
      </c>
      <c r="D1075">
        <f>IF(Skills!C7=1,60+Inputs!$B$25+Inputs!$B$29,IF(Skills!C7=2,90+Inputs!$B$26+Inputs!$B$29,IF(Skills!C7=3,120+Inputs!$B$27+Inputs!$B$29,MAX(0,(Inputs!$B$3-100)*3)+Inputs!$B$28+Inputs!$B$29)))</f>
        <v/>
      </c>
      <c r="E1075">
        <f>INDEX(FactorTable!$B$2:$Y$301, MATCH(ROUND(MIN(300,MAX(1,D1075)),0), FactorTable!$A$2:$A$301,0), Skills!M7+1)</f>
        <v/>
      </c>
      <c r="F1075">
        <f>IF(Skills!N7=TRUE,(Skills!L7/10)*(E1075/1000),Skills!L7/10)+Skills!O7</f>
        <v/>
      </c>
      <c r="G1075">
        <f>Skills!G7*IF(Skills!H7&gt;0,Skills!I7/Skills!H7,1)</f>
        <v/>
      </c>
      <c r="H1075">
        <f>1-(1-Skills!J7/100)^Skills!K7</f>
        <v/>
      </c>
      <c r="I1075" t="inlineStr">
        <is>
          <t>1</t>
        </is>
      </c>
      <c r="J1075">
        <f>((Inputs!$B$6*(1+Inputs!$B$7/100))+(((Inputs!$B$12*(1+Inputs!$B$13/100))-(Inputs!$B$12*(1+Inputs!$B$13/100)))+0.25*(Inputs!$B$14-Inputs!$B$14))*(1+Inputs!$B$7/100))*(F1075/100)</f>
        <v/>
      </c>
      <c r="K1075">
        <f>J1075*(1+((Inputs!$B$12*(1+Inputs!$B$13/100))*0.01+Inputs!$B$14*0.0025)/100)*(1+Inputs!$B$15/100)*(1+Inputs!$B$16/100)*(5000/(6000+Inputs!$B$42*(1-(Inputs!$B$19+0)/100)))*(1+(Inputs!$B$24+((C1092=TRUE)*(F1092-Calc!F24))+((C1093=TRUE)*(F1093-Calc!F25))+B1106)/100)*(1+1.2*IF(C1076=TRUE,F1076,0)/100)*(1+(IF(Skills!A7="EMPOWERED_PIERCING_ARROW",Inputs!$B$17+((C1090=TRUE)*(F1090-Calc!F22)),Inputs!$B$18+((C1095=TRUE)*(F1095-Calc!F27))))/100)*((1+(((C1081=TRUE)*F1081)+((C1082=TRUE)*IF(Inputs!$B$38="pvp",F1082,(1-Summary!$B$55)*(F1082)+Summary!$B$55*(0)))+((C1083=TRUE)*F1083*IF(AND(Inputs!$B$38&lt;&gt;"pvp",Inputs!$B$43&gt;0),(((R1083-1)*(Skills!T15*(1+Inputs!$B$34/100))+MIN((Skills!T15*(1+Inputs!$B$34/100)),MAX(0,Inputs!$B$43-((R1083-1)*Skills!D15))))/Inputs!$B$43),IF(Inputs!$B$38="pvp",MIN((Skills!T15*(1+Inputs!$B$34/100)),15)/15,(Skills!T15*(1+Inputs!$B$34/100))/Skills!D15)))+((C1080=TRUE)*F1080)+((C1097=TRUE)*(F1097-Calc!F29)))/100)*I1075)</f>
        <v/>
      </c>
      <c r="L1075">
        <f>K1075*(MIN(Inputs!$B$22+((C1091=TRUE)*(F1091-Calc!F23)),Inputs!$B$23+((C1096=TRUE)*(F1096-Calc!F28)))/100+(Inputs!$B$23+((C1096=TRUE)*(F1096-Calc!F28)))/100)/2</f>
        <v/>
      </c>
      <c r="M1075">
        <f>L1075*(1+(Inputs!$B$10+0+B1105)/100)</f>
        <v/>
      </c>
      <c r="N1075">
        <f>L1075*(1-MIN((Inputs!$B$9+((C1087=TRUE)*(F1087-Calc!F19))+B1100),100)/100)+M1075*(MIN((Inputs!$B$9+((C1087=TRUE)*(F1087-Calc!F19))+B1100),100)/100)</f>
        <v/>
      </c>
      <c r="O1075">
        <f>(1-Summary!$B$55)*T1075+Summary!$B$55*V1075</f>
        <v/>
      </c>
      <c r="P1075">
        <f>IF(B1110=0,0,O1075/B1110)</f>
        <v/>
      </c>
      <c r="Q1075">
        <f>IFERROR(1/IF(Inputs!$B$38="pvp",15,MAX(0.1,Skills!D7-IF(Skills!E7=TRUE,(Inputs!$B$32+1),0))),0)</f>
        <v/>
      </c>
      <c r="R1075">
        <f>IF(AND(Inputs!$B$38&lt;&gt;"pvp",Inputs!$B$43&gt;0),IF(MAX(0,Inputs!$B$43-B1107)&lt;=0,0,(INT(MAX(0,Inputs!$B$43-B1107)/IF(Inputs!$B$38="pvp",15,MAX(0.1,Skills!D7-IF(Skills!E7=TRUE,(Inputs!$B$32+1),0))))+1)),0)</f>
        <v/>
      </c>
      <c r="S1075">
        <f>IFERROR((H1075*N1075*IF(AND(Inputs!$B$38&lt;&gt;"pvp",Inputs!$B$43&gt;0),((Skills!G7*((R1075-1)*IF(Skills!H7&gt;0,Skills!I7/Skills!H7,1)+IF(Skills!H7&gt;0,MIN(Skills!I7,MAX(0,MAX(0,Inputs!$B$43-B1107)-((R1075-1)*IF(Inputs!$B$38="pvp",15,MAX(0.1,Skills!D7-IF(Skills!E7=TRUE,(Inputs!$B$32+1),0))))))/Skills!H7,1)))/Inputs!$B$43),G1075*Q1075))/N1075*IF(Inputs!$B$38="pvp",1,(1-Summary!$B$55)*1+Summary!$B$55*(MIN(Skills!R7,Inputs!$B$37))),0)</f>
        <v/>
      </c>
      <c r="T1075">
        <f>IF(C1075,(H1075*N1075*IF(AND(Inputs!$B$38&lt;&gt;"pvp",Inputs!$B$43&gt;0),((Skills!G7*((R1075-1)*IF(Skills!H7&gt;0,Skills!I7/Skills!H7,1)+IF(Skills!H7&gt;0,MIN(Skills!I7,MAX(0,MAX(0,Inputs!$B$43-B1107)-((R1075-1)*IF(Inputs!$B$38="pvp",15,MAX(0.1,Skills!D7-IF(Skills!E7=TRUE,(Inputs!$B$32+1),0))))))/Skills!H7,1)))/Inputs!$B$43),G1075*Q1075))*IF(Inputs!$B$38="pvp",1,1+(Inputs!$B$20+0+Skills!P7)/100),0)</f>
        <v/>
      </c>
      <c r="V1075">
        <f>IF(C1075,(H1075*N1075*IF(AND(Inputs!$B$38&lt;&gt;"pvp",Inputs!$B$43&gt;0),((Skills!G7*((R1075-1)*IF(Skills!H7&gt;0,Skills!I7/Skills!H7,1)+IF(Skills!H7&gt;0,MIN(Skills!I7,MAX(0,MAX(0,Inputs!$B$43-B1107)-((R1075-1)*IF(Inputs!$B$38="pvp",15,MAX(0.1,Skills!D7-IF(Skills!E7=TRUE,(Inputs!$B$32+1),0))))))/Skills!H7,1)))/Inputs!$B$43),G1075*Q1075))*IF(Inputs!$B$38="pvp",1,(1+(Inputs!$B$21+Skills!Q7)/100)*(MIN(Skills!R7,Inputs!$B$37))),0)</f>
        <v/>
      </c>
    </row>
    <row r="1076">
      <c r="A1076">
        <f>Skills!A8</f>
        <v/>
      </c>
      <c r="B1076">
        <f>Skills!B8</f>
        <v/>
      </c>
      <c r="C1076">
        <f>Inputs!$B$3&gt;=100</f>
        <v/>
      </c>
      <c r="D1076">
        <f>IF(Skills!C8=1,60+Inputs!$B$25+Inputs!$B$29,IF(Skills!C8=2,90+Inputs!$B$26+Inputs!$B$29,IF(Skills!C8=3,120+Inputs!$B$27+Inputs!$B$29,MAX(0,(Inputs!$B$3-100)*3)+Inputs!$B$28+Inputs!$B$29)))</f>
        <v/>
      </c>
      <c r="E1076">
        <f>INDEX(FactorTable!$B$2:$Y$301, MATCH(ROUND(MIN(300,MAX(1,D1076)),0), FactorTable!$A$2:$A$301,0), Skills!M8+1)</f>
        <v/>
      </c>
      <c r="F1076">
        <f>IF(Skills!N8=TRUE,(Skills!L8/10)*(E1076/1000),Skills!L8/10)+Skills!O8</f>
        <v/>
      </c>
      <c r="G1076" t="inlineStr"/>
      <c r="H1076" t="inlineStr"/>
      <c r="I1076" t="inlineStr">
        <is>
          <t>1</t>
        </is>
      </c>
      <c r="J1076" t="inlineStr"/>
      <c r="K1076" t="inlineStr"/>
      <c r="L1076" t="inlineStr"/>
      <c r="M1076" t="inlineStr"/>
      <c r="N1076" t="inlineStr"/>
      <c r="O1076" t="inlineStr"/>
      <c r="P1076" t="inlineStr"/>
      <c r="Q1076" t="inlineStr"/>
      <c r="R1076" t="inlineStr"/>
      <c r="S1076" t="inlineStr"/>
      <c r="T1076" t="inlineStr"/>
      <c r="V1076" t="inlineStr"/>
    </row>
    <row r="1077">
      <c r="A1077">
        <f>Skills!A9</f>
        <v/>
      </c>
      <c r="B1077">
        <f>Skills!B9</f>
        <v/>
      </c>
      <c r="C1077">
        <f>Inputs!$B$3&gt;=103</f>
        <v/>
      </c>
      <c r="D1077">
        <f>IF(Skills!C9=1,60+Inputs!$B$25+Inputs!$B$29,IF(Skills!C9=2,90+Inputs!$B$26+Inputs!$B$29,IF(Skills!C9=3,120+Inputs!$B$27+Inputs!$B$29,MAX(0,(Inputs!$B$3-100)*3)+Inputs!$B$28+Inputs!$B$29)))</f>
        <v/>
      </c>
      <c r="E1077">
        <f>INDEX(FactorTable!$B$2:$Y$301, MATCH(ROUND(MIN(300,MAX(1,D1077)),0), FactorTable!$A$2:$A$301,0), Skills!M9+1)</f>
        <v/>
      </c>
      <c r="F1077">
        <f>IF(Skills!N9=TRUE,(Skills!L9/10)*(E1077/1000),Skills!L9/10)+Skills!O9</f>
        <v/>
      </c>
      <c r="G1077">
        <f>Skills!G9*IF(Skills!H9&gt;0,Skills!I9/Skills!H9,1)</f>
        <v/>
      </c>
      <c r="H1077">
        <f>1-(1-Skills!J9/100)^Skills!K9</f>
        <v/>
      </c>
      <c r="I1077" t="inlineStr">
        <is>
          <t>1</t>
        </is>
      </c>
      <c r="J1077">
        <f>((Inputs!$B$6*(1+Inputs!$B$7/100))+(((Inputs!$B$12*(1+Inputs!$B$13/100))-(Inputs!$B$12*(1+Inputs!$B$13/100)))+0.25*(Inputs!$B$14-Inputs!$B$14))*(1+Inputs!$B$7/100))*(F1077/100)</f>
        <v/>
      </c>
      <c r="K1077">
        <f>J1077*(1+((Inputs!$B$12*(1+Inputs!$B$13/100))*0.01+Inputs!$B$14*0.0025)/100)*(1+Inputs!$B$15/100)*(1+Inputs!$B$16/100)*(5000/(6000+Inputs!$B$42*(1-(Inputs!$B$19+0)/100)))*(1+(Inputs!$B$24+((C1092=TRUE)*(F1092-Calc!F24))+((C1093=TRUE)*(F1093-Calc!F25))+B1106)/100)*(1+(IF(Skills!A9="EMPOWERED_PIERCING_ARROW",Inputs!$B$17+((C1090=TRUE)*(F1090-Calc!F22)),Inputs!$B$18+((C1095=TRUE)*(F1095-Calc!F27))))/100)*((1+(((C1081=TRUE)*F1081)+((C1082=TRUE)*IF(Inputs!$B$38="pvp",F1082,(1-Summary!$B$55)*(F1082)+Summary!$B$55*(0)))+((C1083=TRUE)*F1083*IF(AND(Inputs!$B$38&lt;&gt;"pvp",Inputs!$B$43&gt;0),(((R1083-1)*(Skills!T15*(1+Inputs!$B$34/100))+MIN((Skills!T15*(1+Inputs!$B$34/100)),MAX(0,Inputs!$B$43-((R1083-1)*Skills!D15))))/Inputs!$B$43),IF(Inputs!$B$38="pvp",MIN((Skills!T15*(1+Inputs!$B$34/100)),15)/15,(Skills!T15*(1+Inputs!$B$34/100))/Skills!D15)))+((C1080=TRUE)*F1080)+((C1097=TRUE)*(F1097-Calc!F29)))/100)*I1077)</f>
        <v/>
      </c>
      <c r="L1077">
        <f>K1077*(MIN(Inputs!$B$22+((C1091=TRUE)*(F1091-Calc!F23)),Inputs!$B$23+((C1096=TRUE)*(F1096-Calc!F28)))/100+(Inputs!$B$23+((C1096=TRUE)*(F1096-Calc!F28)))/100)/2</f>
        <v/>
      </c>
      <c r="M1077">
        <f>L1077*(1+(Inputs!$B$10+0+B1105)/100)</f>
        <v/>
      </c>
      <c r="N1077">
        <f>L1077*(1-MIN((Inputs!$B$9+((C1087=TRUE)*(F1087-Calc!F19))+B1100),100)/100)+M1077*(MIN((Inputs!$B$9+((C1087=TRUE)*(F1087-Calc!F19))+B1100),100)/100)</f>
        <v/>
      </c>
      <c r="O1077">
        <f>(1-Summary!$B$55)*T1077+Summary!$B$55*V1077</f>
        <v/>
      </c>
      <c r="P1077">
        <f>IF(B1110=0,0,O1077/B1110)</f>
        <v/>
      </c>
      <c r="Q1077">
        <f>IFERROR(1/IF(Inputs!$B$38="pvp",15,MAX(0.1,Skills!D9-IF(Skills!E9=TRUE,(Inputs!$B$32+1),0))),0)</f>
        <v/>
      </c>
      <c r="R1077">
        <f>IF(AND(Inputs!$B$38&lt;&gt;"pvp",Inputs!$B$43&gt;0),IF(MAX(0,Inputs!$B$43-B1107)&lt;=0,0,(INT(MAX(0,Inputs!$B$43-B1107)/IF(Inputs!$B$38="pvp",15,MAX(0.1,Skills!D9-IF(Skills!E9=TRUE,(Inputs!$B$32+1),0))))+1)),0)</f>
        <v/>
      </c>
      <c r="S1077">
        <f>IFERROR((H1077*N1077*IF(AND(Inputs!$B$38&lt;&gt;"pvp",Inputs!$B$43&gt;0),((Skills!G9*((R1077-1)*IF(Skills!H9&gt;0,Skills!I9/Skills!H9,1)+IF(Skills!H9&gt;0,MIN(Skills!I9,MAX(0,MAX(0,Inputs!$B$43-B1107)-((R1077-1)*IF(Inputs!$B$38="pvp",15,MAX(0.1,Skills!D9-IF(Skills!E9=TRUE,(Inputs!$B$32+1),0))))))/Skills!H9,1)))/Inputs!$B$43),G1077*Q1077))/N1077*IF(Inputs!$B$38="pvp",1,(1-Summary!$B$55)*1+Summary!$B$55*(MIN(Skills!R9,Inputs!$B$37))),0)</f>
        <v/>
      </c>
      <c r="T1077">
        <f>IF(C1077,(H1077*N1077*IF(AND(Inputs!$B$38&lt;&gt;"pvp",Inputs!$B$43&gt;0),((Skills!G9*((R1077-1)*IF(Skills!H9&gt;0,Skills!I9/Skills!H9,1)+IF(Skills!H9&gt;0,MIN(Skills!I9,MAX(0,MAX(0,Inputs!$B$43-B1107)-((R1077-1)*IF(Inputs!$B$38="pvp",15,MAX(0.1,Skills!D9-IF(Skills!E9=TRUE,(Inputs!$B$32+1),0))))))/Skills!H9,1)))/Inputs!$B$43),G1077*Q1077))*IF(Inputs!$B$38="pvp",1,1+(Inputs!$B$20+0+Skills!P9)/100),0)</f>
        <v/>
      </c>
      <c r="V1077">
        <f>IF(C1077,(H1077*N1077*IF(AND(Inputs!$B$38&lt;&gt;"pvp",Inputs!$B$43&gt;0),((Skills!G9*((R1077-1)*IF(Skills!H9&gt;0,Skills!I9/Skills!H9,1)+IF(Skills!H9&gt;0,MIN(Skills!I9,MAX(0,MAX(0,Inputs!$B$43-B1107)-((R1077-1)*IF(Inputs!$B$38="pvp",15,MAX(0.1,Skills!D9-IF(Skills!E9=TRUE,(Inputs!$B$32+1),0))))))/Skills!H9,1)))/Inputs!$B$43),G1077*Q1077))*IF(Inputs!$B$38="pvp",1,(1+(Inputs!$B$21+Skills!Q9)/100)*(MIN(Skills!R9,Inputs!$B$37))),0)</f>
        <v/>
      </c>
    </row>
    <row r="1078">
      <c r="A1078">
        <f>Skills!A10</f>
        <v/>
      </c>
      <c r="B1078">
        <f>Skills!B10</f>
        <v/>
      </c>
      <c r="C1078">
        <f>Inputs!$B$3&gt;=107</f>
        <v/>
      </c>
      <c r="D1078">
        <f>IF(Skills!C10=1,60+Inputs!$B$25+Inputs!$B$29,IF(Skills!C10=2,90+Inputs!$B$26+Inputs!$B$29,IF(Skills!C10=3,120+Inputs!$B$27+Inputs!$B$29,MAX(0,(Inputs!$B$3-100)*3)+Inputs!$B$28+Inputs!$B$29)))</f>
        <v/>
      </c>
      <c r="E1078">
        <f>INDEX(FactorTable!$B$2:$Y$301, MATCH(ROUND(MIN(300,MAX(1,D1078)),0), FactorTable!$A$2:$A$301,0), Skills!M10+1)</f>
        <v/>
      </c>
      <c r="F1078">
        <f>IF(Skills!N10=TRUE,(Skills!L10/10)*(E1078/1000),Skills!L10/10)+Skills!O10</f>
        <v/>
      </c>
      <c r="G1078">
        <f>Skills!G10*IF(Skills!H10&gt;0,Skills!I10/Skills!H10,1)</f>
        <v/>
      </c>
      <c r="H1078">
        <f>1-(1-Skills!J10/100)^Skills!K10</f>
        <v/>
      </c>
      <c r="I1078" t="inlineStr">
        <is>
          <t>1</t>
        </is>
      </c>
      <c r="J1078">
        <f>((Inputs!$B$6*(1+Inputs!$B$7/100))+(((Inputs!$B$12*(1+Inputs!$B$13/100))-(Inputs!$B$12*(1+Inputs!$B$13/100)))+0.25*(Inputs!$B$14-Inputs!$B$14))*(1+Inputs!$B$7/100))*(F1078/100)</f>
        <v/>
      </c>
      <c r="K1078">
        <f>J1078*(1+((Inputs!$B$12*(1+Inputs!$B$13/100))*0.01+Inputs!$B$14*0.0025)/100)*(1+Inputs!$B$15/100)*(1+Inputs!$B$16/100)*(5000/(6000+Inputs!$B$42*(1-(Inputs!$B$19+0)/100)))*(1+(Inputs!$B$24+((C1092=TRUE)*(F1092-Calc!F24))+((C1093=TRUE)*(F1093-Calc!F25))+B1106)/100)*(1+(IF(Skills!A10="EMPOWERED_PIERCING_ARROW",Inputs!$B$17+((C1090=TRUE)*(F1090-Calc!F22)),Inputs!$B$18+((C1095=TRUE)*(F1095-Calc!F27))))/100)*((1+(((C1081=TRUE)*F1081)+((C1082=TRUE)*IF(Inputs!$B$38="pvp",F1082,(1-Summary!$B$55)*(F1082)+Summary!$B$55*(0)))+((C1083=TRUE)*F1083*IF(AND(Inputs!$B$38&lt;&gt;"pvp",Inputs!$B$43&gt;0),(((R1083-1)*(Skills!T15*(1+Inputs!$B$34/100))+MIN((Skills!T15*(1+Inputs!$B$34/100)),MAX(0,Inputs!$B$43-((R1083-1)*Skills!D15))))/Inputs!$B$43),IF(Inputs!$B$38="pvp",MIN((Skills!T15*(1+Inputs!$B$34/100)),15)/15,(Skills!T15*(1+Inputs!$B$34/100))/Skills!D15)))+((C1080=TRUE)*F1080)+((C1097=TRUE)*(F1097-Calc!F29)))/100)*I1078)</f>
        <v/>
      </c>
      <c r="L1078">
        <f>K1078*(MIN(Inputs!$B$22+((C1091=TRUE)*(F1091-Calc!F23)),Inputs!$B$23+((C1096=TRUE)*(F1096-Calc!F28)))/100+(Inputs!$B$23+((C1096=TRUE)*(F1096-Calc!F28)))/100)/2</f>
        <v/>
      </c>
      <c r="M1078">
        <f>L1078*(1+(Inputs!$B$10+0+B1105)/100)</f>
        <v/>
      </c>
      <c r="N1078">
        <f>L1078*(1-MIN((Inputs!$B$9+((C1087=TRUE)*(F1087-Calc!F19))+B1100),100)/100)+M1078*(MIN((Inputs!$B$9+((C1087=TRUE)*(F1087-Calc!F19))+B1100),100)/100)</f>
        <v/>
      </c>
      <c r="O1078">
        <f>(1-Summary!$B$55)*T1078+Summary!$B$55*V1078</f>
        <v/>
      </c>
      <c r="P1078">
        <f>IF(B1110=0,0,O1078/B1110)</f>
        <v/>
      </c>
      <c r="Q1078" t="n">
        <v>0</v>
      </c>
      <c r="R1078" t="n">
        <v>0</v>
      </c>
      <c r="S1078" t="n">
        <v>0</v>
      </c>
      <c r="T1078">
        <f>IF(C1078,(0.15*SUMPRODUCT((Skills!U2:U29=TRUE)*(C1070:C1097=TRUE)*S1070:S1097)*Skills!G10*N1078)*IF(Inputs!$B$38="pvp",1,1+(Inputs!$B$20+0+Skills!P10)/100),0)</f>
        <v/>
      </c>
      <c r="V1078">
        <f>IF(C1078,(0.15*SUMPRODUCT((Skills!U2:U29=TRUE)*(C1070:C1097=TRUE)*S1070:S1097)*Skills!G10*N1078)*IF(Inputs!$B$38="pvp",1,(1+(Inputs!$B$21+Skills!Q10)/100)*(MIN(Skills!R10,Inputs!$B$37))),0)</f>
        <v/>
      </c>
    </row>
    <row r="1079">
      <c r="A1079">
        <f>Skills!A11</f>
        <v/>
      </c>
      <c r="B1079">
        <f>Skills!B11</f>
        <v/>
      </c>
      <c r="C1079">
        <f>Inputs!$B$3&gt;=110</f>
        <v/>
      </c>
      <c r="D1079">
        <f>IF(Skills!C11=1,60+Inputs!$B$25+Inputs!$B$29,IF(Skills!C11=2,90+Inputs!$B$26+Inputs!$B$29,IF(Skills!C11=3,120+Inputs!$B$27+Inputs!$B$29,MAX(0,(Inputs!$B$3-100)*3)+Inputs!$B$28+Inputs!$B$29)))</f>
        <v/>
      </c>
      <c r="E1079">
        <f>INDEX(FactorTable!$B$2:$Y$301, MATCH(ROUND(MIN(300,MAX(1,D1079)),0), FactorTable!$A$2:$A$301,0), Skills!M11+1)</f>
        <v/>
      </c>
      <c r="F1079">
        <f>IF(Skills!N11=TRUE,(Skills!L11/10)*(E1079/1000),Skills!L11/10)+Skills!O11</f>
        <v/>
      </c>
      <c r="G1079">
        <f>Skills!G11*IF(Skills!H11&gt;0,Skills!I11/Skills!H11,1)</f>
        <v/>
      </c>
      <c r="H1079">
        <f>1-(1-Skills!J11/100)^Skills!K11</f>
        <v/>
      </c>
      <c r="I1079" t="inlineStr">
        <is>
          <t>1</t>
        </is>
      </c>
      <c r="J1079">
        <f>((Inputs!$B$6*(1+Inputs!$B$7/100))+(((Inputs!$B$12*(1+Inputs!$B$13/100))-(Inputs!$B$12*(1+Inputs!$B$13/100)))+0.25*(Inputs!$B$14-Inputs!$B$14))*(1+Inputs!$B$7/100))*(F1079/100)</f>
        <v/>
      </c>
      <c r="K1079">
        <f>J1079*(1+((Inputs!$B$12*(1+Inputs!$B$13/100))*0.01+Inputs!$B$14*0.0025)/100)*(1+Inputs!$B$15/100)*(1+Inputs!$B$16/100)*(5000/(6000+Inputs!$B$42*(1-(Inputs!$B$19+0)/100)))*(1+(Inputs!$B$24+((C1092=TRUE)*(F1092-Calc!F24))+((C1093=TRUE)*(F1093-Calc!F25))+B1106)/100)*(1+(IF(Skills!A11="EMPOWERED_PIERCING_ARROW",Inputs!$B$17+((C1090=TRUE)*(F1090-Calc!F22)),Inputs!$B$18+((C1095=TRUE)*(F1095-Calc!F27))))/100)*((1+(((C1081=TRUE)*F1081)+((C1082=TRUE)*IF(Inputs!$B$38="pvp",F1082,(1-Summary!$B$55)*(F1082)+Summary!$B$55*(0)))+((C1083=TRUE)*F1083*IF(AND(Inputs!$B$38&lt;&gt;"pvp",Inputs!$B$43&gt;0),(((R1083-1)*(Skills!T15*(1+Inputs!$B$34/100))+MIN((Skills!T15*(1+Inputs!$B$34/100)),MAX(0,Inputs!$B$43-((R1083-1)*Skills!D15))))/Inputs!$B$43),IF(Inputs!$B$38="pvp",MIN((Skills!T15*(1+Inputs!$B$34/100)),15)/15,(Skills!T15*(1+Inputs!$B$34/100))/Skills!D15)))+((C1080=TRUE)*F1080)+((C1097=TRUE)*(F1097-Calc!F29)))/100)*I1079)</f>
        <v/>
      </c>
      <c r="L1079">
        <f>K1079*(MIN(Inputs!$B$22+((C1091=TRUE)*(F1091-Calc!F23)),Inputs!$B$23+((C1096=TRUE)*(F1096-Calc!F28)))/100+(Inputs!$B$23+((C1096=TRUE)*(F1096-Calc!F28)))/100)/2</f>
        <v/>
      </c>
      <c r="M1079">
        <f>L1079*(1+(Inputs!$B$10+0+B1105)/100)</f>
        <v/>
      </c>
      <c r="N1079">
        <f>L1079*(1-MIN((Inputs!$B$9+((C1087=TRUE)*(F1087-Calc!F19))+B1100),100)/100)+M1079*(MIN((Inputs!$B$9+((C1087=TRUE)*(F1087-Calc!F19))+B1100),100)/100)</f>
        <v/>
      </c>
      <c r="O1079">
        <f>(1-Summary!$B$55)*T1079+Summary!$B$55*V1079</f>
        <v/>
      </c>
      <c r="P1079">
        <f>IF(B1110=0,0,O1079/B1110)</f>
        <v/>
      </c>
      <c r="Q1079">
        <f>IFERROR(1/IF(Inputs!$B$38="pvp",15,MAX(0.1,Skills!D11-IF(Skills!E11=TRUE,(Inputs!$B$32+1),0))),0)</f>
        <v/>
      </c>
      <c r="R1079">
        <f>IF(AND(Inputs!$B$38&lt;&gt;"pvp",Inputs!$B$43&gt;0),IF(MAX(0,Inputs!$B$43-B1107)&lt;=0,0,(INT(MAX(0,Inputs!$B$43-B1107)/IF(Inputs!$B$38="pvp",15,MAX(0.1,Skills!D11-IF(Skills!E11=TRUE,(Inputs!$B$32+1),0))))+1)),0)</f>
        <v/>
      </c>
      <c r="S1079">
        <f>IFERROR((H1079*N1079*IF(AND(Inputs!$B$38&lt;&gt;"pvp",Inputs!$B$43&gt;0),((Skills!G11*((R1079-1)*IF(Skills!H11&gt;0,Skills!I11/Skills!H11,1)+IF(Skills!H11&gt;0,MIN(Skills!I11,MAX(0,MAX(0,Inputs!$B$43-B1107)-((R1079-1)*IF(Inputs!$B$38="pvp",15,MAX(0.1,Skills!D11-IF(Skills!E11=TRUE,(Inputs!$B$32+1),0))))))/Skills!H11,1)))/Inputs!$B$43),G1079*Q1079))/N1079*IF(Inputs!$B$38="pvp",1,(1-Summary!$B$55)*1+Summary!$B$55*(MIN(Skills!R11,Inputs!$B$37))),0)</f>
        <v/>
      </c>
      <c r="T1079">
        <f>IF(C1079,(H1079*N1079*IF(AND(Inputs!$B$38&lt;&gt;"pvp",Inputs!$B$43&gt;0),((Skills!G11*((R1079-1)*IF(Skills!H11&gt;0,Skills!I11/Skills!H11,1)+IF(Skills!H11&gt;0,MIN(Skills!I11,MAX(0,MAX(0,Inputs!$B$43-B1107)-((R1079-1)*IF(Inputs!$B$38="pvp",15,MAX(0.1,Skills!D11-IF(Skills!E11=TRUE,(Inputs!$B$32+1),0))))))/Skills!H11,1)))/Inputs!$B$43),G1079*Q1079))*IF(Inputs!$B$38="pvp",1,1+(Inputs!$B$20+0+Skills!P11)/100),0)</f>
        <v/>
      </c>
      <c r="V1079">
        <f>IF(C1079,(H1079*N1079*IF(AND(Inputs!$B$38&lt;&gt;"pvp",Inputs!$B$43&gt;0),((Skills!G11*((R1079-1)*IF(Skills!H11&gt;0,Skills!I11/Skills!H11,1)+IF(Skills!H11&gt;0,MIN(Skills!I11,MAX(0,MAX(0,Inputs!$B$43-B1107)-((R1079-1)*IF(Inputs!$B$38="pvp",15,MAX(0.1,Skills!D11-IF(Skills!E11=TRUE,(Inputs!$B$32+1),0))))))/Skills!H11,1)))/Inputs!$B$43),G1079*Q1079))*IF(Inputs!$B$38="pvp",1,(1+(Inputs!$B$21+Skills!Q11)/100)*(MIN(Skills!R11,Inputs!$B$37))),0)</f>
        <v/>
      </c>
    </row>
    <row r="1080">
      <c r="A1080">
        <f>Skills!A12</f>
        <v/>
      </c>
      <c r="B1080">
        <f>Skills!B12</f>
        <v/>
      </c>
      <c r="C1080">
        <f>Inputs!$B$3&gt;=60</f>
        <v/>
      </c>
      <c r="D1080">
        <f>IF(Skills!C12=1,60+Inputs!$B$25+Inputs!$B$29,IF(Skills!C12=2,90+Inputs!$B$26+Inputs!$B$29,IF(Skills!C12=3,120+Inputs!$B$27+Inputs!$B$29,MAX(0,(Inputs!$B$3-100)*3)+Inputs!$B$28+Inputs!$B$29)))</f>
        <v/>
      </c>
      <c r="E1080">
        <f>INDEX(FactorTable!$B$2:$Y$301, MATCH(ROUND(MIN(300,MAX(1,D1080)),0), FactorTable!$A$2:$A$301,0), Skills!M12+1)</f>
        <v/>
      </c>
      <c r="F1080">
        <f>IF(Skills!N12=TRUE,(Skills!L12/10)*(E1080/1000),Skills!L12/10)+Skills!O12</f>
        <v/>
      </c>
      <c r="G1080">
        <f>Skills!G12*IF(Skills!H12&gt;0,Skills!I12/Skills!H12,1)</f>
        <v/>
      </c>
      <c r="H1080">
        <f>1-(1-Skills!J12/100)^Skills!K12</f>
        <v/>
      </c>
      <c r="I1080" t="inlineStr">
        <is>
          <t>1</t>
        </is>
      </c>
      <c r="J1080" t="inlineStr"/>
      <c r="K1080" t="inlineStr"/>
      <c r="L1080" t="inlineStr"/>
      <c r="M1080" t="inlineStr"/>
      <c r="N1080" t="inlineStr"/>
      <c r="O1080">
        <f>(1-Summary!$B$55)*T1080+Summary!$B$55*V1080</f>
        <v/>
      </c>
      <c r="P1080">
        <f>IF(B1110=0,0,O1080/B1110)</f>
        <v/>
      </c>
      <c r="Q1080" t="n">
        <v>0</v>
      </c>
      <c r="R1080" t="n">
        <v>0</v>
      </c>
      <c r="S1080" t="n">
        <v>0</v>
      </c>
      <c r="T1080" t="n">
        <v>0</v>
      </c>
      <c r="V1080" t="n">
        <v>0</v>
      </c>
    </row>
    <row r="1081">
      <c r="A1081">
        <f>Skills!A13</f>
        <v/>
      </c>
      <c r="B1081">
        <f>Skills!B13</f>
        <v/>
      </c>
      <c r="C1081">
        <f>Inputs!$B$3&gt;=74</f>
        <v/>
      </c>
      <c r="D1081">
        <f>IF(Skills!C13=1,60+Inputs!$B$25+Inputs!$B$29,IF(Skills!C13=2,90+Inputs!$B$26+Inputs!$B$29,IF(Skills!C13=3,120+Inputs!$B$27+Inputs!$B$29,MAX(0,(Inputs!$B$3-100)*3)+Inputs!$B$28+Inputs!$B$29)))</f>
        <v/>
      </c>
      <c r="E1081">
        <f>INDEX(FactorTable!$B$2:$Y$301, MATCH(ROUND(MIN(300,MAX(1,D1081)),0), FactorTable!$A$2:$A$301,0), Skills!M13+1)</f>
        <v/>
      </c>
      <c r="F1081">
        <f>IF(Skills!N13=TRUE,(Skills!L13/10)*(E1081/1000),Skills!L13/10)+Skills!O13</f>
        <v/>
      </c>
      <c r="G1081">
        <f>Skills!G13*IF(Skills!H13&gt;0,Skills!I13/Skills!H13,1)</f>
        <v/>
      </c>
      <c r="H1081">
        <f>1-(1-Skills!J13/100)^Skills!K13</f>
        <v/>
      </c>
      <c r="I1081" t="inlineStr">
        <is>
          <t>1</t>
        </is>
      </c>
      <c r="J1081" t="inlineStr"/>
      <c r="K1081" t="inlineStr"/>
      <c r="L1081" t="inlineStr"/>
      <c r="M1081" t="inlineStr"/>
      <c r="N1081" t="inlineStr"/>
      <c r="O1081">
        <f>(1-Summary!$B$55)*T1081+Summary!$B$55*V1081</f>
        <v/>
      </c>
      <c r="P1081">
        <f>IF(B1110=0,0,O1081/B1110)</f>
        <v/>
      </c>
      <c r="Q1081" t="n">
        <v>0</v>
      </c>
      <c r="R1081" t="n">
        <v>0</v>
      </c>
      <c r="S1081" t="n">
        <v>0</v>
      </c>
      <c r="T1081" t="n">
        <v>0</v>
      </c>
      <c r="V1081" t="n">
        <v>0</v>
      </c>
    </row>
    <row r="1082">
      <c r="A1082">
        <f>Skills!A14</f>
        <v/>
      </c>
      <c r="B1082">
        <f>Skills!B14</f>
        <v/>
      </c>
      <c r="C1082">
        <f>Inputs!$B$3&gt;=74</f>
        <v/>
      </c>
      <c r="D1082">
        <f>IF(Skills!C14=1,60+Inputs!$B$25+Inputs!$B$29,IF(Skills!C14=2,90+Inputs!$B$26+Inputs!$B$29,IF(Skills!C14=3,120+Inputs!$B$27+Inputs!$B$29,MAX(0,(Inputs!$B$3-100)*3)+Inputs!$B$28+Inputs!$B$29)))</f>
        <v/>
      </c>
      <c r="E1082">
        <f>INDEX(FactorTable!$B$2:$Y$301, MATCH(ROUND(MIN(300,MAX(1,D1082)),0), FactorTable!$A$2:$A$301,0), Skills!M14+1)</f>
        <v/>
      </c>
      <c r="F1082">
        <f>IF(Skills!N14=TRUE,(Skills!L14/10)*(E1082/1000),Skills!L14/10)+Skills!O14</f>
        <v/>
      </c>
      <c r="G1082">
        <f>Skills!G14*IF(Skills!H14&gt;0,Skills!I14/Skills!H14,1)</f>
        <v/>
      </c>
      <c r="H1082">
        <f>1-(1-Skills!J14/100)^Skills!K14</f>
        <v/>
      </c>
      <c r="I1082" t="inlineStr">
        <is>
          <t>1</t>
        </is>
      </c>
      <c r="J1082" t="inlineStr"/>
      <c r="K1082" t="inlineStr"/>
      <c r="L1082" t="inlineStr"/>
      <c r="M1082" t="inlineStr"/>
      <c r="N1082" t="inlineStr"/>
      <c r="O1082">
        <f>(1-Summary!$B$55)*T1082+Summary!$B$55*V1082</f>
        <v/>
      </c>
      <c r="P1082">
        <f>IF(B1110=0,0,O1082/B1110)</f>
        <v/>
      </c>
      <c r="Q1082" t="n">
        <v>0</v>
      </c>
      <c r="R1082" t="n">
        <v>0</v>
      </c>
      <c r="S1082" t="n">
        <v>0</v>
      </c>
      <c r="T1082" t="n">
        <v>0</v>
      </c>
      <c r="V1082" t="n">
        <v>0</v>
      </c>
    </row>
    <row r="1083">
      <c r="A1083">
        <f>Skills!A15</f>
        <v/>
      </c>
      <c r="B1083">
        <f>Skills!B15</f>
        <v/>
      </c>
      <c r="C1083">
        <f>Inputs!$B$3&gt;=117</f>
        <v/>
      </c>
      <c r="D1083">
        <f>IF(Skills!C15=1,60+Inputs!$B$25+Inputs!$B$29,IF(Skills!C15=2,90+Inputs!$B$26+Inputs!$B$29,IF(Skills!C15=3,120+Inputs!$B$27+Inputs!$B$29,MAX(0,(Inputs!$B$3-100)*3)+Inputs!$B$28+Inputs!$B$29)))</f>
        <v/>
      </c>
      <c r="E1083">
        <f>INDEX(FactorTable!$B$2:$Y$301, MATCH(ROUND(MIN(300,MAX(1,D1083)),0), FactorTable!$A$2:$A$301,0), Skills!M15+1)</f>
        <v/>
      </c>
      <c r="F1083">
        <f>IF(Skills!N15=TRUE,(Skills!L15/10)*(E1083/1000),Skills!L15/10)+Skills!O15</f>
        <v/>
      </c>
      <c r="G1083">
        <f>Skills!G15*IF(Skills!H15&gt;0,Skills!I15/Skills!H15,1)</f>
        <v/>
      </c>
      <c r="H1083">
        <f>1-(1-Skills!J15/100)^Skills!K15</f>
        <v/>
      </c>
      <c r="I1083" t="inlineStr">
        <is>
          <t>1</t>
        </is>
      </c>
      <c r="J1083" t="inlineStr"/>
      <c r="K1083" t="inlineStr"/>
      <c r="L1083" t="inlineStr"/>
      <c r="M1083" t="inlineStr"/>
      <c r="N1083" t="inlineStr"/>
      <c r="O1083">
        <f>(1-Summary!$B$55)*T1083+Summary!$B$55*V1083</f>
        <v/>
      </c>
      <c r="P1083">
        <f>IF(B1110=0,0,O1083/B1110)</f>
        <v/>
      </c>
      <c r="Q1083">
        <f>IFERROR(1/IF(Inputs!$B$38="pvp",15,MAX(0.1,Skills!D15-IF(Skills!E15=TRUE,(Inputs!$B$32+1),0))),0)</f>
        <v/>
      </c>
      <c r="R1083">
        <f>IF(AND(Inputs!$B$38&lt;&gt;"pvp",Inputs!$B$43&gt;0),IF(Inputs!$B$43&lt;=0,0,(INT(Inputs!$B$43/IF(Inputs!$B$38="pvp",15,MAX(0.1,Skills!D15-IF(Skills!E15=TRUE,(Inputs!$B$32+1),0))))+1)),0)</f>
        <v/>
      </c>
      <c r="S1083" t="n">
        <v>0</v>
      </c>
      <c r="T1083" t="n">
        <v>0</v>
      </c>
      <c r="V1083" t="n">
        <v>0</v>
      </c>
    </row>
    <row r="1084">
      <c r="A1084">
        <f>Skills!A16</f>
        <v/>
      </c>
      <c r="B1084">
        <f>Skills!B16</f>
        <v/>
      </c>
      <c r="C1084">
        <f>Inputs!$B$3&gt;=115</f>
        <v/>
      </c>
      <c r="D1084">
        <f>IF(Skills!C16=1,60+Inputs!$B$25+Inputs!$B$29,IF(Skills!C16=2,90+Inputs!$B$26+Inputs!$B$29,IF(Skills!C16=3,120+Inputs!$B$27+Inputs!$B$29,MAX(0,(Inputs!$B$3-100)*3)+Inputs!$B$28+Inputs!$B$29)))</f>
        <v/>
      </c>
      <c r="E1084">
        <f>INDEX(FactorTable!$B$2:$Y$301, MATCH(ROUND(MIN(300,MAX(1,D1084)),0), FactorTable!$A$2:$A$301,0), Skills!M16+1)</f>
        <v/>
      </c>
      <c r="F1084">
        <f>IF(Skills!N16=TRUE,(Skills!L16/10)*(E1084/1000),Skills!L16/10)+Skills!O16</f>
        <v/>
      </c>
      <c r="G1084">
        <f>Skills!G16*IF(Skills!H16&gt;0,Skills!I16/Skills!H16,1)</f>
        <v/>
      </c>
      <c r="H1084">
        <f>1-(1-Skills!J16/100)^Skills!K16</f>
        <v/>
      </c>
      <c r="I1084" t="inlineStr">
        <is>
          <t>1</t>
        </is>
      </c>
      <c r="J1084" t="inlineStr"/>
      <c r="K1084" t="inlineStr"/>
      <c r="L1084" t="inlineStr"/>
      <c r="M1084" t="inlineStr"/>
      <c r="N1084" t="inlineStr"/>
      <c r="O1084">
        <f>(1-Summary!$B$55)*T1084+Summary!$B$55*V1084</f>
        <v/>
      </c>
      <c r="P1084">
        <f>IF(B1110=0,0,O1084/B1110)</f>
        <v/>
      </c>
      <c r="Q1084">
        <f>IFERROR(1/IF(Inputs!$B$38="pvp",15,MAX(0.1,Skills!D16-IF(Skills!E16=TRUE,(Inputs!$B$32+1),0))),0)</f>
        <v/>
      </c>
      <c r="R1084">
        <f>IF(AND(Inputs!$B$38&lt;&gt;"pvp",Inputs!$B$43&gt;0),IF(Inputs!$B$43&lt;=0,0,(INT(Inputs!$B$43/IF(Inputs!$B$38="pvp",15,MAX(0.1,Skills!D16-IF(Skills!E16=TRUE,(Inputs!$B$32+1),0))))+1)),0)</f>
        <v/>
      </c>
      <c r="S1084" t="n">
        <v>0</v>
      </c>
      <c r="T1084" t="n">
        <v>0</v>
      </c>
      <c r="V1084" t="n">
        <v>0</v>
      </c>
    </row>
    <row r="1085">
      <c r="A1085">
        <f>Skills!A17</f>
        <v/>
      </c>
      <c r="B1085">
        <f>Skills!B17</f>
        <v/>
      </c>
      <c r="C1085">
        <f>Inputs!$B$3&gt;=72</f>
        <v/>
      </c>
      <c r="D1085">
        <f>IF(Skills!C17=1,60+Inputs!$B$25+Inputs!$B$29,IF(Skills!C17=2,90+Inputs!$B$26+Inputs!$B$29,IF(Skills!C17=3,120+Inputs!$B$27+Inputs!$B$29,MAX(0,(Inputs!$B$3-100)*3)+Inputs!$B$28+Inputs!$B$29)))</f>
        <v/>
      </c>
      <c r="E1085">
        <f>INDEX(FactorTable!$B$2:$Y$301, MATCH(ROUND(MIN(300,MAX(1,D1085)),0), FactorTable!$A$2:$A$301,0), Skills!M17+1)</f>
        <v/>
      </c>
      <c r="F1085">
        <f>IF(Skills!N17=TRUE,(Skills!L17/10)*(E1085/1000),Skills!L17/10)+Skills!O17</f>
        <v/>
      </c>
      <c r="G1085">
        <f>Skills!G17*IF(Skills!H17&gt;0,Skills!I17/Skills!H17,1)</f>
        <v/>
      </c>
      <c r="H1085">
        <f>1-(1-Skills!J17/100)^Skills!K17</f>
        <v/>
      </c>
      <c r="I1085" t="inlineStr">
        <is>
          <t>1</t>
        </is>
      </c>
      <c r="J1085" t="inlineStr"/>
      <c r="K1085" t="inlineStr"/>
      <c r="L1085" t="inlineStr"/>
      <c r="M1085" t="inlineStr"/>
      <c r="N1085" t="inlineStr"/>
      <c r="O1085">
        <f>(1-Summary!$B$55)*T1085+Summary!$B$55*V1085</f>
        <v/>
      </c>
      <c r="P1085">
        <f>IF(B1110=0,0,O1085/B1110)</f>
        <v/>
      </c>
      <c r="Q1085" t="n">
        <v>0</v>
      </c>
      <c r="R1085" t="n">
        <v>0</v>
      </c>
      <c r="S1085" t="n">
        <v>0</v>
      </c>
      <c r="T1085" t="n">
        <v>0</v>
      </c>
      <c r="V1085" t="n">
        <v>0</v>
      </c>
    </row>
    <row r="1086">
      <c r="A1086">
        <f>Skills!A18</f>
        <v/>
      </c>
      <c r="B1086">
        <f>Skills!B18</f>
        <v/>
      </c>
      <c r="C1086">
        <f>TRUE</f>
        <v/>
      </c>
      <c r="D1086">
        <f>IF(Skills!C18=1,60+Inputs!$B$25+Inputs!$B$29,IF(Skills!C18=2,90+Inputs!$B$26+Inputs!$B$29,IF(Skills!C18=3,120+Inputs!$B$27+Inputs!$B$29,MAX(0,(Inputs!$B$3-100)*3)+Inputs!$B$28+Inputs!$B$29)))</f>
        <v/>
      </c>
      <c r="E1086">
        <f>INDEX(FactorTable!$B$2:$Y$301, MATCH(ROUND(MIN(300,MAX(1,D1086)),0), FactorTable!$A$2:$A$301,0), Skills!M18+1)</f>
        <v/>
      </c>
      <c r="F1086">
        <f>IF(Skills!N18=TRUE,(Skills!L18/10)*(E1086/1000),Skills!L18/10)+Skills!O18</f>
        <v/>
      </c>
      <c r="G1086">
        <f>Skills!G18*IF(Skills!H18&gt;0,Skills!I18/Skills!H18,1)</f>
        <v/>
      </c>
      <c r="H1086">
        <f>1-(1-Skills!J18/100)^Skills!K18</f>
        <v/>
      </c>
      <c r="I1086" t="inlineStr">
        <is>
          <t>1</t>
        </is>
      </c>
      <c r="J1086" t="inlineStr"/>
      <c r="K1086" t="inlineStr"/>
      <c r="L1086" t="inlineStr"/>
      <c r="M1086" t="inlineStr"/>
      <c r="N1086" t="inlineStr"/>
      <c r="O1086">
        <f>(1-Summary!$B$55)*T1086+Summary!$B$55*V1086</f>
        <v/>
      </c>
      <c r="P1086">
        <f>IF(B1110=0,0,O1086/B1110)</f>
        <v/>
      </c>
      <c r="Q1086">
        <f>IFERROR(1/IF(Inputs!$B$38="pvp",15,MAX(0.1,Skills!D18-IF(Skills!E18=TRUE,(Inputs!$B$32+1),0))),0)</f>
        <v/>
      </c>
      <c r="R1086">
        <f>IF(AND(Inputs!$B$38&lt;&gt;"pvp",Inputs!$B$43&gt;0),IF(Inputs!$B$43&lt;=0,0,(INT(Inputs!$B$43/IF(Inputs!$B$38="pvp",15,MAX(0.1,Skills!D18-IF(Skills!E18=TRUE,(Inputs!$B$32+1),0))))+1)),0)</f>
        <v/>
      </c>
      <c r="S1086" t="n">
        <v>0</v>
      </c>
      <c r="T1086" t="n">
        <v>0</v>
      </c>
      <c r="V1086" t="n">
        <v>0</v>
      </c>
    </row>
    <row r="1087">
      <c r="A1087">
        <f>Skills!A19</f>
        <v/>
      </c>
      <c r="B1087">
        <f>Skills!B19</f>
        <v/>
      </c>
      <c r="C1087">
        <f>Inputs!$B$3&gt;=15</f>
        <v/>
      </c>
      <c r="D1087">
        <f>IF(Skills!C19=1,60+Inputs!$B$25+Inputs!$B$29,IF(Skills!C19=2,90+Inputs!$B$26+Inputs!$B$29,IF(Skills!C19=3,120+Inputs!$B$27+Inputs!$B$29,MAX(0,(Inputs!$B$3-100)*3)+Inputs!$B$28+Inputs!$B$29)))</f>
        <v/>
      </c>
      <c r="E1087">
        <f>INDEX(FactorTable!$B$2:$Y$301, MATCH(ROUND(MIN(300,MAX(1,D1087)),0), FactorTable!$A$2:$A$301,0), Skills!M19+1)</f>
        <v/>
      </c>
      <c r="F1087">
        <f>IF(Skills!N19=TRUE,(Skills!L19/10)*(E1087/1000),Skills!L19/10)+Skills!O19</f>
        <v/>
      </c>
      <c r="G1087">
        <f>Skills!G19*IF(Skills!H19&gt;0,Skills!I19/Skills!H19,1)</f>
        <v/>
      </c>
      <c r="H1087">
        <f>1-(1-Skills!J19/100)^Skills!K19</f>
        <v/>
      </c>
      <c r="I1087" t="inlineStr">
        <is>
          <t>1</t>
        </is>
      </c>
      <c r="J1087" t="inlineStr"/>
      <c r="K1087" t="inlineStr"/>
      <c r="L1087" t="inlineStr"/>
      <c r="M1087" t="inlineStr"/>
      <c r="N1087" t="inlineStr"/>
      <c r="O1087">
        <f>(1-Summary!$B$55)*T1087+Summary!$B$55*V1087</f>
        <v/>
      </c>
      <c r="P1087">
        <f>IF(B1110=0,0,O1087/B1110)</f>
        <v/>
      </c>
      <c r="Q1087" t="n">
        <v>0</v>
      </c>
      <c r="R1087" t="n">
        <v>0</v>
      </c>
      <c r="S1087" t="n">
        <v>0</v>
      </c>
      <c r="T1087" t="n">
        <v>0</v>
      </c>
      <c r="V1087" t="n">
        <v>0</v>
      </c>
    </row>
    <row r="1088">
      <c r="A1088">
        <f>Skills!A20</f>
        <v/>
      </c>
      <c r="B1088">
        <f>Skills!B20</f>
        <v/>
      </c>
      <c r="C1088">
        <f>Inputs!$B$3&gt;=10</f>
        <v/>
      </c>
      <c r="D1088">
        <f>IF(Skills!C20=1,60+Inputs!$B$25+Inputs!$B$29,IF(Skills!C20=2,90+Inputs!$B$26+Inputs!$B$29,IF(Skills!C20=3,120+Inputs!$B$27+Inputs!$B$29,MAX(0,(Inputs!$B$3-100)*3)+Inputs!$B$28+Inputs!$B$29)))</f>
        <v/>
      </c>
      <c r="E1088">
        <f>INDEX(FactorTable!$B$2:$Y$301, MATCH(ROUND(MIN(300,MAX(1,D1088)),0), FactorTable!$A$2:$A$301,0), Skills!M20+1)</f>
        <v/>
      </c>
      <c r="F1088">
        <f>IF(Skills!N20=TRUE,(Skills!L20/10)*(E1088/1000),Skills!L20/10)+Skills!O20</f>
        <v/>
      </c>
      <c r="G1088">
        <f>Skills!G20*IF(Skills!H20&gt;0,Skills!I20/Skills!H20,1)</f>
        <v/>
      </c>
      <c r="H1088">
        <f>1-(1-Skills!J20/100)^Skills!K20</f>
        <v/>
      </c>
      <c r="I1088" t="inlineStr">
        <is>
          <t>1</t>
        </is>
      </c>
      <c r="J1088" t="inlineStr"/>
      <c r="K1088" t="inlineStr"/>
      <c r="L1088" t="inlineStr"/>
      <c r="M1088" t="inlineStr"/>
      <c r="N1088" t="inlineStr"/>
      <c r="O1088">
        <f>(1-Summary!$B$55)*T1088+Summary!$B$55*V1088</f>
        <v/>
      </c>
      <c r="P1088">
        <f>IF(B1110=0,0,O1088/B1110)</f>
        <v/>
      </c>
      <c r="Q1088" t="n">
        <v>0</v>
      </c>
      <c r="R1088" t="n">
        <v>0</v>
      </c>
      <c r="S1088" t="n">
        <v>0</v>
      </c>
      <c r="T1088" t="n">
        <v>0</v>
      </c>
      <c r="V1088" t="n">
        <v>0</v>
      </c>
    </row>
    <row r="1089">
      <c r="A1089">
        <f>Skills!A21</f>
        <v/>
      </c>
      <c r="B1089">
        <f>Skills!B21</f>
        <v/>
      </c>
      <c r="C1089">
        <f>Inputs!$B$3&gt;=33</f>
        <v/>
      </c>
      <c r="D1089">
        <f>IF(Skills!C21=1,60+Inputs!$B$25+Inputs!$B$29,IF(Skills!C21=2,90+Inputs!$B$26+Inputs!$B$29,IF(Skills!C21=3,120+Inputs!$B$27+Inputs!$B$29,MAX(0,(Inputs!$B$3-100)*3)+Inputs!$B$28+Inputs!$B$29)))</f>
        <v/>
      </c>
      <c r="E1089">
        <f>INDEX(FactorTable!$B$2:$Y$301, MATCH(ROUND(MIN(300,MAX(1,D1089)),0), FactorTable!$A$2:$A$301,0), Skills!M21+1)</f>
        <v/>
      </c>
      <c r="F1089">
        <f>IF(Skills!N21=TRUE,(Skills!L21/10)*(E1089/1000),Skills!L21/10)+Skills!O21</f>
        <v/>
      </c>
      <c r="G1089">
        <f>Skills!G21*IF(Skills!H21&gt;0,Skills!I21/Skills!H21,1)</f>
        <v/>
      </c>
      <c r="H1089">
        <f>1-(1-Skills!J21/100)^Skills!K21</f>
        <v/>
      </c>
      <c r="I1089" t="inlineStr">
        <is>
          <t>1</t>
        </is>
      </c>
      <c r="J1089" t="inlineStr"/>
      <c r="K1089" t="inlineStr"/>
      <c r="L1089" t="inlineStr"/>
      <c r="M1089" t="inlineStr"/>
      <c r="N1089" t="inlineStr"/>
      <c r="O1089">
        <f>(1-Summary!$B$55)*T1089+Summary!$B$55*V1089</f>
        <v/>
      </c>
      <c r="P1089">
        <f>IF(B1110=0,0,O1089/B1110)</f>
        <v/>
      </c>
      <c r="Q1089" t="n">
        <v>0</v>
      </c>
      <c r="R1089" t="n">
        <v>0</v>
      </c>
      <c r="S1089" t="n">
        <v>0</v>
      </c>
      <c r="T1089" t="n">
        <v>0</v>
      </c>
      <c r="V1089" t="n">
        <v>0</v>
      </c>
    </row>
    <row r="1090">
      <c r="A1090">
        <f>Skills!A22</f>
        <v/>
      </c>
      <c r="B1090">
        <f>Skills!B22</f>
        <v/>
      </c>
      <c r="C1090">
        <f>Inputs!$B$3&gt;=38</f>
        <v/>
      </c>
      <c r="D1090">
        <f>IF(Skills!C22=1,60+Inputs!$B$25+Inputs!$B$29,IF(Skills!C22=2,90+Inputs!$B$26+Inputs!$B$29,IF(Skills!C22=3,120+Inputs!$B$27+Inputs!$B$29,MAX(0,(Inputs!$B$3-100)*3)+Inputs!$B$28+Inputs!$B$29)))</f>
        <v/>
      </c>
      <c r="E1090">
        <f>INDEX(FactorTable!$B$2:$Y$301, MATCH(ROUND(MIN(300,MAX(1,D1090)),0), FactorTable!$A$2:$A$301,0), Skills!M22+1)</f>
        <v/>
      </c>
      <c r="F1090">
        <f>IF(Skills!N22=TRUE,(Skills!L22/10)*(E1090/1000),Skills!L22/10)+Skills!O22</f>
        <v/>
      </c>
      <c r="G1090">
        <f>Skills!G22*IF(Skills!H22&gt;0,Skills!I22/Skills!H22,1)</f>
        <v/>
      </c>
      <c r="H1090">
        <f>1-(1-Skills!J22/100)^Skills!K22</f>
        <v/>
      </c>
      <c r="I1090" t="inlineStr">
        <is>
          <t>1</t>
        </is>
      </c>
      <c r="J1090" t="inlineStr"/>
      <c r="K1090" t="inlineStr"/>
      <c r="L1090" t="inlineStr"/>
      <c r="M1090" t="inlineStr"/>
      <c r="N1090" t="inlineStr"/>
      <c r="O1090">
        <f>(1-Summary!$B$55)*T1090+Summary!$B$55*V1090</f>
        <v/>
      </c>
      <c r="P1090">
        <f>IF(B1110=0,0,O1090/B1110)</f>
        <v/>
      </c>
      <c r="Q1090" t="n">
        <v>0</v>
      </c>
      <c r="R1090" t="n">
        <v>0</v>
      </c>
      <c r="S1090" t="n">
        <v>0</v>
      </c>
      <c r="T1090" t="n">
        <v>0</v>
      </c>
      <c r="V1090" t="n">
        <v>0</v>
      </c>
    </row>
    <row r="1091">
      <c r="A1091">
        <f>Skills!A23</f>
        <v/>
      </c>
      <c r="B1091">
        <f>Skills!B23</f>
        <v/>
      </c>
      <c r="C1091">
        <f>Inputs!$B$3&gt;=43</f>
        <v/>
      </c>
      <c r="D1091">
        <f>IF(Skills!C23=1,60+Inputs!$B$25+Inputs!$B$29,IF(Skills!C23=2,90+Inputs!$B$26+Inputs!$B$29,IF(Skills!C23=3,120+Inputs!$B$27+Inputs!$B$29,MAX(0,(Inputs!$B$3-100)*3)+Inputs!$B$28+Inputs!$B$29)))</f>
        <v/>
      </c>
      <c r="E1091">
        <f>INDEX(FactorTable!$B$2:$Y$301, MATCH(ROUND(MIN(300,MAX(1,D1091)),0), FactorTable!$A$2:$A$301,0), Skills!M23+1)</f>
        <v/>
      </c>
      <c r="F1091">
        <f>IF(Skills!N23=TRUE,(Skills!L23/10)*(E1091/1000),Skills!L23/10)+Skills!O23</f>
        <v/>
      </c>
      <c r="G1091">
        <f>Skills!G23*IF(Skills!H23&gt;0,Skills!I23/Skills!H23,1)</f>
        <v/>
      </c>
      <c r="H1091">
        <f>1-(1-Skills!J23/100)^Skills!K23</f>
        <v/>
      </c>
      <c r="I1091" t="inlineStr">
        <is>
          <t>1</t>
        </is>
      </c>
      <c r="J1091" t="inlineStr"/>
      <c r="K1091" t="inlineStr"/>
      <c r="L1091" t="inlineStr"/>
      <c r="M1091" t="inlineStr"/>
      <c r="N1091" t="inlineStr"/>
      <c r="O1091">
        <f>(1-Summary!$B$55)*T1091+Summary!$B$55*V1091</f>
        <v/>
      </c>
      <c r="P1091">
        <f>IF(B1110=0,0,O1091/B1110)</f>
        <v/>
      </c>
      <c r="Q1091" t="n">
        <v>0</v>
      </c>
      <c r="R1091" t="n">
        <v>0</v>
      </c>
      <c r="S1091" t="n">
        <v>0</v>
      </c>
      <c r="T1091" t="n">
        <v>0</v>
      </c>
      <c r="V1091" t="n">
        <v>0</v>
      </c>
    </row>
    <row r="1092">
      <c r="A1092">
        <f>Skills!A24</f>
        <v/>
      </c>
      <c r="B1092">
        <f>Skills!B24</f>
        <v/>
      </c>
      <c r="C1092">
        <f>Inputs!$B$3&gt;=75</f>
        <v/>
      </c>
      <c r="D1092">
        <f>IF(Skills!C24=1,60+Inputs!$B$25+Inputs!$B$29,IF(Skills!C24=2,90+Inputs!$B$26+Inputs!$B$29,IF(Skills!C24=3,120+Inputs!$B$27+Inputs!$B$29,MAX(0,(Inputs!$B$3-100)*3)+Inputs!$B$28+Inputs!$B$29)))</f>
        <v/>
      </c>
      <c r="E1092">
        <f>INDEX(FactorTable!$B$2:$Y$301, MATCH(ROUND(MIN(300,MAX(1,D1092)),0), FactorTable!$A$2:$A$301,0), Skills!M24+1)</f>
        <v/>
      </c>
      <c r="F1092">
        <f>IF(Skills!N24=TRUE,(Skills!L24/10)*(E1092/1000),Skills!L24/10)+Skills!O24</f>
        <v/>
      </c>
      <c r="G1092">
        <f>Skills!G24*IF(Skills!H24&gt;0,Skills!I24/Skills!H24,1)</f>
        <v/>
      </c>
      <c r="H1092">
        <f>1-(1-Skills!J24/100)^Skills!K24</f>
        <v/>
      </c>
      <c r="I1092" t="inlineStr">
        <is>
          <t>1</t>
        </is>
      </c>
      <c r="J1092" t="inlineStr"/>
      <c r="K1092" t="inlineStr"/>
      <c r="L1092" t="inlineStr"/>
      <c r="M1092" t="inlineStr"/>
      <c r="N1092" t="inlineStr"/>
      <c r="O1092">
        <f>(1-Summary!$B$55)*T1092+Summary!$B$55*V1092</f>
        <v/>
      </c>
      <c r="P1092">
        <f>IF(B1110=0,0,O1092/B1110)</f>
        <v/>
      </c>
      <c r="Q1092" t="n">
        <v>0</v>
      </c>
      <c r="R1092" t="n">
        <v>0</v>
      </c>
      <c r="S1092" t="n">
        <v>0</v>
      </c>
      <c r="T1092" t="n">
        <v>0</v>
      </c>
      <c r="V1092" t="n">
        <v>0</v>
      </c>
    </row>
    <row r="1093">
      <c r="A1093">
        <f>Skills!A25</f>
        <v/>
      </c>
      <c r="B1093">
        <f>Skills!B25</f>
        <v/>
      </c>
      <c r="C1093">
        <f>Inputs!$B$3&gt;=125</f>
        <v/>
      </c>
      <c r="D1093">
        <f>IF(Skills!C25=1,60+Inputs!$B$25+Inputs!$B$29,IF(Skills!C25=2,90+Inputs!$B$26+Inputs!$B$29,IF(Skills!C25=3,120+Inputs!$B$27+Inputs!$B$29,MAX(0,(Inputs!$B$3-100)*3)+Inputs!$B$28+Inputs!$B$29)))</f>
        <v/>
      </c>
      <c r="E1093">
        <f>INDEX(FactorTable!$B$2:$Y$301, MATCH(ROUND(MIN(300,MAX(1,D1093)),0), FactorTable!$A$2:$A$301,0), Skills!M25+1)</f>
        <v/>
      </c>
      <c r="F1093">
        <f>IF(Skills!N25=TRUE,(Skills!L25/10)*(E1093/1000),Skills!L25/10)+Skills!O25</f>
        <v/>
      </c>
      <c r="G1093">
        <f>Skills!G25*IF(Skills!H25&gt;0,Skills!I25/Skills!H25,1)</f>
        <v/>
      </c>
      <c r="H1093">
        <f>1-(1-Skills!J25/100)^Skills!K25</f>
        <v/>
      </c>
      <c r="I1093" t="inlineStr">
        <is>
          <t>1</t>
        </is>
      </c>
      <c r="J1093" t="inlineStr"/>
      <c r="K1093" t="inlineStr"/>
      <c r="L1093" t="inlineStr"/>
      <c r="M1093" t="inlineStr"/>
      <c r="N1093" t="inlineStr"/>
      <c r="O1093">
        <f>(1-Summary!$B$55)*T1093+Summary!$B$55*V1093</f>
        <v/>
      </c>
      <c r="P1093">
        <f>IF(B1110=0,0,O1093/B1110)</f>
        <v/>
      </c>
      <c r="Q1093" t="n">
        <v>0</v>
      </c>
      <c r="R1093" t="n">
        <v>0</v>
      </c>
      <c r="S1093" t="n">
        <v>0</v>
      </c>
      <c r="T1093" t="n">
        <v>0</v>
      </c>
      <c r="V1093" t="n">
        <v>0</v>
      </c>
    </row>
    <row r="1094">
      <c r="A1094">
        <f>Skills!A26</f>
        <v/>
      </c>
      <c r="B1094">
        <f>Skills!B26</f>
        <v/>
      </c>
      <c r="C1094">
        <f>Inputs!$B$3&gt;=125</f>
        <v/>
      </c>
      <c r="D1094">
        <f>IF(Skills!C26=1,60+Inputs!$B$25+Inputs!$B$29,IF(Skills!C26=2,90+Inputs!$B$26+Inputs!$B$29,IF(Skills!C26=3,120+Inputs!$B$27+Inputs!$B$29,MAX(0,(Inputs!$B$3-100)*3)+Inputs!$B$28+Inputs!$B$29)))</f>
        <v/>
      </c>
      <c r="E1094">
        <f>INDEX(FactorTable!$B$2:$Y$301, MATCH(ROUND(MIN(300,MAX(1,D1094)),0), FactorTable!$A$2:$A$301,0), Skills!M26+1)</f>
        <v/>
      </c>
      <c r="F1094">
        <f>IF(Skills!N26=TRUE,(Skills!L26/10)*(E1094/1000),Skills!L26/10)+Skills!O26</f>
        <v/>
      </c>
      <c r="G1094">
        <f>Skills!G26*IF(Skills!H26&gt;0,Skills!I26/Skills!H26,1)</f>
        <v/>
      </c>
      <c r="H1094">
        <f>1-(1-Skills!J26/100)^Skills!K26</f>
        <v/>
      </c>
      <c r="I1094" t="inlineStr">
        <is>
          <t>1</t>
        </is>
      </c>
      <c r="J1094" t="inlineStr"/>
      <c r="K1094" t="inlineStr"/>
      <c r="L1094" t="inlineStr"/>
      <c r="M1094" t="inlineStr"/>
      <c r="N1094" t="inlineStr"/>
      <c r="O1094">
        <f>(1-Summary!$B$55)*T1094+Summary!$B$55*V1094</f>
        <v/>
      </c>
      <c r="P1094">
        <f>IF(B1110=0,0,O1094/B1110)</f>
        <v/>
      </c>
      <c r="Q1094" t="n">
        <v>0</v>
      </c>
      <c r="R1094" t="n">
        <v>0</v>
      </c>
      <c r="S1094" t="n">
        <v>0</v>
      </c>
      <c r="T1094" t="n">
        <v>0</v>
      </c>
      <c r="V1094" t="n">
        <v>0</v>
      </c>
    </row>
    <row r="1095">
      <c r="A1095">
        <f>Skills!A27</f>
        <v/>
      </c>
      <c r="B1095">
        <f>Skills!B27</f>
        <v/>
      </c>
      <c r="C1095">
        <f>Inputs!$B$3&gt;=120</f>
        <v/>
      </c>
      <c r="D1095">
        <f>IF(Skills!C27=1,60+Inputs!$B$25+Inputs!$B$29,IF(Skills!C27=2,90+Inputs!$B$26+Inputs!$B$29,IF(Skills!C27=3,120+Inputs!$B$27+Inputs!$B$29,MAX(0,(Inputs!$B$3-100)*3)+Inputs!$B$28+Inputs!$B$29)))</f>
        <v/>
      </c>
      <c r="E1095">
        <f>INDEX(FactorTable!$B$2:$Y$301, MATCH(ROUND(MIN(300,MAX(1,D1095)),0), FactorTable!$A$2:$A$301,0), Skills!M27+1)</f>
        <v/>
      </c>
      <c r="F1095">
        <f>IF(Skills!N27=TRUE,(Skills!L27/10)*(E1095/1000),Skills!L27/10)+Skills!O27</f>
        <v/>
      </c>
      <c r="G1095">
        <f>Skills!G27*IF(Skills!H27&gt;0,Skills!I27/Skills!H27,1)</f>
        <v/>
      </c>
      <c r="H1095">
        <f>1-(1-Skills!J27/100)^Skills!K27</f>
        <v/>
      </c>
      <c r="I1095" t="inlineStr">
        <is>
          <t>1</t>
        </is>
      </c>
      <c r="J1095" t="inlineStr"/>
      <c r="K1095" t="inlineStr"/>
      <c r="L1095" t="inlineStr"/>
      <c r="M1095" t="inlineStr"/>
      <c r="N1095" t="inlineStr"/>
      <c r="O1095">
        <f>(1-Summary!$B$55)*T1095+Summary!$B$55*V1095</f>
        <v/>
      </c>
      <c r="P1095">
        <f>IF(B1110=0,0,O1095/B1110)</f>
        <v/>
      </c>
      <c r="Q1095" t="n">
        <v>0</v>
      </c>
      <c r="R1095" t="n">
        <v>0</v>
      </c>
      <c r="S1095" t="n">
        <v>0</v>
      </c>
      <c r="T1095" t="n">
        <v>0</v>
      </c>
      <c r="V1095" t="n">
        <v>0</v>
      </c>
    </row>
    <row r="1096">
      <c r="A1096">
        <f>Skills!A28</f>
        <v/>
      </c>
      <c r="B1096">
        <f>Skills!B28</f>
        <v/>
      </c>
      <c r="C1096">
        <f>Inputs!$B$3&gt;=120</f>
        <v/>
      </c>
      <c r="D1096">
        <f>IF(Skills!C28=1,60+Inputs!$B$25+Inputs!$B$29,IF(Skills!C28=2,90+Inputs!$B$26+Inputs!$B$29,IF(Skills!C28=3,120+Inputs!$B$27+Inputs!$B$29,MAX(0,(Inputs!$B$3-100)*3)+Inputs!$B$28+Inputs!$B$29)))</f>
        <v/>
      </c>
      <c r="E1096">
        <f>INDEX(FactorTable!$B$2:$Y$301, MATCH(ROUND(MIN(300,MAX(1,D1096)),0), FactorTable!$A$2:$A$301,0), Skills!M28+1)</f>
        <v/>
      </c>
      <c r="F1096">
        <f>IF(Skills!N28=TRUE,(Skills!L28/10)*(E1096/1000),Skills!L28/10)+Skills!O28</f>
        <v/>
      </c>
      <c r="G1096">
        <f>Skills!G28*IF(Skills!H28&gt;0,Skills!I28/Skills!H28,1)</f>
        <v/>
      </c>
      <c r="H1096">
        <f>1-(1-Skills!J28/100)^Skills!K28</f>
        <v/>
      </c>
      <c r="I1096" t="inlineStr">
        <is>
          <t>1</t>
        </is>
      </c>
      <c r="J1096" t="inlineStr"/>
      <c r="K1096" t="inlineStr"/>
      <c r="L1096" t="inlineStr"/>
      <c r="M1096" t="inlineStr"/>
      <c r="N1096" t="inlineStr"/>
      <c r="O1096">
        <f>(1-Summary!$B$55)*T1096+Summary!$B$55*V1096</f>
        <v/>
      </c>
      <c r="P1096">
        <f>IF(B1110=0,0,O1096/B1110)</f>
        <v/>
      </c>
      <c r="Q1096" t="n">
        <v>0</v>
      </c>
      <c r="R1096" t="n">
        <v>0</v>
      </c>
      <c r="S1096" t="n">
        <v>0</v>
      </c>
      <c r="T1096" t="n">
        <v>0</v>
      </c>
      <c r="V1096" t="n">
        <v>0</v>
      </c>
    </row>
    <row r="1097">
      <c r="A1097">
        <f>Skills!A29</f>
        <v/>
      </c>
      <c r="B1097">
        <f>Skills!B29</f>
        <v/>
      </c>
      <c r="C1097">
        <f>Inputs!$B$3&gt;=45</f>
        <v/>
      </c>
      <c r="D1097">
        <f>IF(Skills!C29=1,60+Inputs!$B$25+Inputs!$B$29,IF(Skills!C29=2,90+Inputs!$B$26+Inputs!$B$29,IF(Skills!C29=3,120+Inputs!$B$27+Inputs!$B$29,MAX(0,(Inputs!$B$3-100)*3)+Inputs!$B$28+Inputs!$B$29)))</f>
        <v/>
      </c>
      <c r="E1097">
        <f>INDEX(FactorTable!$B$2:$Y$301, MATCH(ROUND(MIN(300,MAX(1,D1097)),0), FactorTable!$A$2:$A$301,0), Skills!M29+1)</f>
        <v/>
      </c>
      <c r="F1097">
        <f>IF(Skills!N29=TRUE,(Skills!L29/10)*(E1097/1000),Skills!L29/10)+Skills!O29</f>
        <v/>
      </c>
      <c r="G1097">
        <f>Skills!G29*IF(Skills!H29&gt;0,Skills!I29/Skills!H29,1)</f>
        <v/>
      </c>
      <c r="H1097">
        <f>1-(1-Skills!J29/100)^Skills!K29</f>
        <v/>
      </c>
      <c r="I1097" t="inlineStr">
        <is>
          <t>1</t>
        </is>
      </c>
      <c r="J1097" t="inlineStr"/>
      <c r="K1097" t="inlineStr"/>
      <c r="L1097" t="inlineStr"/>
      <c r="M1097" t="inlineStr"/>
      <c r="N1097" t="inlineStr"/>
      <c r="O1097">
        <f>(1-Summary!$B$55)*T1097+Summary!$B$55*V1097</f>
        <v/>
      </c>
      <c r="P1097">
        <f>IF(B1110=0,0,O1097/B1110)</f>
        <v/>
      </c>
      <c r="Q1097" t="n">
        <v>0</v>
      </c>
      <c r="R1097" t="n">
        <v>0</v>
      </c>
      <c r="S1097" t="n">
        <v>0</v>
      </c>
      <c r="T1097" t="n">
        <v>0</v>
      </c>
      <c r="V1097" t="n">
        <v>0</v>
      </c>
    </row>
    <row r="1099">
      <c r="A1099" t="inlineStr">
        <is>
          <t>Attack% Bucket Multiplier</t>
        </is>
      </c>
      <c r="B1099">
        <f>(1+(((C1081=TRUE)*F1081)+((C1082=TRUE)*IF(Inputs!$B$38="pvp",F1082,(1-Summary!$B$55)*(F1082)+Summary!$B$55*(0)))+((C1083=TRUE)*F1083*IF(AND(Inputs!$B$38&lt;&gt;"pvp",Inputs!$B$43&gt;0),(((R1083-1)*(Skills!T15*(1+Inputs!$B$34/100))+MIN((Skills!T15*(1+Inputs!$B$34/100)),MAX(0,Inputs!$B$43-((R1083-1)*Skills!D15))))/Inputs!$B$43),IF(Inputs!$B$38="pvp",MIN((Skills!T15*(1+Inputs!$B$34/100)),15)/15,(Skills!T15*(1+Inputs!$B$34/100))/Skills!D15)))+((C1080=TRUE)*F1080)+((C1097=TRUE)*(F1097-Calc!F29)))/100)</f>
        <v/>
      </c>
    </row>
    <row r="1100">
      <c r="A1100" t="inlineStr">
        <is>
          <t>Global Crit Rate Bonus %</t>
        </is>
      </c>
      <c r="B1100">
        <f>(C1084=TRUE)*20*IF(AND(Inputs!$B$38&lt;&gt;"pvp",Inputs!$B$43&gt;0),(((R1084-1)*(Skills!T16*(1+Inputs!$B$34/100))+MIN((Skills!T16*(1+Inputs!$B$34/100)),MAX(0,Inputs!$B$43-((R1084-1)*Skills!D16))))/Inputs!$B$43),IF(Inputs!$B$38="pvp",MIN((Skills!T16*(1+Inputs!$B$34/100)),15)/15,(Skills!T16*(1+Inputs!$B$34/100))/Skills!D16))</f>
        <v/>
      </c>
    </row>
    <row r="1101">
      <c r="A1101" t="inlineStr">
        <is>
          <t>Attack Speed Buff Bonus %</t>
        </is>
      </c>
      <c r="B1101">
        <f>((C1086=TRUE)*F1086*IF(AND(Inputs!$B$38&lt;&gt;"pvp",Inputs!$B$43&gt;0),(((R1086-1)*(Skills!T18*(1+Inputs!$B$34/100))+MIN((Skills!T18*(1+Inputs!$B$34/100)),MAX(0,Inputs!$B$43-((R1086-1)*Skills!D18))))/Inputs!$B$43),IF(Inputs!$B$38="pvp",MIN((Skills!T18*(1+Inputs!$B$34/100)),15)/15,(Skills!T18*(1+Inputs!$B$34/100))/Skills!D18)))</f>
        <v/>
      </c>
    </row>
    <row r="1102">
      <c r="A1102" t="inlineStr">
        <is>
          <t>Actions Per Second</t>
        </is>
      </c>
      <c r="B1102">
        <f>1+MIN(150,150*(1-(1-(Inputs!$B$11+((C1088=TRUE)*(F1088-Calc!F20))+((C1089=TRUE)*(F1089-Calc!F21)))/150)*(1-B1101/150)))/100</f>
        <v/>
      </c>
    </row>
    <row r="1103">
      <c r="A1103" t="inlineStr">
        <is>
          <t>Skill + Buff Cast Rate</t>
        </is>
      </c>
      <c r="B1103">
        <f>IF(AND(Inputs!$B$38&lt;&gt;"pvp",Inputs!$B$43&gt;0),SUMPRODUCT((Skills!E2:E29=TRUE)*(C1070:C1097=TRUE)*R1070:R1097*Skills!F2:F29)/Inputs!$B$43,SUMPRODUCT((Skills!E2:E29=TRUE)*(C1070:C1097=TRUE)*Q1070:Q1097*Skills!F2:F29))</f>
        <v/>
      </c>
    </row>
    <row r="1104">
      <c r="A1104" t="inlineStr">
        <is>
          <t>Empowered Piercing Arrow Casts Per Second</t>
        </is>
      </c>
      <c r="B1104">
        <f>MAX(0,B1102-B1103)</f>
        <v/>
      </c>
    </row>
    <row r="1105">
      <c r="A1105" t="inlineStr">
        <is>
          <t>Global Critical Damage Bonus % (Sharp Eyes)</t>
        </is>
      </c>
      <c r="B1105">
        <f>(C1084=TRUE)*F1084*IF(AND(Inputs!$B$38&lt;&gt;"pvp",Inputs!$B$43&gt;0),(((R1084-1)*(Skills!T16*(1+Inputs!$B$34/100))+MIN((Skills!T16*(1+Inputs!$B$34/100)),MAX(0,Inputs!$B$43-((R1084-1)*Skills!D16))))/Inputs!$B$43),IF(Inputs!$B$38="pvp",MIN((Skills!T16*(1+Inputs!$B$34/100)),15)/15,(Skills!T16*(1+Inputs!$B$34/100))/Skills!D16))</f>
        <v/>
      </c>
    </row>
    <row r="1106">
      <c r="A1106" t="inlineStr">
        <is>
          <t>Global Final Damage Bonus % (Mortal Blow + Last Man Standing conditional half)</t>
        </is>
      </c>
      <c r="B1106">
        <f>(C1085=TRUE)*F1085+((C1094=TRUE)*IF(Inputs!$B$38="pvp",F1094,(1-Summary!$B$55)*(F1094)+Summary!$B$55*(0)))</f>
        <v/>
      </c>
    </row>
    <row r="1107">
      <c r="A1107" t="inlineStr">
        <is>
          <t>Buff-Casting Startup Delay (s, fixed-duration only)</t>
        </is>
      </c>
      <c r="B1107">
        <f>IF(AND(Inputs!$B$38&lt;&gt;"pvp",Inputs!$B$43&gt;0),SUMPRODUCT((Skills!T2:T29&gt;0)*(Skills!E2:E29=TRUE)*(C1070:C1097=TRUE))/B1102,0)</f>
        <v/>
      </c>
    </row>
    <row r="1108">
      <c r="A1108" t="inlineStr">
        <is>
          <t>Boss-Only Total DPS (this block's swept value)</t>
        </is>
      </c>
      <c r="B1108">
        <f>SUM(T1070:T1097)</f>
        <v/>
      </c>
    </row>
    <row r="1109">
      <c r="A1109" t="inlineStr">
        <is>
          <t>Normal-Only Total DPS (this block's swept value)</t>
        </is>
      </c>
      <c r="B1109">
        <f>SUM(V1070:V1097)</f>
        <v/>
      </c>
    </row>
    <row r="1110">
      <c r="A1110" s="5" t="inlineStr">
        <is>
          <t>TOTAL DPS</t>
        </is>
      </c>
      <c r="B1110" s="5">
        <f>SUM(O1070:O1097)</f>
        <v/>
      </c>
    </row>
    <row r="1113">
      <c r="A1113" s="5" t="inlineStr">
        <is>
          <t>Stat: Basic Attack Target Increase (flat)</t>
        </is>
      </c>
    </row>
    <row r="1114">
      <c r="A1114" s="9" t="inlineStr">
        <is>
          <t>Key</t>
        </is>
      </c>
      <c r="B1114" s="9" t="inlineStr">
        <is>
          <t>Name</t>
        </is>
      </c>
      <c r="C1114" s="9" t="inlineStr">
        <is>
          <t>Unlocked</t>
        </is>
      </c>
      <c r="D1114" s="9" t="inlineStr">
        <is>
          <t>InputLevel</t>
        </is>
      </c>
      <c r="E1114" s="9" t="inlineStr">
        <is>
          <t>Factor</t>
        </is>
      </c>
      <c r="F1114" s="9" t="inlineStr">
        <is>
          <t>CoefficientPercent</t>
        </is>
      </c>
      <c r="G1114" s="9" t="inlineStr">
        <is>
          <t>EffectiveHits</t>
        </is>
      </c>
      <c r="H1114" s="9" t="inlineStr">
        <is>
          <t>ProcProbability</t>
        </is>
      </c>
      <c r="I1114" s="9" t="inlineStr">
        <is>
          <t>MapleHeroMultiplier</t>
        </is>
      </c>
      <c r="J1114" s="9" t="inlineStr">
        <is>
          <t>BaseDamage</t>
        </is>
      </c>
      <c r="K1114" s="9" t="inlineStr">
        <is>
          <t>BaseHitDamage</t>
        </is>
      </c>
      <c r="L1114" s="9" t="inlineStr">
        <is>
          <t>NonCritAvg</t>
        </is>
      </c>
      <c r="M1114" s="9" t="inlineStr">
        <is>
          <t>CritAvg</t>
        </is>
      </c>
      <c r="N1114" s="9" t="inlineStr">
        <is>
          <t>ExpectedDamage(perHit)</t>
        </is>
      </c>
      <c r="O1114" s="9" t="inlineStr">
        <is>
          <t>DPS</t>
        </is>
      </c>
      <c r="P1114" s="9" t="inlineStr">
        <is>
          <t>% of Total</t>
        </is>
      </c>
      <c r="Q1114" s="9" t="inlineStr">
        <is>
          <t>InvCooldown</t>
        </is>
      </c>
      <c r="R1114" s="9" t="inlineStr">
        <is>
          <t>CastsInFight</t>
        </is>
      </c>
      <c r="S1114" s="9" t="inlineStr">
        <is>
          <t>HitRate(perSec)</t>
        </is>
      </c>
      <c r="U1114" t="inlineStr">
        <is>
          <t>helpers</t>
        </is>
      </c>
    </row>
    <row r="1115">
      <c r="A1115">
        <f>Skills!A2</f>
        <v/>
      </c>
      <c r="B1115">
        <f>Skills!B2</f>
        <v/>
      </c>
      <c r="C1115">
        <f>Inputs!$B$3&gt;=100</f>
        <v/>
      </c>
      <c r="D1115" t="inlineStr"/>
      <c r="E1115" t="inlineStr"/>
      <c r="F1115">
        <f>U1117+Skills!O2</f>
        <v/>
      </c>
      <c r="G1115">
        <f>Skills!G2*IF(Skills!H2&gt;0,Skills!I2/Skills!H2,1)</f>
        <v/>
      </c>
      <c r="H1115">
        <f>1-(1-Skills!J2/100)^Skills!K2</f>
        <v/>
      </c>
      <c r="I1115" t="inlineStr">
        <is>
          <t>1</t>
        </is>
      </c>
      <c r="J1115">
        <f>((Inputs!$B$6*(1+Inputs!$B$7/100))+(((Inputs!$B$12*(1+Inputs!$B$13/100))-(Inputs!$B$12*(1+Inputs!$B$13/100)))+0.25*(Inputs!$B$14-Inputs!$B$14))*(1+Inputs!$B$7/100))*(F1115/100)</f>
        <v/>
      </c>
      <c r="K1115">
        <f>J1115*(1+((Inputs!$B$12*(1+Inputs!$B$13/100))*0.01+Inputs!$B$14*0.0025)/100)*(1+Inputs!$B$15/100)*(1+Inputs!$B$16/100)*(5000/(6000+Inputs!$B$42*(1-(Inputs!$B$19+0)/100)))*(1+(Inputs!$B$24+((C1137=TRUE)*(F1137-Calc!F24))+((C1138=TRUE)*(F1138-Calc!F25))+B1151)/100)*(1+(IF(Skills!A2="EMPOWERED_PIERCING_ARROW",Inputs!$B$17+((C1135=TRUE)*(F1135-Calc!F22)),Inputs!$B$18+((C1140=TRUE)*(F1140-Calc!F27))))/100)*((1+(((C1126=TRUE)*F1126)+((C1127=TRUE)*IF(Inputs!$B$38="pvp",F1127,(1-Summary!$B$55)*(F1127)+Summary!$B$55*(0)))+((C1128=TRUE)*F1128*IF(AND(Inputs!$B$38&lt;&gt;"pvp",Inputs!$B$43&gt;0),(((R1128-1)*(Skills!T15*(1+Inputs!$B$34/100))+MIN((Skills!T15*(1+Inputs!$B$34/100)),MAX(0,Inputs!$B$43-((R1128-1)*Skills!D15))))/Inputs!$B$43),IF(Inputs!$B$38="pvp",MIN((Skills!T15*(1+Inputs!$B$34/100)),15)/15,(Skills!T15*(1+Inputs!$B$34/100))/Skills!D15)))+((C1125=TRUE)*F1125)+((C1142=TRUE)*(F1142-Calc!F29)))/100)*I1115)</f>
        <v/>
      </c>
      <c r="L1115">
        <f>K1115*(MIN(Inputs!$B$22+((C1136=TRUE)*(F1136-Calc!F23)),Inputs!$B$23+((C1141=TRUE)*(F1141-Calc!F28)))/100+(Inputs!$B$23+((C1141=TRUE)*(F1141-Calc!F28)))/100)/2</f>
        <v/>
      </c>
      <c r="M1115">
        <f>L1115*(1+(Inputs!$B$10+0+B1150)/100)</f>
        <v/>
      </c>
      <c r="N1115">
        <f>L1115*(1-MIN((Inputs!$B$9+((C1132=TRUE)*(F1132-Calc!F19))+B1145),100)/100)+M1115*(MIN((Inputs!$B$9+((C1132=TRUE)*(F1132-Calc!F19))+B1145),100)/100)</f>
        <v/>
      </c>
      <c r="O1115">
        <f>(1-Summary!$B$55)*T1115+Summary!$B$55*V1115</f>
        <v/>
      </c>
      <c r="P1115">
        <f>IF(B1155=0,0,O1115/B1155)</f>
        <v/>
      </c>
      <c r="Q1115" t="n">
        <v>0</v>
      </c>
      <c r="R1115" t="n">
        <v>0</v>
      </c>
      <c r="S1115">
        <f>IFERROR((Skills!G2*N1115*B1149)/N1115*IF(Inputs!$B$38="pvp",1,(1-Summary!$B$55)*1+Summary!$B$55*(MIN((6+(Inputs!$B$33+1)),Inputs!$B$37))),0)</f>
        <v/>
      </c>
      <c r="T1115">
        <f>IF(C1115,(Skills!G2*N1115*B1149)*IF(Inputs!$B$38="pvp",1,1+(Inputs!$B$20+0+Skills!P2)/100),0)</f>
        <v/>
      </c>
      <c r="U1115">
        <f>MAX(0,(Inputs!$B$3-100)*3)+Inputs!$B$28+Inputs!$B$29</f>
        <v/>
      </c>
      <c r="V1115">
        <f>IF(C1115,(Skills!G2*N1115*B1149)*IF(Inputs!$B$38="pvp",1,(1+(Inputs!$B$21+Skills!Q2)/100)*(MIN((6+(Inputs!$B$33+1)),Inputs!$B$37))),0)</f>
        <v/>
      </c>
    </row>
    <row r="1116">
      <c r="A1116">
        <f>Skills!A3</f>
        <v/>
      </c>
      <c r="B1116">
        <f>Skills!B3</f>
        <v/>
      </c>
      <c r="C1116">
        <f>Inputs!$B$3&gt;=50</f>
        <v/>
      </c>
      <c r="D1116">
        <f>IF(Skills!C3=1,60+Inputs!$B$25+Inputs!$B$29,IF(Skills!C3=2,90+Inputs!$B$26+Inputs!$B$29,IF(Skills!C3=3,120+Inputs!$B$27+Inputs!$B$29,MAX(0,(Inputs!$B$3-100)*3)+Inputs!$B$28+Inputs!$B$29)))</f>
        <v/>
      </c>
      <c r="E1116">
        <f>INDEX(FactorTable!$B$2:$Y$301, MATCH(ROUND(MIN(300,MAX(1,D1116)),0), FactorTable!$A$2:$A$301,0), Skills!M3+1)</f>
        <v/>
      </c>
      <c r="F1116">
        <f>IF(Skills!N3=TRUE,(Skills!L3/10)*(E1116/1000),Skills!L3/10)+Skills!O3</f>
        <v/>
      </c>
      <c r="G1116" t="inlineStr"/>
      <c r="H1116" t="inlineStr"/>
      <c r="I1116" t="inlineStr">
        <is>
          <t>1</t>
        </is>
      </c>
      <c r="J1116" t="inlineStr"/>
      <c r="K1116" t="inlineStr"/>
      <c r="L1116" t="inlineStr"/>
      <c r="M1116" t="inlineStr"/>
      <c r="N1116" t="inlineStr"/>
      <c r="O1116" t="inlineStr"/>
      <c r="P1116" t="inlineStr"/>
      <c r="Q1116" t="inlineStr"/>
      <c r="R1116" t="inlineStr"/>
      <c r="S1116" t="inlineStr"/>
      <c r="T1116" t="inlineStr"/>
      <c r="U1116">
        <f>INDEX(FactorTable!$B$2:$Y$301, MATCH(ROUND(MIN(300,MAX(1,U1115)),0), FactorTable!$A$2:$A$301,0), 22)</f>
        <v/>
      </c>
      <c r="V1116" t="inlineStr"/>
    </row>
    <row r="1117">
      <c r="A1117">
        <f>Skills!A4</f>
        <v/>
      </c>
      <c r="B1117">
        <f>Skills!B4</f>
        <v/>
      </c>
      <c r="C1117">
        <f>Inputs!$B$3&gt;=105</f>
        <v/>
      </c>
      <c r="D1117">
        <f>IF(Skills!C4=1,60+Inputs!$B$25+Inputs!$B$29,IF(Skills!C4=2,90+Inputs!$B$26+Inputs!$B$29,IF(Skills!C4=3,120+Inputs!$B$27+Inputs!$B$29,MAX(0,(Inputs!$B$3-100)*3)+Inputs!$B$28+Inputs!$B$29)))</f>
        <v/>
      </c>
      <c r="E1117">
        <f>INDEX(FactorTable!$B$2:$Y$301, MATCH(ROUND(MIN(300,MAX(1,D1117)),0), FactorTable!$A$2:$A$301,0), Skills!M4+1)</f>
        <v/>
      </c>
      <c r="F1117">
        <f>IF(Skills!N4=TRUE,(Skills!L4/10)*(E1117/1000),Skills!L4/10)+Skills!O4</f>
        <v/>
      </c>
      <c r="G1117" t="inlineStr"/>
      <c r="H1117" t="inlineStr"/>
      <c r="I1117" t="inlineStr">
        <is>
          <t>1</t>
        </is>
      </c>
      <c r="J1117" t="inlineStr"/>
      <c r="K1117" t="inlineStr"/>
      <c r="L1117" t="inlineStr"/>
      <c r="M1117" t="inlineStr"/>
      <c r="N1117" t="inlineStr"/>
      <c r="O1117" t="inlineStr"/>
      <c r="P1117" t="inlineStr"/>
      <c r="Q1117" t="inlineStr"/>
      <c r="R1117" t="inlineStr"/>
      <c r="S1117" t="inlineStr"/>
      <c r="T1117" t="inlineStr"/>
      <c r="U1117">
        <f>290*U1116/1000</f>
        <v/>
      </c>
      <c r="V1117" t="inlineStr"/>
    </row>
    <row r="1118">
      <c r="A1118">
        <f>Skills!A5</f>
        <v/>
      </c>
      <c r="B1118">
        <f>Skills!B5</f>
        <v/>
      </c>
      <c r="C1118">
        <f>Inputs!$B$3&gt;=35</f>
        <v/>
      </c>
      <c r="D1118">
        <f>IF(Skills!C5=1,60+Inputs!$B$25+Inputs!$B$29,IF(Skills!C5=2,90+Inputs!$B$26+Inputs!$B$29,IF(Skills!C5=3,120+Inputs!$B$27+Inputs!$B$29,MAX(0,(Inputs!$B$3-100)*3)+Inputs!$B$28+Inputs!$B$29)))</f>
        <v/>
      </c>
      <c r="E1118">
        <f>INDEX(FactorTable!$B$2:$Y$301, MATCH(ROUND(MIN(300,MAX(1,D1118)),0), FactorTable!$A$2:$A$301,0), Skills!M5+1)</f>
        <v/>
      </c>
      <c r="F1118">
        <f>IF(Skills!N5=TRUE,(Skills!L5/10)*(E1118/1000),Skills!L5/10)+Skills!O5</f>
        <v/>
      </c>
      <c r="G1118">
        <f>Skills!G5*IF(Skills!H5&gt;0,Skills!I5/Skills!H5,1)</f>
        <v/>
      </c>
      <c r="H1118">
        <f>1-(1-Skills!J5/100)^Skills!K5</f>
        <v/>
      </c>
      <c r="I1118" t="inlineStr">
        <is>
          <t>1</t>
        </is>
      </c>
      <c r="J1118">
        <f>((Inputs!$B$6*(1+Inputs!$B$7/100))+(((Inputs!$B$12*(1+Inputs!$B$13/100))-(Inputs!$B$12*(1+Inputs!$B$13/100)))+0.25*(Inputs!$B$14-Inputs!$B$14))*(1+Inputs!$B$7/100))*(F1118/100)</f>
        <v/>
      </c>
      <c r="K1118">
        <f>J1118*(1+((Inputs!$B$12*(1+Inputs!$B$13/100))*0.01+Inputs!$B$14*0.0025)/100)*(1+Inputs!$B$15/100)*(1+Inputs!$B$16/100)*(5000/(6000+Inputs!$B$42*(1-(Inputs!$B$19+0)/100)))*(1+(Inputs!$B$24+((C1137=TRUE)*(F1137-Calc!F24))+((C1138=TRUE)*(F1138-Calc!F25))+B1151)/100)*(1+4.0*IF(C1121=TRUE,F1121,0)/100)*(1+(IF(Skills!A5="EMPOWERED_PIERCING_ARROW",Inputs!$B$17+((C1135=TRUE)*(F1135-Calc!F22)),Inputs!$B$18+((C1140=TRUE)*(F1140-Calc!F27))))/100)*((1+(((C1126=TRUE)*F1126)+((C1127=TRUE)*IF(Inputs!$B$38="pvp",F1127,(1-Summary!$B$55)*(F1127)+Summary!$B$55*(0)))+((C1128=TRUE)*F1128*IF(AND(Inputs!$B$38&lt;&gt;"pvp",Inputs!$B$43&gt;0),(((R1128-1)*(Skills!T15*(1+Inputs!$B$34/100))+MIN((Skills!T15*(1+Inputs!$B$34/100)),MAX(0,Inputs!$B$43-((R1128-1)*Skills!D15))))/Inputs!$B$43),IF(Inputs!$B$38="pvp",MIN((Skills!T15*(1+Inputs!$B$34/100)),15)/15,(Skills!T15*(1+Inputs!$B$34/100))/Skills!D15)))+((C1125=TRUE)*F1125)+((C1142=TRUE)*(F1142-Calc!F29)))/100)*I1118)</f>
        <v/>
      </c>
      <c r="L1118">
        <f>K1118*(MIN(Inputs!$B$22+((C1136=TRUE)*(F1136-Calc!F23)),Inputs!$B$23+((C1141=TRUE)*(F1141-Calc!F28)))/100+(Inputs!$B$23+((C1141=TRUE)*(F1141-Calc!F28)))/100)/2</f>
        <v/>
      </c>
      <c r="M1118">
        <f>L1118*(1+(Inputs!$B$10+0+B1150)/100)</f>
        <v/>
      </c>
      <c r="N1118">
        <f>L1118*(1-MIN((Inputs!$B$9+((C1132=TRUE)*(F1132-Calc!F19))+B1145),100)/100)+M1118*(MIN((Inputs!$B$9+((C1132=TRUE)*(F1132-Calc!F19))+B1145),100)/100)</f>
        <v/>
      </c>
      <c r="O1118">
        <f>(1-Summary!$B$55)*T1118+Summary!$B$55*V1118</f>
        <v/>
      </c>
      <c r="P1118">
        <f>IF(B1155=0,0,O1118/B1155)</f>
        <v/>
      </c>
      <c r="Q1118">
        <f>IFERROR(1/IF(Inputs!$B$38="pvp",15,MAX(0.1,Skills!D5-IF(Skills!E5=TRUE,Inputs!$B$32,0))),0)</f>
        <v/>
      </c>
      <c r="R1118">
        <f>IF(AND(Inputs!$B$38&lt;&gt;"pvp",Inputs!$B$43&gt;0),IF(MAX(0,Inputs!$B$43-B1152)&lt;=0,0,(INT(MAX(0,Inputs!$B$43-B1152)/IF(Inputs!$B$38="pvp",15,MAX(0.1,Skills!D5-IF(Skills!E5=TRUE,Inputs!$B$32,0))))+1)),0)</f>
        <v/>
      </c>
      <c r="S1118">
        <f>IFERROR((H1118*N1118*IF(AND(Inputs!$B$38&lt;&gt;"pvp",Inputs!$B$43&gt;0),((Skills!G5*((R1118-1)*IF(Skills!H5&gt;0,Skills!I5/Skills!H5,1)+IF(Skills!H5&gt;0,MIN(Skills!I5,MAX(0,MAX(0,Inputs!$B$43-B1152)-((R1118-1)*IF(Inputs!$B$38="pvp",15,MAX(0.1,Skills!D5-IF(Skills!E5=TRUE,Inputs!$B$32,0))))))/Skills!H5,1)))/Inputs!$B$43),G1118*Q1118))/N1118*IF(Inputs!$B$38="pvp",1,(1-Summary!$B$55)*1+Summary!$B$55*(MIN(Skills!R5,Inputs!$B$37))),0)</f>
        <v/>
      </c>
      <c r="T1118">
        <f>IF(C1118,(H1118*N1118*IF(AND(Inputs!$B$38&lt;&gt;"pvp",Inputs!$B$43&gt;0),((Skills!G5*((R1118-1)*IF(Skills!H5&gt;0,Skills!I5/Skills!H5,1)+IF(Skills!H5&gt;0,MIN(Skills!I5,MAX(0,MAX(0,Inputs!$B$43-B1152)-((R1118-1)*IF(Inputs!$B$38="pvp",15,MAX(0.1,Skills!D5-IF(Skills!E5=TRUE,Inputs!$B$32,0))))))/Skills!H5,1)))/Inputs!$B$43),G1118*Q1118))*IF(Inputs!$B$38="pvp",1,1+(Inputs!$B$20+0+Skills!P5)/100),0)</f>
        <v/>
      </c>
      <c r="V1118">
        <f>IF(C1118,(H1118*N1118*IF(AND(Inputs!$B$38&lt;&gt;"pvp",Inputs!$B$43&gt;0),((Skills!G5*((R1118-1)*IF(Skills!H5&gt;0,Skills!I5/Skills!H5,1)+IF(Skills!H5&gt;0,MIN(Skills!I5,MAX(0,MAX(0,Inputs!$B$43-B1152)-((R1118-1)*IF(Inputs!$B$38="pvp",15,MAX(0.1,Skills!D5-IF(Skills!E5=TRUE,Inputs!$B$32,0))))))/Skills!H5,1)))/Inputs!$B$43),G1118*Q1118))*IF(Inputs!$B$38="pvp",1,(1+(Inputs!$B$21+Skills!Q5)/100)*(MIN(Skills!R5,Inputs!$B$37))),0)</f>
        <v/>
      </c>
    </row>
    <row r="1119">
      <c r="A1119">
        <f>Skills!A6</f>
        <v/>
      </c>
      <c r="B1119">
        <f>Skills!B6</f>
        <v/>
      </c>
      <c r="C1119">
        <f>Inputs!$B$3&gt;=63</f>
        <v/>
      </c>
      <c r="D1119">
        <f>IF(Skills!C6=1,60+Inputs!$B$25+Inputs!$B$29,IF(Skills!C6=2,90+Inputs!$B$26+Inputs!$B$29,IF(Skills!C6=3,120+Inputs!$B$27+Inputs!$B$29,MAX(0,(Inputs!$B$3-100)*3)+Inputs!$B$28+Inputs!$B$29)))</f>
        <v/>
      </c>
      <c r="E1119">
        <f>INDEX(FactorTable!$B$2:$Y$301, MATCH(ROUND(MIN(300,MAX(1,D1119)),0), FactorTable!$A$2:$A$301,0), Skills!M6+1)</f>
        <v/>
      </c>
      <c r="F1119">
        <f>IF(Skills!N6=TRUE,(Skills!L6/10)*(E1119/1000),Skills!L6/10)+Skills!O6</f>
        <v/>
      </c>
      <c r="G1119">
        <f>Skills!G6*IF(Skills!H6&gt;0,Skills!I6/Skills!H6,1)</f>
        <v/>
      </c>
      <c r="H1119">
        <f>1-(1-Skills!J6/100)^Skills!K6</f>
        <v/>
      </c>
      <c r="I1119" t="inlineStr">
        <is>
          <t>1</t>
        </is>
      </c>
      <c r="J1119">
        <f>((Inputs!$B$6*(1+Inputs!$B$7/100))+(((Inputs!$B$12*(1+Inputs!$B$13/100))-(Inputs!$B$12*(1+Inputs!$B$13/100)))+0.25*(Inputs!$B$14-Inputs!$B$14))*(1+Inputs!$B$7/100))*(F1119/100)</f>
        <v/>
      </c>
      <c r="K1119">
        <f>J1119*(1+((Inputs!$B$12*(1+Inputs!$B$13/100))*0.01+Inputs!$B$14*0.0025)/100)*(1+Inputs!$B$15/100)*(1+Inputs!$B$16/100)*(5000/(6000+Inputs!$B$42*(1-(Inputs!$B$19+0)/100)))*(1+(Inputs!$B$24+((C1137=TRUE)*(F1137-Calc!F24))+((C1138=TRUE)*(F1138-Calc!F25))+B1151)/100)*(1+1.0*IF(C1121=TRUE,F1121,0)/100)*(1+(IF(Skills!A6="EMPOWERED_PIERCING_ARROW",Inputs!$B$17+((C1135=TRUE)*(F1135-Calc!F22)),Inputs!$B$18+((C1140=TRUE)*(F1140-Calc!F27))))/100)*((1+(((C1126=TRUE)*F1126)+((C1127=TRUE)*IF(Inputs!$B$38="pvp",F1127,(1-Summary!$B$55)*(F1127)+Summary!$B$55*(0)))+((C1128=TRUE)*F1128*IF(AND(Inputs!$B$38&lt;&gt;"pvp",Inputs!$B$43&gt;0),(((R1128-1)*(Skills!T15*(1+Inputs!$B$34/100))+MIN((Skills!T15*(1+Inputs!$B$34/100)),MAX(0,Inputs!$B$43-((R1128-1)*Skills!D15))))/Inputs!$B$43),IF(Inputs!$B$38="pvp",MIN((Skills!T15*(1+Inputs!$B$34/100)),15)/15,(Skills!T15*(1+Inputs!$B$34/100))/Skills!D15)))+((C1125=TRUE)*F1125)+((C1142=TRUE)*(F1142-Calc!F29)))/100)*I1119)</f>
        <v/>
      </c>
      <c r="L1119">
        <f>K1119*(MIN(Inputs!$B$22+((C1136=TRUE)*(F1136-Calc!F23)),Inputs!$B$23+((C1141=TRUE)*(F1141-Calc!F28)))/100+(Inputs!$B$23+((C1141=TRUE)*(F1141-Calc!F28)))/100)/2</f>
        <v/>
      </c>
      <c r="M1119">
        <f>L1119*(1+(Inputs!$B$10+0+B1150)/100)</f>
        <v/>
      </c>
      <c r="N1119">
        <f>L1119*(1-MIN((Inputs!$B$9+((C1132=TRUE)*(F1132-Calc!F19))+B1145),100)/100)+M1119*(MIN((Inputs!$B$9+((C1132=TRUE)*(F1132-Calc!F19))+B1145),100)/100)</f>
        <v/>
      </c>
      <c r="O1119">
        <f>(1-Summary!$B$55)*T1119+Summary!$B$55*V1119</f>
        <v/>
      </c>
      <c r="P1119">
        <f>IF(B1155=0,0,O1119/B1155)</f>
        <v/>
      </c>
      <c r="Q1119">
        <f>IFERROR(1/IF(Inputs!$B$38="pvp",15,MAX(0.1,Skills!D6-IF(Skills!E6=TRUE,Inputs!$B$32,0))),0)</f>
        <v/>
      </c>
      <c r="R1119">
        <f>IF(AND(Inputs!$B$38&lt;&gt;"pvp",Inputs!$B$43&gt;0),IF(MAX(0,Inputs!$B$43-B1152)&lt;=0,0,(INT(MAX(0,Inputs!$B$43-B1152)/IF(Inputs!$B$38="pvp",15,MAX(0.1,Skills!D6-IF(Skills!E6=TRUE,Inputs!$B$32,0))))+1)),0)</f>
        <v/>
      </c>
      <c r="S1119">
        <f>IFERROR((H1119*N1119*IF(AND(Inputs!$B$38&lt;&gt;"pvp",Inputs!$B$43&gt;0),((Skills!G6*((R1119-1)*IF(Skills!H6&gt;0,Skills!I6/Skills!H6,1)+IF(Skills!H6&gt;0,MIN(Skills!I6,MAX(0,MAX(0,Inputs!$B$43-B1152)-((R1119-1)*IF(Inputs!$B$38="pvp",15,MAX(0.1,Skills!D6-IF(Skills!E6=TRUE,Inputs!$B$32,0))))))/Skills!H6,1)))/Inputs!$B$43),G1119*Q1119))/N1119*IF(Inputs!$B$38="pvp",1,(1-Summary!$B$55)*1+Summary!$B$55*(MIN(Skills!R6,Inputs!$B$37))),0)</f>
        <v/>
      </c>
      <c r="T1119">
        <f>IF(C1119,(H1119*N1119*IF(AND(Inputs!$B$38&lt;&gt;"pvp",Inputs!$B$43&gt;0),((Skills!G6*((R1119-1)*IF(Skills!H6&gt;0,Skills!I6/Skills!H6,1)+IF(Skills!H6&gt;0,MIN(Skills!I6,MAX(0,MAX(0,Inputs!$B$43-B1152)-((R1119-1)*IF(Inputs!$B$38="pvp",15,MAX(0.1,Skills!D6-IF(Skills!E6=TRUE,Inputs!$B$32,0))))))/Skills!H6,1)))/Inputs!$B$43),G1119*Q1119))*IF(Inputs!$B$38="pvp",1,1+(Inputs!$B$20+0+Skills!P6)/100),0)</f>
        <v/>
      </c>
      <c r="V1119">
        <f>IF(C1119,(H1119*N1119*IF(AND(Inputs!$B$38&lt;&gt;"pvp",Inputs!$B$43&gt;0),((Skills!G6*((R1119-1)*IF(Skills!H6&gt;0,Skills!I6/Skills!H6,1)+IF(Skills!H6&gt;0,MIN(Skills!I6,MAX(0,MAX(0,Inputs!$B$43-B1152)-((R1119-1)*IF(Inputs!$B$38="pvp",15,MAX(0.1,Skills!D6-IF(Skills!E6=TRUE,Inputs!$B$32,0))))))/Skills!H6,1)))/Inputs!$B$43),G1119*Q1119))*IF(Inputs!$B$38="pvp",1,(1+(Inputs!$B$21+Skills!Q6)/100)*(MIN(Skills!R6,Inputs!$B$37))),0)</f>
        <v/>
      </c>
    </row>
    <row r="1120">
      <c r="A1120">
        <f>Skills!A7</f>
        <v/>
      </c>
      <c r="B1120">
        <f>Skills!B7</f>
        <v/>
      </c>
      <c r="C1120">
        <f>Inputs!$B$3&gt;=69</f>
        <v/>
      </c>
      <c r="D1120">
        <f>IF(Skills!C7=1,60+Inputs!$B$25+Inputs!$B$29,IF(Skills!C7=2,90+Inputs!$B$26+Inputs!$B$29,IF(Skills!C7=3,120+Inputs!$B$27+Inputs!$B$29,MAX(0,(Inputs!$B$3-100)*3)+Inputs!$B$28+Inputs!$B$29)))</f>
        <v/>
      </c>
      <c r="E1120">
        <f>INDEX(FactorTable!$B$2:$Y$301, MATCH(ROUND(MIN(300,MAX(1,D1120)),0), FactorTable!$A$2:$A$301,0), Skills!M7+1)</f>
        <v/>
      </c>
      <c r="F1120">
        <f>IF(Skills!N7=TRUE,(Skills!L7/10)*(E1120/1000),Skills!L7/10)+Skills!O7</f>
        <v/>
      </c>
      <c r="G1120">
        <f>Skills!G7*IF(Skills!H7&gt;0,Skills!I7/Skills!H7,1)</f>
        <v/>
      </c>
      <c r="H1120">
        <f>1-(1-Skills!J7/100)^Skills!K7</f>
        <v/>
      </c>
      <c r="I1120" t="inlineStr">
        <is>
          <t>1</t>
        </is>
      </c>
      <c r="J1120">
        <f>((Inputs!$B$6*(1+Inputs!$B$7/100))+(((Inputs!$B$12*(1+Inputs!$B$13/100))-(Inputs!$B$12*(1+Inputs!$B$13/100)))+0.25*(Inputs!$B$14-Inputs!$B$14))*(1+Inputs!$B$7/100))*(F1120/100)</f>
        <v/>
      </c>
      <c r="K1120">
        <f>J1120*(1+((Inputs!$B$12*(1+Inputs!$B$13/100))*0.01+Inputs!$B$14*0.0025)/100)*(1+Inputs!$B$15/100)*(1+Inputs!$B$16/100)*(5000/(6000+Inputs!$B$42*(1-(Inputs!$B$19+0)/100)))*(1+(Inputs!$B$24+((C1137=TRUE)*(F1137-Calc!F24))+((C1138=TRUE)*(F1138-Calc!F25))+B1151)/100)*(1+1.2*IF(C1121=TRUE,F1121,0)/100)*(1+(IF(Skills!A7="EMPOWERED_PIERCING_ARROW",Inputs!$B$17+((C1135=TRUE)*(F1135-Calc!F22)),Inputs!$B$18+((C1140=TRUE)*(F1140-Calc!F27))))/100)*((1+(((C1126=TRUE)*F1126)+((C1127=TRUE)*IF(Inputs!$B$38="pvp",F1127,(1-Summary!$B$55)*(F1127)+Summary!$B$55*(0)))+((C1128=TRUE)*F1128*IF(AND(Inputs!$B$38&lt;&gt;"pvp",Inputs!$B$43&gt;0),(((R1128-1)*(Skills!T15*(1+Inputs!$B$34/100))+MIN((Skills!T15*(1+Inputs!$B$34/100)),MAX(0,Inputs!$B$43-((R1128-1)*Skills!D15))))/Inputs!$B$43),IF(Inputs!$B$38="pvp",MIN((Skills!T15*(1+Inputs!$B$34/100)),15)/15,(Skills!T15*(1+Inputs!$B$34/100))/Skills!D15)))+((C1125=TRUE)*F1125)+((C1142=TRUE)*(F1142-Calc!F29)))/100)*I1120)</f>
        <v/>
      </c>
      <c r="L1120">
        <f>K1120*(MIN(Inputs!$B$22+((C1136=TRUE)*(F1136-Calc!F23)),Inputs!$B$23+((C1141=TRUE)*(F1141-Calc!F28)))/100+(Inputs!$B$23+((C1141=TRUE)*(F1141-Calc!F28)))/100)/2</f>
        <v/>
      </c>
      <c r="M1120">
        <f>L1120*(1+(Inputs!$B$10+0+B1150)/100)</f>
        <v/>
      </c>
      <c r="N1120">
        <f>L1120*(1-MIN((Inputs!$B$9+((C1132=TRUE)*(F1132-Calc!F19))+B1145),100)/100)+M1120*(MIN((Inputs!$B$9+((C1132=TRUE)*(F1132-Calc!F19))+B1145),100)/100)</f>
        <v/>
      </c>
      <c r="O1120">
        <f>(1-Summary!$B$55)*T1120+Summary!$B$55*V1120</f>
        <v/>
      </c>
      <c r="P1120">
        <f>IF(B1155=0,0,O1120/B1155)</f>
        <v/>
      </c>
      <c r="Q1120">
        <f>IFERROR(1/IF(Inputs!$B$38="pvp",15,MAX(0.1,Skills!D7-IF(Skills!E7=TRUE,Inputs!$B$32,0))),0)</f>
        <v/>
      </c>
      <c r="R1120">
        <f>IF(AND(Inputs!$B$38&lt;&gt;"pvp",Inputs!$B$43&gt;0),IF(MAX(0,Inputs!$B$43-B1152)&lt;=0,0,(INT(MAX(0,Inputs!$B$43-B1152)/IF(Inputs!$B$38="pvp",15,MAX(0.1,Skills!D7-IF(Skills!E7=TRUE,Inputs!$B$32,0))))+1)),0)</f>
        <v/>
      </c>
      <c r="S1120">
        <f>IFERROR((H1120*N1120*IF(AND(Inputs!$B$38&lt;&gt;"pvp",Inputs!$B$43&gt;0),((Skills!G7*((R1120-1)*IF(Skills!H7&gt;0,Skills!I7/Skills!H7,1)+IF(Skills!H7&gt;0,MIN(Skills!I7,MAX(0,MAX(0,Inputs!$B$43-B1152)-((R1120-1)*IF(Inputs!$B$38="pvp",15,MAX(0.1,Skills!D7-IF(Skills!E7=TRUE,Inputs!$B$32,0))))))/Skills!H7,1)))/Inputs!$B$43),G1120*Q1120))/N1120*IF(Inputs!$B$38="pvp",1,(1-Summary!$B$55)*1+Summary!$B$55*(MIN(Skills!R7,Inputs!$B$37))),0)</f>
        <v/>
      </c>
      <c r="T1120">
        <f>IF(C1120,(H1120*N1120*IF(AND(Inputs!$B$38&lt;&gt;"pvp",Inputs!$B$43&gt;0),((Skills!G7*((R1120-1)*IF(Skills!H7&gt;0,Skills!I7/Skills!H7,1)+IF(Skills!H7&gt;0,MIN(Skills!I7,MAX(0,MAX(0,Inputs!$B$43-B1152)-((R1120-1)*IF(Inputs!$B$38="pvp",15,MAX(0.1,Skills!D7-IF(Skills!E7=TRUE,Inputs!$B$32,0))))))/Skills!H7,1)))/Inputs!$B$43),G1120*Q1120))*IF(Inputs!$B$38="pvp",1,1+(Inputs!$B$20+0+Skills!P7)/100),0)</f>
        <v/>
      </c>
      <c r="V1120">
        <f>IF(C1120,(H1120*N1120*IF(AND(Inputs!$B$38&lt;&gt;"pvp",Inputs!$B$43&gt;0),((Skills!G7*((R1120-1)*IF(Skills!H7&gt;0,Skills!I7/Skills!H7,1)+IF(Skills!H7&gt;0,MIN(Skills!I7,MAX(0,MAX(0,Inputs!$B$43-B1152)-((R1120-1)*IF(Inputs!$B$38="pvp",15,MAX(0.1,Skills!D7-IF(Skills!E7=TRUE,Inputs!$B$32,0))))))/Skills!H7,1)))/Inputs!$B$43),G1120*Q1120))*IF(Inputs!$B$38="pvp",1,(1+(Inputs!$B$21+Skills!Q7)/100)*(MIN(Skills!R7,Inputs!$B$37))),0)</f>
        <v/>
      </c>
    </row>
    <row r="1121">
      <c r="A1121">
        <f>Skills!A8</f>
        <v/>
      </c>
      <c r="B1121">
        <f>Skills!B8</f>
        <v/>
      </c>
      <c r="C1121">
        <f>Inputs!$B$3&gt;=100</f>
        <v/>
      </c>
      <c r="D1121">
        <f>IF(Skills!C8=1,60+Inputs!$B$25+Inputs!$B$29,IF(Skills!C8=2,90+Inputs!$B$26+Inputs!$B$29,IF(Skills!C8=3,120+Inputs!$B$27+Inputs!$B$29,MAX(0,(Inputs!$B$3-100)*3)+Inputs!$B$28+Inputs!$B$29)))</f>
        <v/>
      </c>
      <c r="E1121">
        <f>INDEX(FactorTable!$B$2:$Y$301, MATCH(ROUND(MIN(300,MAX(1,D1121)),0), FactorTable!$A$2:$A$301,0), Skills!M8+1)</f>
        <v/>
      </c>
      <c r="F1121">
        <f>IF(Skills!N8=TRUE,(Skills!L8/10)*(E1121/1000),Skills!L8/10)+Skills!O8</f>
        <v/>
      </c>
      <c r="G1121" t="inlineStr"/>
      <c r="H1121" t="inlineStr"/>
      <c r="I1121" t="inlineStr">
        <is>
          <t>1</t>
        </is>
      </c>
      <c r="J1121" t="inlineStr"/>
      <c r="K1121" t="inlineStr"/>
      <c r="L1121" t="inlineStr"/>
      <c r="M1121" t="inlineStr"/>
      <c r="N1121" t="inlineStr"/>
      <c r="O1121" t="inlineStr"/>
      <c r="P1121" t="inlineStr"/>
      <c r="Q1121" t="inlineStr"/>
      <c r="R1121" t="inlineStr"/>
      <c r="S1121" t="inlineStr"/>
      <c r="T1121" t="inlineStr"/>
      <c r="V1121" t="inlineStr"/>
    </row>
    <row r="1122">
      <c r="A1122">
        <f>Skills!A9</f>
        <v/>
      </c>
      <c r="B1122">
        <f>Skills!B9</f>
        <v/>
      </c>
      <c r="C1122">
        <f>Inputs!$B$3&gt;=103</f>
        <v/>
      </c>
      <c r="D1122">
        <f>IF(Skills!C9=1,60+Inputs!$B$25+Inputs!$B$29,IF(Skills!C9=2,90+Inputs!$B$26+Inputs!$B$29,IF(Skills!C9=3,120+Inputs!$B$27+Inputs!$B$29,MAX(0,(Inputs!$B$3-100)*3)+Inputs!$B$28+Inputs!$B$29)))</f>
        <v/>
      </c>
      <c r="E1122">
        <f>INDEX(FactorTable!$B$2:$Y$301, MATCH(ROUND(MIN(300,MAX(1,D1122)),0), FactorTable!$A$2:$A$301,0), Skills!M9+1)</f>
        <v/>
      </c>
      <c r="F1122">
        <f>IF(Skills!N9=TRUE,(Skills!L9/10)*(E1122/1000),Skills!L9/10)+Skills!O9</f>
        <v/>
      </c>
      <c r="G1122">
        <f>Skills!G9*IF(Skills!H9&gt;0,Skills!I9/Skills!H9,1)</f>
        <v/>
      </c>
      <c r="H1122">
        <f>1-(1-Skills!J9/100)^Skills!K9</f>
        <v/>
      </c>
      <c r="I1122" t="inlineStr">
        <is>
          <t>1</t>
        </is>
      </c>
      <c r="J1122">
        <f>((Inputs!$B$6*(1+Inputs!$B$7/100))+(((Inputs!$B$12*(1+Inputs!$B$13/100))-(Inputs!$B$12*(1+Inputs!$B$13/100)))+0.25*(Inputs!$B$14-Inputs!$B$14))*(1+Inputs!$B$7/100))*(F1122/100)</f>
        <v/>
      </c>
      <c r="K1122">
        <f>J1122*(1+((Inputs!$B$12*(1+Inputs!$B$13/100))*0.01+Inputs!$B$14*0.0025)/100)*(1+Inputs!$B$15/100)*(1+Inputs!$B$16/100)*(5000/(6000+Inputs!$B$42*(1-(Inputs!$B$19+0)/100)))*(1+(Inputs!$B$24+((C1137=TRUE)*(F1137-Calc!F24))+((C1138=TRUE)*(F1138-Calc!F25))+B1151)/100)*(1+(IF(Skills!A9="EMPOWERED_PIERCING_ARROW",Inputs!$B$17+((C1135=TRUE)*(F1135-Calc!F22)),Inputs!$B$18+((C1140=TRUE)*(F1140-Calc!F27))))/100)*((1+(((C1126=TRUE)*F1126)+((C1127=TRUE)*IF(Inputs!$B$38="pvp",F1127,(1-Summary!$B$55)*(F1127)+Summary!$B$55*(0)))+((C1128=TRUE)*F1128*IF(AND(Inputs!$B$38&lt;&gt;"pvp",Inputs!$B$43&gt;0),(((R1128-1)*(Skills!T15*(1+Inputs!$B$34/100))+MIN((Skills!T15*(1+Inputs!$B$34/100)),MAX(0,Inputs!$B$43-((R1128-1)*Skills!D15))))/Inputs!$B$43),IF(Inputs!$B$38="pvp",MIN((Skills!T15*(1+Inputs!$B$34/100)),15)/15,(Skills!T15*(1+Inputs!$B$34/100))/Skills!D15)))+((C1125=TRUE)*F1125)+((C1142=TRUE)*(F1142-Calc!F29)))/100)*I1122)</f>
        <v/>
      </c>
      <c r="L1122">
        <f>K1122*(MIN(Inputs!$B$22+((C1136=TRUE)*(F1136-Calc!F23)),Inputs!$B$23+((C1141=TRUE)*(F1141-Calc!F28)))/100+(Inputs!$B$23+((C1141=TRUE)*(F1141-Calc!F28)))/100)/2</f>
        <v/>
      </c>
      <c r="M1122">
        <f>L1122*(1+(Inputs!$B$10+0+B1150)/100)</f>
        <v/>
      </c>
      <c r="N1122">
        <f>L1122*(1-MIN((Inputs!$B$9+((C1132=TRUE)*(F1132-Calc!F19))+B1145),100)/100)+M1122*(MIN((Inputs!$B$9+((C1132=TRUE)*(F1132-Calc!F19))+B1145),100)/100)</f>
        <v/>
      </c>
      <c r="O1122">
        <f>(1-Summary!$B$55)*T1122+Summary!$B$55*V1122</f>
        <v/>
      </c>
      <c r="P1122">
        <f>IF(B1155=0,0,O1122/B1155)</f>
        <v/>
      </c>
      <c r="Q1122">
        <f>IFERROR(1/IF(Inputs!$B$38="pvp",15,MAX(0.1,Skills!D9-IF(Skills!E9=TRUE,Inputs!$B$32,0))),0)</f>
        <v/>
      </c>
      <c r="R1122">
        <f>IF(AND(Inputs!$B$38&lt;&gt;"pvp",Inputs!$B$43&gt;0),IF(MAX(0,Inputs!$B$43-B1152)&lt;=0,0,(INT(MAX(0,Inputs!$B$43-B1152)/IF(Inputs!$B$38="pvp",15,MAX(0.1,Skills!D9-IF(Skills!E9=TRUE,Inputs!$B$32,0))))+1)),0)</f>
        <v/>
      </c>
      <c r="S1122">
        <f>IFERROR((H1122*N1122*IF(AND(Inputs!$B$38&lt;&gt;"pvp",Inputs!$B$43&gt;0),((Skills!G9*((R1122-1)*IF(Skills!H9&gt;0,Skills!I9/Skills!H9,1)+IF(Skills!H9&gt;0,MIN(Skills!I9,MAX(0,MAX(0,Inputs!$B$43-B1152)-((R1122-1)*IF(Inputs!$B$38="pvp",15,MAX(0.1,Skills!D9-IF(Skills!E9=TRUE,Inputs!$B$32,0))))))/Skills!H9,1)))/Inputs!$B$43),G1122*Q1122))/N1122*IF(Inputs!$B$38="pvp",1,(1-Summary!$B$55)*1+Summary!$B$55*(MIN(Skills!R9,Inputs!$B$37))),0)</f>
        <v/>
      </c>
      <c r="T1122">
        <f>IF(C1122,(H1122*N1122*IF(AND(Inputs!$B$38&lt;&gt;"pvp",Inputs!$B$43&gt;0),((Skills!G9*((R1122-1)*IF(Skills!H9&gt;0,Skills!I9/Skills!H9,1)+IF(Skills!H9&gt;0,MIN(Skills!I9,MAX(0,MAX(0,Inputs!$B$43-B1152)-((R1122-1)*IF(Inputs!$B$38="pvp",15,MAX(0.1,Skills!D9-IF(Skills!E9=TRUE,Inputs!$B$32,0))))))/Skills!H9,1)))/Inputs!$B$43),G1122*Q1122))*IF(Inputs!$B$38="pvp",1,1+(Inputs!$B$20+0+Skills!P9)/100),0)</f>
        <v/>
      </c>
      <c r="V1122">
        <f>IF(C1122,(H1122*N1122*IF(AND(Inputs!$B$38&lt;&gt;"pvp",Inputs!$B$43&gt;0),((Skills!G9*((R1122-1)*IF(Skills!H9&gt;0,Skills!I9/Skills!H9,1)+IF(Skills!H9&gt;0,MIN(Skills!I9,MAX(0,MAX(0,Inputs!$B$43-B1152)-((R1122-1)*IF(Inputs!$B$38="pvp",15,MAX(0.1,Skills!D9-IF(Skills!E9=TRUE,Inputs!$B$32,0))))))/Skills!H9,1)))/Inputs!$B$43),G1122*Q1122))*IF(Inputs!$B$38="pvp",1,(1+(Inputs!$B$21+Skills!Q9)/100)*(MIN(Skills!R9,Inputs!$B$37))),0)</f>
        <v/>
      </c>
    </row>
    <row r="1123">
      <c r="A1123">
        <f>Skills!A10</f>
        <v/>
      </c>
      <c r="B1123">
        <f>Skills!B10</f>
        <v/>
      </c>
      <c r="C1123">
        <f>Inputs!$B$3&gt;=107</f>
        <v/>
      </c>
      <c r="D1123">
        <f>IF(Skills!C10=1,60+Inputs!$B$25+Inputs!$B$29,IF(Skills!C10=2,90+Inputs!$B$26+Inputs!$B$29,IF(Skills!C10=3,120+Inputs!$B$27+Inputs!$B$29,MAX(0,(Inputs!$B$3-100)*3)+Inputs!$B$28+Inputs!$B$29)))</f>
        <v/>
      </c>
      <c r="E1123">
        <f>INDEX(FactorTable!$B$2:$Y$301, MATCH(ROUND(MIN(300,MAX(1,D1123)),0), FactorTable!$A$2:$A$301,0), Skills!M10+1)</f>
        <v/>
      </c>
      <c r="F1123">
        <f>IF(Skills!N10=TRUE,(Skills!L10/10)*(E1123/1000),Skills!L10/10)+Skills!O10</f>
        <v/>
      </c>
      <c r="G1123">
        <f>Skills!G10*IF(Skills!H10&gt;0,Skills!I10/Skills!H10,1)</f>
        <v/>
      </c>
      <c r="H1123">
        <f>1-(1-Skills!J10/100)^Skills!K10</f>
        <v/>
      </c>
      <c r="I1123" t="inlineStr">
        <is>
          <t>1</t>
        </is>
      </c>
      <c r="J1123">
        <f>((Inputs!$B$6*(1+Inputs!$B$7/100))+(((Inputs!$B$12*(1+Inputs!$B$13/100))-(Inputs!$B$12*(1+Inputs!$B$13/100)))+0.25*(Inputs!$B$14-Inputs!$B$14))*(1+Inputs!$B$7/100))*(F1123/100)</f>
        <v/>
      </c>
      <c r="K1123">
        <f>J1123*(1+((Inputs!$B$12*(1+Inputs!$B$13/100))*0.01+Inputs!$B$14*0.0025)/100)*(1+Inputs!$B$15/100)*(1+Inputs!$B$16/100)*(5000/(6000+Inputs!$B$42*(1-(Inputs!$B$19+0)/100)))*(1+(Inputs!$B$24+((C1137=TRUE)*(F1137-Calc!F24))+((C1138=TRUE)*(F1138-Calc!F25))+B1151)/100)*(1+(IF(Skills!A10="EMPOWERED_PIERCING_ARROW",Inputs!$B$17+((C1135=TRUE)*(F1135-Calc!F22)),Inputs!$B$18+((C1140=TRUE)*(F1140-Calc!F27))))/100)*((1+(((C1126=TRUE)*F1126)+((C1127=TRUE)*IF(Inputs!$B$38="pvp",F1127,(1-Summary!$B$55)*(F1127)+Summary!$B$55*(0)))+((C1128=TRUE)*F1128*IF(AND(Inputs!$B$38&lt;&gt;"pvp",Inputs!$B$43&gt;0),(((R1128-1)*(Skills!T15*(1+Inputs!$B$34/100))+MIN((Skills!T15*(1+Inputs!$B$34/100)),MAX(0,Inputs!$B$43-((R1128-1)*Skills!D15))))/Inputs!$B$43),IF(Inputs!$B$38="pvp",MIN((Skills!T15*(1+Inputs!$B$34/100)),15)/15,(Skills!T15*(1+Inputs!$B$34/100))/Skills!D15)))+((C1125=TRUE)*F1125)+((C1142=TRUE)*(F1142-Calc!F29)))/100)*I1123)</f>
        <v/>
      </c>
      <c r="L1123">
        <f>K1123*(MIN(Inputs!$B$22+((C1136=TRUE)*(F1136-Calc!F23)),Inputs!$B$23+((C1141=TRUE)*(F1141-Calc!F28)))/100+(Inputs!$B$23+((C1141=TRUE)*(F1141-Calc!F28)))/100)/2</f>
        <v/>
      </c>
      <c r="M1123">
        <f>L1123*(1+(Inputs!$B$10+0+B1150)/100)</f>
        <v/>
      </c>
      <c r="N1123">
        <f>L1123*(1-MIN((Inputs!$B$9+((C1132=TRUE)*(F1132-Calc!F19))+B1145),100)/100)+M1123*(MIN((Inputs!$B$9+((C1132=TRUE)*(F1132-Calc!F19))+B1145),100)/100)</f>
        <v/>
      </c>
      <c r="O1123">
        <f>(1-Summary!$B$55)*T1123+Summary!$B$55*V1123</f>
        <v/>
      </c>
      <c r="P1123">
        <f>IF(B1155=0,0,O1123/B1155)</f>
        <v/>
      </c>
      <c r="Q1123" t="n">
        <v>0</v>
      </c>
      <c r="R1123" t="n">
        <v>0</v>
      </c>
      <c r="S1123" t="n">
        <v>0</v>
      </c>
      <c r="T1123">
        <f>IF(C1123,(0.15*SUMPRODUCT((Skills!U2:U29=TRUE)*(C1115:C1142=TRUE)*S1115:S1142)*Skills!G10*N1123)*IF(Inputs!$B$38="pvp",1,1+(Inputs!$B$20+0+Skills!P10)/100),0)</f>
        <v/>
      </c>
      <c r="V1123">
        <f>IF(C1123,(0.15*SUMPRODUCT((Skills!U2:U29=TRUE)*(C1115:C1142=TRUE)*S1115:S1142)*Skills!G10*N1123)*IF(Inputs!$B$38="pvp",1,(1+(Inputs!$B$21+Skills!Q10)/100)*(MIN(Skills!R10,Inputs!$B$37))),0)</f>
        <v/>
      </c>
    </row>
    <row r="1124">
      <c r="A1124">
        <f>Skills!A11</f>
        <v/>
      </c>
      <c r="B1124">
        <f>Skills!B11</f>
        <v/>
      </c>
      <c r="C1124">
        <f>Inputs!$B$3&gt;=110</f>
        <v/>
      </c>
      <c r="D1124">
        <f>IF(Skills!C11=1,60+Inputs!$B$25+Inputs!$B$29,IF(Skills!C11=2,90+Inputs!$B$26+Inputs!$B$29,IF(Skills!C11=3,120+Inputs!$B$27+Inputs!$B$29,MAX(0,(Inputs!$B$3-100)*3)+Inputs!$B$28+Inputs!$B$29)))</f>
        <v/>
      </c>
      <c r="E1124">
        <f>INDEX(FactorTable!$B$2:$Y$301, MATCH(ROUND(MIN(300,MAX(1,D1124)),0), FactorTable!$A$2:$A$301,0), Skills!M11+1)</f>
        <v/>
      </c>
      <c r="F1124">
        <f>IF(Skills!N11=TRUE,(Skills!L11/10)*(E1124/1000),Skills!L11/10)+Skills!O11</f>
        <v/>
      </c>
      <c r="G1124">
        <f>Skills!G11*IF(Skills!H11&gt;0,Skills!I11/Skills!H11,1)</f>
        <v/>
      </c>
      <c r="H1124">
        <f>1-(1-Skills!J11/100)^Skills!K11</f>
        <v/>
      </c>
      <c r="I1124" t="inlineStr">
        <is>
          <t>1</t>
        </is>
      </c>
      <c r="J1124">
        <f>((Inputs!$B$6*(1+Inputs!$B$7/100))+(((Inputs!$B$12*(1+Inputs!$B$13/100))-(Inputs!$B$12*(1+Inputs!$B$13/100)))+0.25*(Inputs!$B$14-Inputs!$B$14))*(1+Inputs!$B$7/100))*(F1124/100)</f>
        <v/>
      </c>
      <c r="K1124">
        <f>J1124*(1+((Inputs!$B$12*(1+Inputs!$B$13/100))*0.01+Inputs!$B$14*0.0025)/100)*(1+Inputs!$B$15/100)*(1+Inputs!$B$16/100)*(5000/(6000+Inputs!$B$42*(1-(Inputs!$B$19+0)/100)))*(1+(Inputs!$B$24+((C1137=TRUE)*(F1137-Calc!F24))+((C1138=TRUE)*(F1138-Calc!F25))+B1151)/100)*(1+(IF(Skills!A11="EMPOWERED_PIERCING_ARROW",Inputs!$B$17+((C1135=TRUE)*(F1135-Calc!F22)),Inputs!$B$18+((C1140=TRUE)*(F1140-Calc!F27))))/100)*((1+(((C1126=TRUE)*F1126)+((C1127=TRUE)*IF(Inputs!$B$38="pvp",F1127,(1-Summary!$B$55)*(F1127)+Summary!$B$55*(0)))+((C1128=TRUE)*F1128*IF(AND(Inputs!$B$38&lt;&gt;"pvp",Inputs!$B$43&gt;0),(((R1128-1)*(Skills!T15*(1+Inputs!$B$34/100))+MIN((Skills!T15*(1+Inputs!$B$34/100)),MAX(0,Inputs!$B$43-((R1128-1)*Skills!D15))))/Inputs!$B$43),IF(Inputs!$B$38="pvp",MIN((Skills!T15*(1+Inputs!$B$34/100)),15)/15,(Skills!T15*(1+Inputs!$B$34/100))/Skills!D15)))+((C1125=TRUE)*F1125)+((C1142=TRUE)*(F1142-Calc!F29)))/100)*I1124)</f>
        <v/>
      </c>
      <c r="L1124">
        <f>K1124*(MIN(Inputs!$B$22+((C1136=TRUE)*(F1136-Calc!F23)),Inputs!$B$23+((C1141=TRUE)*(F1141-Calc!F28)))/100+(Inputs!$B$23+((C1141=TRUE)*(F1141-Calc!F28)))/100)/2</f>
        <v/>
      </c>
      <c r="M1124">
        <f>L1124*(1+(Inputs!$B$10+0+B1150)/100)</f>
        <v/>
      </c>
      <c r="N1124">
        <f>L1124*(1-MIN((Inputs!$B$9+((C1132=TRUE)*(F1132-Calc!F19))+B1145),100)/100)+M1124*(MIN((Inputs!$B$9+((C1132=TRUE)*(F1132-Calc!F19))+B1145),100)/100)</f>
        <v/>
      </c>
      <c r="O1124">
        <f>(1-Summary!$B$55)*T1124+Summary!$B$55*V1124</f>
        <v/>
      </c>
      <c r="P1124">
        <f>IF(B1155=0,0,O1124/B1155)</f>
        <v/>
      </c>
      <c r="Q1124">
        <f>IFERROR(1/IF(Inputs!$B$38="pvp",15,MAX(0.1,Skills!D11-IF(Skills!E11=TRUE,Inputs!$B$32,0))),0)</f>
        <v/>
      </c>
      <c r="R1124">
        <f>IF(AND(Inputs!$B$38&lt;&gt;"pvp",Inputs!$B$43&gt;0),IF(MAX(0,Inputs!$B$43-B1152)&lt;=0,0,(INT(MAX(0,Inputs!$B$43-B1152)/IF(Inputs!$B$38="pvp",15,MAX(0.1,Skills!D11-IF(Skills!E11=TRUE,Inputs!$B$32,0))))+1)),0)</f>
        <v/>
      </c>
      <c r="S1124">
        <f>IFERROR((H1124*N1124*IF(AND(Inputs!$B$38&lt;&gt;"pvp",Inputs!$B$43&gt;0),((Skills!G11*((R1124-1)*IF(Skills!H11&gt;0,Skills!I11/Skills!H11,1)+IF(Skills!H11&gt;0,MIN(Skills!I11,MAX(0,MAX(0,Inputs!$B$43-B1152)-((R1124-1)*IF(Inputs!$B$38="pvp",15,MAX(0.1,Skills!D11-IF(Skills!E11=TRUE,Inputs!$B$32,0))))))/Skills!H11,1)))/Inputs!$B$43),G1124*Q1124))/N1124*IF(Inputs!$B$38="pvp",1,(1-Summary!$B$55)*1+Summary!$B$55*(MIN(Skills!R11,Inputs!$B$37))),0)</f>
        <v/>
      </c>
      <c r="T1124">
        <f>IF(C1124,(H1124*N1124*IF(AND(Inputs!$B$38&lt;&gt;"pvp",Inputs!$B$43&gt;0),((Skills!G11*((R1124-1)*IF(Skills!H11&gt;0,Skills!I11/Skills!H11,1)+IF(Skills!H11&gt;0,MIN(Skills!I11,MAX(0,MAX(0,Inputs!$B$43-B1152)-((R1124-1)*IF(Inputs!$B$38="pvp",15,MAX(0.1,Skills!D11-IF(Skills!E11=TRUE,Inputs!$B$32,0))))))/Skills!H11,1)))/Inputs!$B$43),G1124*Q1124))*IF(Inputs!$B$38="pvp",1,1+(Inputs!$B$20+0+Skills!P11)/100),0)</f>
        <v/>
      </c>
      <c r="V1124">
        <f>IF(C1124,(H1124*N1124*IF(AND(Inputs!$B$38&lt;&gt;"pvp",Inputs!$B$43&gt;0),((Skills!G11*((R1124-1)*IF(Skills!H11&gt;0,Skills!I11/Skills!H11,1)+IF(Skills!H11&gt;0,MIN(Skills!I11,MAX(0,MAX(0,Inputs!$B$43-B1152)-((R1124-1)*IF(Inputs!$B$38="pvp",15,MAX(0.1,Skills!D11-IF(Skills!E11=TRUE,Inputs!$B$32,0))))))/Skills!H11,1)))/Inputs!$B$43),G1124*Q1124))*IF(Inputs!$B$38="pvp",1,(1+(Inputs!$B$21+Skills!Q11)/100)*(MIN(Skills!R11,Inputs!$B$37))),0)</f>
        <v/>
      </c>
    </row>
    <row r="1125">
      <c r="A1125">
        <f>Skills!A12</f>
        <v/>
      </c>
      <c r="B1125">
        <f>Skills!B12</f>
        <v/>
      </c>
      <c r="C1125">
        <f>Inputs!$B$3&gt;=60</f>
        <v/>
      </c>
      <c r="D1125">
        <f>IF(Skills!C12=1,60+Inputs!$B$25+Inputs!$B$29,IF(Skills!C12=2,90+Inputs!$B$26+Inputs!$B$29,IF(Skills!C12=3,120+Inputs!$B$27+Inputs!$B$29,MAX(0,(Inputs!$B$3-100)*3)+Inputs!$B$28+Inputs!$B$29)))</f>
        <v/>
      </c>
      <c r="E1125">
        <f>INDEX(FactorTable!$B$2:$Y$301, MATCH(ROUND(MIN(300,MAX(1,D1125)),0), FactorTable!$A$2:$A$301,0), Skills!M12+1)</f>
        <v/>
      </c>
      <c r="F1125">
        <f>IF(Skills!N12=TRUE,(Skills!L12/10)*(E1125/1000),Skills!L12/10)+Skills!O12</f>
        <v/>
      </c>
      <c r="G1125">
        <f>Skills!G12*IF(Skills!H12&gt;0,Skills!I12/Skills!H12,1)</f>
        <v/>
      </c>
      <c r="H1125">
        <f>1-(1-Skills!J12/100)^Skills!K12</f>
        <v/>
      </c>
      <c r="I1125" t="inlineStr">
        <is>
          <t>1</t>
        </is>
      </c>
      <c r="J1125" t="inlineStr"/>
      <c r="K1125" t="inlineStr"/>
      <c r="L1125" t="inlineStr"/>
      <c r="M1125" t="inlineStr"/>
      <c r="N1125" t="inlineStr"/>
      <c r="O1125">
        <f>(1-Summary!$B$55)*T1125+Summary!$B$55*V1125</f>
        <v/>
      </c>
      <c r="P1125">
        <f>IF(B1155=0,0,O1125/B1155)</f>
        <v/>
      </c>
      <c r="Q1125" t="n">
        <v>0</v>
      </c>
      <c r="R1125" t="n">
        <v>0</v>
      </c>
      <c r="S1125" t="n">
        <v>0</v>
      </c>
      <c r="T1125" t="n">
        <v>0</v>
      </c>
      <c r="V1125" t="n">
        <v>0</v>
      </c>
    </row>
    <row r="1126">
      <c r="A1126">
        <f>Skills!A13</f>
        <v/>
      </c>
      <c r="B1126">
        <f>Skills!B13</f>
        <v/>
      </c>
      <c r="C1126">
        <f>Inputs!$B$3&gt;=74</f>
        <v/>
      </c>
      <c r="D1126">
        <f>IF(Skills!C13=1,60+Inputs!$B$25+Inputs!$B$29,IF(Skills!C13=2,90+Inputs!$B$26+Inputs!$B$29,IF(Skills!C13=3,120+Inputs!$B$27+Inputs!$B$29,MAX(0,(Inputs!$B$3-100)*3)+Inputs!$B$28+Inputs!$B$29)))</f>
        <v/>
      </c>
      <c r="E1126">
        <f>INDEX(FactorTable!$B$2:$Y$301, MATCH(ROUND(MIN(300,MAX(1,D1126)),0), FactorTable!$A$2:$A$301,0), Skills!M13+1)</f>
        <v/>
      </c>
      <c r="F1126">
        <f>IF(Skills!N13=TRUE,(Skills!L13/10)*(E1126/1000),Skills!L13/10)+Skills!O13</f>
        <v/>
      </c>
      <c r="G1126">
        <f>Skills!G13*IF(Skills!H13&gt;0,Skills!I13/Skills!H13,1)</f>
        <v/>
      </c>
      <c r="H1126">
        <f>1-(1-Skills!J13/100)^Skills!K13</f>
        <v/>
      </c>
      <c r="I1126" t="inlineStr">
        <is>
          <t>1</t>
        </is>
      </c>
      <c r="J1126" t="inlineStr"/>
      <c r="K1126" t="inlineStr"/>
      <c r="L1126" t="inlineStr"/>
      <c r="M1126" t="inlineStr"/>
      <c r="N1126" t="inlineStr"/>
      <c r="O1126">
        <f>(1-Summary!$B$55)*T1126+Summary!$B$55*V1126</f>
        <v/>
      </c>
      <c r="P1126">
        <f>IF(B1155=0,0,O1126/B1155)</f>
        <v/>
      </c>
      <c r="Q1126" t="n">
        <v>0</v>
      </c>
      <c r="R1126" t="n">
        <v>0</v>
      </c>
      <c r="S1126" t="n">
        <v>0</v>
      </c>
      <c r="T1126" t="n">
        <v>0</v>
      </c>
      <c r="V1126" t="n">
        <v>0</v>
      </c>
    </row>
    <row r="1127">
      <c r="A1127">
        <f>Skills!A14</f>
        <v/>
      </c>
      <c r="B1127">
        <f>Skills!B14</f>
        <v/>
      </c>
      <c r="C1127">
        <f>Inputs!$B$3&gt;=74</f>
        <v/>
      </c>
      <c r="D1127">
        <f>IF(Skills!C14=1,60+Inputs!$B$25+Inputs!$B$29,IF(Skills!C14=2,90+Inputs!$B$26+Inputs!$B$29,IF(Skills!C14=3,120+Inputs!$B$27+Inputs!$B$29,MAX(0,(Inputs!$B$3-100)*3)+Inputs!$B$28+Inputs!$B$29)))</f>
        <v/>
      </c>
      <c r="E1127">
        <f>INDEX(FactorTable!$B$2:$Y$301, MATCH(ROUND(MIN(300,MAX(1,D1127)),0), FactorTable!$A$2:$A$301,0), Skills!M14+1)</f>
        <v/>
      </c>
      <c r="F1127">
        <f>IF(Skills!N14=TRUE,(Skills!L14/10)*(E1127/1000),Skills!L14/10)+Skills!O14</f>
        <v/>
      </c>
      <c r="G1127">
        <f>Skills!G14*IF(Skills!H14&gt;0,Skills!I14/Skills!H14,1)</f>
        <v/>
      </c>
      <c r="H1127">
        <f>1-(1-Skills!J14/100)^Skills!K14</f>
        <v/>
      </c>
      <c r="I1127" t="inlineStr">
        <is>
          <t>1</t>
        </is>
      </c>
      <c r="J1127" t="inlineStr"/>
      <c r="K1127" t="inlineStr"/>
      <c r="L1127" t="inlineStr"/>
      <c r="M1127" t="inlineStr"/>
      <c r="N1127" t="inlineStr"/>
      <c r="O1127">
        <f>(1-Summary!$B$55)*T1127+Summary!$B$55*V1127</f>
        <v/>
      </c>
      <c r="P1127">
        <f>IF(B1155=0,0,O1127/B1155)</f>
        <v/>
      </c>
      <c r="Q1127" t="n">
        <v>0</v>
      </c>
      <c r="R1127" t="n">
        <v>0</v>
      </c>
      <c r="S1127" t="n">
        <v>0</v>
      </c>
      <c r="T1127" t="n">
        <v>0</v>
      </c>
      <c r="V1127" t="n">
        <v>0</v>
      </c>
    </row>
    <row r="1128">
      <c r="A1128">
        <f>Skills!A15</f>
        <v/>
      </c>
      <c r="B1128">
        <f>Skills!B15</f>
        <v/>
      </c>
      <c r="C1128">
        <f>Inputs!$B$3&gt;=117</f>
        <v/>
      </c>
      <c r="D1128">
        <f>IF(Skills!C15=1,60+Inputs!$B$25+Inputs!$B$29,IF(Skills!C15=2,90+Inputs!$B$26+Inputs!$B$29,IF(Skills!C15=3,120+Inputs!$B$27+Inputs!$B$29,MAX(0,(Inputs!$B$3-100)*3)+Inputs!$B$28+Inputs!$B$29)))</f>
        <v/>
      </c>
      <c r="E1128">
        <f>INDEX(FactorTable!$B$2:$Y$301, MATCH(ROUND(MIN(300,MAX(1,D1128)),0), FactorTable!$A$2:$A$301,0), Skills!M15+1)</f>
        <v/>
      </c>
      <c r="F1128">
        <f>IF(Skills!N15=TRUE,(Skills!L15/10)*(E1128/1000),Skills!L15/10)+Skills!O15</f>
        <v/>
      </c>
      <c r="G1128">
        <f>Skills!G15*IF(Skills!H15&gt;0,Skills!I15/Skills!H15,1)</f>
        <v/>
      </c>
      <c r="H1128">
        <f>1-(1-Skills!J15/100)^Skills!K15</f>
        <v/>
      </c>
      <c r="I1128" t="inlineStr">
        <is>
          <t>1</t>
        </is>
      </c>
      <c r="J1128" t="inlineStr"/>
      <c r="K1128" t="inlineStr"/>
      <c r="L1128" t="inlineStr"/>
      <c r="M1128" t="inlineStr"/>
      <c r="N1128" t="inlineStr"/>
      <c r="O1128">
        <f>(1-Summary!$B$55)*T1128+Summary!$B$55*V1128</f>
        <v/>
      </c>
      <c r="P1128">
        <f>IF(B1155=0,0,O1128/B1155)</f>
        <v/>
      </c>
      <c r="Q1128">
        <f>IFERROR(1/IF(Inputs!$B$38="pvp",15,MAX(0.1,Skills!D15-IF(Skills!E15=TRUE,Inputs!$B$32,0))),0)</f>
        <v/>
      </c>
      <c r="R1128">
        <f>IF(AND(Inputs!$B$38&lt;&gt;"pvp",Inputs!$B$43&gt;0),IF(Inputs!$B$43&lt;=0,0,(INT(Inputs!$B$43/IF(Inputs!$B$38="pvp",15,MAX(0.1,Skills!D15-IF(Skills!E15=TRUE,Inputs!$B$32,0))))+1)),0)</f>
        <v/>
      </c>
      <c r="S1128" t="n">
        <v>0</v>
      </c>
      <c r="T1128" t="n">
        <v>0</v>
      </c>
      <c r="V1128" t="n">
        <v>0</v>
      </c>
    </row>
    <row r="1129">
      <c r="A1129">
        <f>Skills!A16</f>
        <v/>
      </c>
      <c r="B1129">
        <f>Skills!B16</f>
        <v/>
      </c>
      <c r="C1129">
        <f>Inputs!$B$3&gt;=115</f>
        <v/>
      </c>
      <c r="D1129">
        <f>IF(Skills!C16=1,60+Inputs!$B$25+Inputs!$B$29,IF(Skills!C16=2,90+Inputs!$B$26+Inputs!$B$29,IF(Skills!C16=3,120+Inputs!$B$27+Inputs!$B$29,MAX(0,(Inputs!$B$3-100)*3)+Inputs!$B$28+Inputs!$B$29)))</f>
        <v/>
      </c>
      <c r="E1129">
        <f>INDEX(FactorTable!$B$2:$Y$301, MATCH(ROUND(MIN(300,MAX(1,D1129)),0), FactorTable!$A$2:$A$301,0), Skills!M16+1)</f>
        <v/>
      </c>
      <c r="F1129">
        <f>IF(Skills!N16=TRUE,(Skills!L16/10)*(E1129/1000),Skills!L16/10)+Skills!O16</f>
        <v/>
      </c>
      <c r="G1129">
        <f>Skills!G16*IF(Skills!H16&gt;0,Skills!I16/Skills!H16,1)</f>
        <v/>
      </c>
      <c r="H1129">
        <f>1-(1-Skills!J16/100)^Skills!K16</f>
        <v/>
      </c>
      <c r="I1129" t="inlineStr">
        <is>
          <t>1</t>
        </is>
      </c>
      <c r="J1129" t="inlineStr"/>
      <c r="K1129" t="inlineStr"/>
      <c r="L1129" t="inlineStr"/>
      <c r="M1129" t="inlineStr"/>
      <c r="N1129" t="inlineStr"/>
      <c r="O1129">
        <f>(1-Summary!$B$55)*T1129+Summary!$B$55*V1129</f>
        <v/>
      </c>
      <c r="P1129">
        <f>IF(B1155=0,0,O1129/B1155)</f>
        <v/>
      </c>
      <c r="Q1129">
        <f>IFERROR(1/IF(Inputs!$B$38="pvp",15,MAX(0.1,Skills!D16-IF(Skills!E16=TRUE,Inputs!$B$32,0))),0)</f>
        <v/>
      </c>
      <c r="R1129">
        <f>IF(AND(Inputs!$B$38&lt;&gt;"pvp",Inputs!$B$43&gt;0),IF(Inputs!$B$43&lt;=0,0,(INT(Inputs!$B$43/IF(Inputs!$B$38="pvp",15,MAX(0.1,Skills!D16-IF(Skills!E16=TRUE,Inputs!$B$32,0))))+1)),0)</f>
        <v/>
      </c>
      <c r="S1129" t="n">
        <v>0</v>
      </c>
      <c r="T1129" t="n">
        <v>0</v>
      </c>
      <c r="V1129" t="n">
        <v>0</v>
      </c>
    </row>
    <row r="1130">
      <c r="A1130">
        <f>Skills!A17</f>
        <v/>
      </c>
      <c r="B1130">
        <f>Skills!B17</f>
        <v/>
      </c>
      <c r="C1130">
        <f>Inputs!$B$3&gt;=72</f>
        <v/>
      </c>
      <c r="D1130">
        <f>IF(Skills!C17=1,60+Inputs!$B$25+Inputs!$B$29,IF(Skills!C17=2,90+Inputs!$B$26+Inputs!$B$29,IF(Skills!C17=3,120+Inputs!$B$27+Inputs!$B$29,MAX(0,(Inputs!$B$3-100)*3)+Inputs!$B$28+Inputs!$B$29)))</f>
        <v/>
      </c>
      <c r="E1130">
        <f>INDEX(FactorTable!$B$2:$Y$301, MATCH(ROUND(MIN(300,MAX(1,D1130)),0), FactorTable!$A$2:$A$301,0), Skills!M17+1)</f>
        <v/>
      </c>
      <c r="F1130">
        <f>IF(Skills!N17=TRUE,(Skills!L17/10)*(E1130/1000),Skills!L17/10)+Skills!O17</f>
        <v/>
      </c>
      <c r="G1130">
        <f>Skills!G17*IF(Skills!H17&gt;0,Skills!I17/Skills!H17,1)</f>
        <v/>
      </c>
      <c r="H1130">
        <f>1-(1-Skills!J17/100)^Skills!K17</f>
        <v/>
      </c>
      <c r="I1130" t="inlineStr">
        <is>
          <t>1</t>
        </is>
      </c>
      <c r="J1130" t="inlineStr"/>
      <c r="K1130" t="inlineStr"/>
      <c r="L1130" t="inlineStr"/>
      <c r="M1130" t="inlineStr"/>
      <c r="N1130" t="inlineStr"/>
      <c r="O1130">
        <f>(1-Summary!$B$55)*T1130+Summary!$B$55*V1130</f>
        <v/>
      </c>
      <c r="P1130">
        <f>IF(B1155=0,0,O1130/B1155)</f>
        <v/>
      </c>
      <c r="Q1130" t="n">
        <v>0</v>
      </c>
      <c r="R1130" t="n">
        <v>0</v>
      </c>
      <c r="S1130" t="n">
        <v>0</v>
      </c>
      <c r="T1130" t="n">
        <v>0</v>
      </c>
      <c r="V1130" t="n">
        <v>0</v>
      </c>
    </row>
    <row r="1131">
      <c r="A1131">
        <f>Skills!A18</f>
        <v/>
      </c>
      <c r="B1131">
        <f>Skills!B18</f>
        <v/>
      </c>
      <c r="C1131">
        <f>TRUE</f>
        <v/>
      </c>
      <c r="D1131">
        <f>IF(Skills!C18=1,60+Inputs!$B$25+Inputs!$B$29,IF(Skills!C18=2,90+Inputs!$B$26+Inputs!$B$29,IF(Skills!C18=3,120+Inputs!$B$27+Inputs!$B$29,MAX(0,(Inputs!$B$3-100)*3)+Inputs!$B$28+Inputs!$B$29)))</f>
        <v/>
      </c>
      <c r="E1131">
        <f>INDEX(FactorTable!$B$2:$Y$301, MATCH(ROUND(MIN(300,MAX(1,D1131)),0), FactorTable!$A$2:$A$301,0), Skills!M18+1)</f>
        <v/>
      </c>
      <c r="F1131">
        <f>IF(Skills!N18=TRUE,(Skills!L18/10)*(E1131/1000),Skills!L18/10)+Skills!O18</f>
        <v/>
      </c>
      <c r="G1131">
        <f>Skills!G18*IF(Skills!H18&gt;0,Skills!I18/Skills!H18,1)</f>
        <v/>
      </c>
      <c r="H1131">
        <f>1-(1-Skills!J18/100)^Skills!K18</f>
        <v/>
      </c>
      <c r="I1131" t="inlineStr">
        <is>
          <t>1</t>
        </is>
      </c>
      <c r="J1131" t="inlineStr"/>
      <c r="K1131" t="inlineStr"/>
      <c r="L1131" t="inlineStr"/>
      <c r="M1131" t="inlineStr"/>
      <c r="N1131" t="inlineStr"/>
      <c r="O1131">
        <f>(1-Summary!$B$55)*T1131+Summary!$B$55*V1131</f>
        <v/>
      </c>
      <c r="P1131">
        <f>IF(B1155=0,0,O1131/B1155)</f>
        <v/>
      </c>
      <c r="Q1131">
        <f>IFERROR(1/IF(Inputs!$B$38="pvp",15,MAX(0.1,Skills!D18-IF(Skills!E18=TRUE,Inputs!$B$32,0))),0)</f>
        <v/>
      </c>
      <c r="R1131">
        <f>IF(AND(Inputs!$B$38&lt;&gt;"pvp",Inputs!$B$43&gt;0),IF(Inputs!$B$43&lt;=0,0,(INT(Inputs!$B$43/IF(Inputs!$B$38="pvp",15,MAX(0.1,Skills!D18-IF(Skills!E18=TRUE,Inputs!$B$32,0))))+1)),0)</f>
        <v/>
      </c>
      <c r="S1131" t="n">
        <v>0</v>
      </c>
      <c r="T1131" t="n">
        <v>0</v>
      </c>
      <c r="V1131" t="n">
        <v>0</v>
      </c>
    </row>
    <row r="1132">
      <c r="A1132">
        <f>Skills!A19</f>
        <v/>
      </c>
      <c r="B1132">
        <f>Skills!B19</f>
        <v/>
      </c>
      <c r="C1132">
        <f>Inputs!$B$3&gt;=15</f>
        <v/>
      </c>
      <c r="D1132">
        <f>IF(Skills!C19=1,60+Inputs!$B$25+Inputs!$B$29,IF(Skills!C19=2,90+Inputs!$B$26+Inputs!$B$29,IF(Skills!C19=3,120+Inputs!$B$27+Inputs!$B$29,MAX(0,(Inputs!$B$3-100)*3)+Inputs!$B$28+Inputs!$B$29)))</f>
        <v/>
      </c>
      <c r="E1132">
        <f>INDEX(FactorTable!$B$2:$Y$301, MATCH(ROUND(MIN(300,MAX(1,D1132)),0), FactorTable!$A$2:$A$301,0), Skills!M19+1)</f>
        <v/>
      </c>
      <c r="F1132">
        <f>IF(Skills!N19=TRUE,(Skills!L19/10)*(E1132/1000),Skills!L19/10)+Skills!O19</f>
        <v/>
      </c>
      <c r="G1132">
        <f>Skills!G19*IF(Skills!H19&gt;0,Skills!I19/Skills!H19,1)</f>
        <v/>
      </c>
      <c r="H1132">
        <f>1-(1-Skills!J19/100)^Skills!K19</f>
        <v/>
      </c>
      <c r="I1132" t="inlineStr">
        <is>
          <t>1</t>
        </is>
      </c>
      <c r="J1132" t="inlineStr"/>
      <c r="K1132" t="inlineStr"/>
      <c r="L1132" t="inlineStr"/>
      <c r="M1132" t="inlineStr"/>
      <c r="N1132" t="inlineStr"/>
      <c r="O1132">
        <f>(1-Summary!$B$55)*T1132+Summary!$B$55*V1132</f>
        <v/>
      </c>
      <c r="P1132">
        <f>IF(B1155=0,0,O1132/B1155)</f>
        <v/>
      </c>
      <c r="Q1132" t="n">
        <v>0</v>
      </c>
      <c r="R1132" t="n">
        <v>0</v>
      </c>
      <c r="S1132" t="n">
        <v>0</v>
      </c>
      <c r="T1132" t="n">
        <v>0</v>
      </c>
      <c r="V1132" t="n">
        <v>0</v>
      </c>
    </row>
    <row r="1133">
      <c r="A1133">
        <f>Skills!A20</f>
        <v/>
      </c>
      <c r="B1133">
        <f>Skills!B20</f>
        <v/>
      </c>
      <c r="C1133">
        <f>Inputs!$B$3&gt;=10</f>
        <v/>
      </c>
      <c r="D1133">
        <f>IF(Skills!C20=1,60+Inputs!$B$25+Inputs!$B$29,IF(Skills!C20=2,90+Inputs!$B$26+Inputs!$B$29,IF(Skills!C20=3,120+Inputs!$B$27+Inputs!$B$29,MAX(0,(Inputs!$B$3-100)*3)+Inputs!$B$28+Inputs!$B$29)))</f>
        <v/>
      </c>
      <c r="E1133">
        <f>INDEX(FactorTable!$B$2:$Y$301, MATCH(ROUND(MIN(300,MAX(1,D1133)),0), FactorTable!$A$2:$A$301,0), Skills!M20+1)</f>
        <v/>
      </c>
      <c r="F1133">
        <f>IF(Skills!N20=TRUE,(Skills!L20/10)*(E1133/1000),Skills!L20/10)+Skills!O20</f>
        <v/>
      </c>
      <c r="G1133">
        <f>Skills!G20*IF(Skills!H20&gt;0,Skills!I20/Skills!H20,1)</f>
        <v/>
      </c>
      <c r="H1133">
        <f>1-(1-Skills!J20/100)^Skills!K20</f>
        <v/>
      </c>
      <c r="I1133" t="inlineStr">
        <is>
          <t>1</t>
        </is>
      </c>
      <c r="J1133" t="inlineStr"/>
      <c r="K1133" t="inlineStr"/>
      <c r="L1133" t="inlineStr"/>
      <c r="M1133" t="inlineStr"/>
      <c r="N1133" t="inlineStr"/>
      <c r="O1133">
        <f>(1-Summary!$B$55)*T1133+Summary!$B$55*V1133</f>
        <v/>
      </c>
      <c r="P1133">
        <f>IF(B1155=0,0,O1133/B1155)</f>
        <v/>
      </c>
      <c r="Q1133" t="n">
        <v>0</v>
      </c>
      <c r="R1133" t="n">
        <v>0</v>
      </c>
      <c r="S1133" t="n">
        <v>0</v>
      </c>
      <c r="T1133" t="n">
        <v>0</v>
      </c>
      <c r="V1133" t="n">
        <v>0</v>
      </c>
    </row>
    <row r="1134">
      <c r="A1134">
        <f>Skills!A21</f>
        <v/>
      </c>
      <c r="B1134">
        <f>Skills!B21</f>
        <v/>
      </c>
      <c r="C1134">
        <f>Inputs!$B$3&gt;=33</f>
        <v/>
      </c>
      <c r="D1134">
        <f>IF(Skills!C21=1,60+Inputs!$B$25+Inputs!$B$29,IF(Skills!C21=2,90+Inputs!$B$26+Inputs!$B$29,IF(Skills!C21=3,120+Inputs!$B$27+Inputs!$B$29,MAX(0,(Inputs!$B$3-100)*3)+Inputs!$B$28+Inputs!$B$29)))</f>
        <v/>
      </c>
      <c r="E1134">
        <f>INDEX(FactorTable!$B$2:$Y$301, MATCH(ROUND(MIN(300,MAX(1,D1134)),0), FactorTable!$A$2:$A$301,0), Skills!M21+1)</f>
        <v/>
      </c>
      <c r="F1134">
        <f>IF(Skills!N21=TRUE,(Skills!L21/10)*(E1134/1000),Skills!L21/10)+Skills!O21</f>
        <v/>
      </c>
      <c r="G1134">
        <f>Skills!G21*IF(Skills!H21&gt;0,Skills!I21/Skills!H21,1)</f>
        <v/>
      </c>
      <c r="H1134">
        <f>1-(1-Skills!J21/100)^Skills!K21</f>
        <v/>
      </c>
      <c r="I1134" t="inlineStr">
        <is>
          <t>1</t>
        </is>
      </c>
      <c r="J1134" t="inlineStr"/>
      <c r="K1134" t="inlineStr"/>
      <c r="L1134" t="inlineStr"/>
      <c r="M1134" t="inlineStr"/>
      <c r="N1134" t="inlineStr"/>
      <c r="O1134">
        <f>(1-Summary!$B$55)*T1134+Summary!$B$55*V1134</f>
        <v/>
      </c>
      <c r="P1134">
        <f>IF(B1155=0,0,O1134/B1155)</f>
        <v/>
      </c>
      <c r="Q1134" t="n">
        <v>0</v>
      </c>
      <c r="R1134" t="n">
        <v>0</v>
      </c>
      <c r="S1134" t="n">
        <v>0</v>
      </c>
      <c r="T1134" t="n">
        <v>0</v>
      </c>
      <c r="V1134" t="n">
        <v>0</v>
      </c>
    </row>
    <row r="1135">
      <c r="A1135">
        <f>Skills!A22</f>
        <v/>
      </c>
      <c r="B1135">
        <f>Skills!B22</f>
        <v/>
      </c>
      <c r="C1135">
        <f>Inputs!$B$3&gt;=38</f>
        <v/>
      </c>
      <c r="D1135">
        <f>IF(Skills!C22=1,60+Inputs!$B$25+Inputs!$B$29,IF(Skills!C22=2,90+Inputs!$B$26+Inputs!$B$29,IF(Skills!C22=3,120+Inputs!$B$27+Inputs!$B$29,MAX(0,(Inputs!$B$3-100)*3)+Inputs!$B$28+Inputs!$B$29)))</f>
        <v/>
      </c>
      <c r="E1135">
        <f>INDEX(FactorTable!$B$2:$Y$301, MATCH(ROUND(MIN(300,MAX(1,D1135)),0), FactorTable!$A$2:$A$301,0), Skills!M22+1)</f>
        <v/>
      </c>
      <c r="F1135">
        <f>IF(Skills!N22=TRUE,(Skills!L22/10)*(E1135/1000),Skills!L22/10)+Skills!O22</f>
        <v/>
      </c>
      <c r="G1135">
        <f>Skills!G22*IF(Skills!H22&gt;0,Skills!I22/Skills!H22,1)</f>
        <v/>
      </c>
      <c r="H1135">
        <f>1-(1-Skills!J22/100)^Skills!K22</f>
        <v/>
      </c>
      <c r="I1135" t="inlineStr">
        <is>
          <t>1</t>
        </is>
      </c>
      <c r="J1135" t="inlineStr"/>
      <c r="K1135" t="inlineStr"/>
      <c r="L1135" t="inlineStr"/>
      <c r="M1135" t="inlineStr"/>
      <c r="N1135" t="inlineStr"/>
      <c r="O1135">
        <f>(1-Summary!$B$55)*T1135+Summary!$B$55*V1135</f>
        <v/>
      </c>
      <c r="P1135">
        <f>IF(B1155=0,0,O1135/B1155)</f>
        <v/>
      </c>
      <c r="Q1135" t="n">
        <v>0</v>
      </c>
      <c r="R1135" t="n">
        <v>0</v>
      </c>
      <c r="S1135" t="n">
        <v>0</v>
      </c>
      <c r="T1135" t="n">
        <v>0</v>
      </c>
      <c r="V1135" t="n">
        <v>0</v>
      </c>
    </row>
    <row r="1136">
      <c r="A1136">
        <f>Skills!A23</f>
        <v/>
      </c>
      <c r="B1136">
        <f>Skills!B23</f>
        <v/>
      </c>
      <c r="C1136">
        <f>Inputs!$B$3&gt;=43</f>
        <v/>
      </c>
      <c r="D1136">
        <f>IF(Skills!C23=1,60+Inputs!$B$25+Inputs!$B$29,IF(Skills!C23=2,90+Inputs!$B$26+Inputs!$B$29,IF(Skills!C23=3,120+Inputs!$B$27+Inputs!$B$29,MAX(0,(Inputs!$B$3-100)*3)+Inputs!$B$28+Inputs!$B$29)))</f>
        <v/>
      </c>
      <c r="E1136">
        <f>INDEX(FactorTable!$B$2:$Y$301, MATCH(ROUND(MIN(300,MAX(1,D1136)),0), FactorTable!$A$2:$A$301,0), Skills!M23+1)</f>
        <v/>
      </c>
      <c r="F1136">
        <f>IF(Skills!N23=TRUE,(Skills!L23/10)*(E1136/1000),Skills!L23/10)+Skills!O23</f>
        <v/>
      </c>
      <c r="G1136">
        <f>Skills!G23*IF(Skills!H23&gt;0,Skills!I23/Skills!H23,1)</f>
        <v/>
      </c>
      <c r="H1136">
        <f>1-(1-Skills!J23/100)^Skills!K23</f>
        <v/>
      </c>
      <c r="I1136" t="inlineStr">
        <is>
          <t>1</t>
        </is>
      </c>
      <c r="J1136" t="inlineStr"/>
      <c r="K1136" t="inlineStr"/>
      <c r="L1136" t="inlineStr"/>
      <c r="M1136" t="inlineStr"/>
      <c r="N1136" t="inlineStr"/>
      <c r="O1136">
        <f>(1-Summary!$B$55)*T1136+Summary!$B$55*V1136</f>
        <v/>
      </c>
      <c r="P1136">
        <f>IF(B1155=0,0,O1136/B1155)</f>
        <v/>
      </c>
      <c r="Q1136" t="n">
        <v>0</v>
      </c>
      <c r="R1136" t="n">
        <v>0</v>
      </c>
      <c r="S1136" t="n">
        <v>0</v>
      </c>
      <c r="T1136" t="n">
        <v>0</v>
      </c>
      <c r="V1136" t="n">
        <v>0</v>
      </c>
    </row>
    <row r="1137">
      <c r="A1137">
        <f>Skills!A24</f>
        <v/>
      </c>
      <c r="B1137">
        <f>Skills!B24</f>
        <v/>
      </c>
      <c r="C1137">
        <f>Inputs!$B$3&gt;=75</f>
        <v/>
      </c>
      <c r="D1137">
        <f>IF(Skills!C24=1,60+Inputs!$B$25+Inputs!$B$29,IF(Skills!C24=2,90+Inputs!$B$26+Inputs!$B$29,IF(Skills!C24=3,120+Inputs!$B$27+Inputs!$B$29,MAX(0,(Inputs!$B$3-100)*3)+Inputs!$B$28+Inputs!$B$29)))</f>
        <v/>
      </c>
      <c r="E1137">
        <f>INDEX(FactorTable!$B$2:$Y$301, MATCH(ROUND(MIN(300,MAX(1,D1137)),0), FactorTable!$A$2:$A$301,0), Skills!M24+1)</f>
        <v/>
      </c>
      <c r="F1137">
        <f>IF(Skills!N24=TRUE,(Skills!L24/10)*(E1137/1000),Skills!L24/10)+Skills!O24</f>
        <v/>
      </c>
      <c r="G1137">
        <f>Skills!G24*IF(Skills!H24&gt;0,Skills!I24/Skills!H24,1)</f>
        <v/>
      </c>
      <c r="H1137">
        <f>1-(1-Skills!J24/100)^Skills!K24</f>
        <v/>
      </c>
      <c r="I1137" t="inlineStr">
        <is>
          <t>1</t>
        </is>
      </c>
      <c r="J1137" t="inlineStr"/>
      <c r="K1137" t="inlineStr"/>
      <c r="L1137" t="inlineStr"/>
      <c r="M1137" t="inlineStr"/>
      <c r="N1137" t="inlineStr"/>
      <c r="O1137">
        <f>(1-Summary!$B$55)*T1137+Summary!$B$55*V1137</f>
        <v/>
      </c>
      <c r="P1137">
        <f>IF(B1155=0,0,O1137/B1155)</f>
        <v/>
      </c>
      <c r="Q1137" t="n">
        <v>0</v>
      </c>
      <c r="R1137" t="n">
        <v>0</v>
      </c>
      <c r="S1137" t="n">
        <v>0</v>
      </c>
      <c r="T1137" t="n">
        <v>0</v>
      </c>
      <c r="V1137" t="n">
        <v>0</v>
      </c>
    </row>
    <row r="1138">
      <c r="A1138">
        <f>Skills!A25</f>
        <v/>
      </c>
      <c r="B1138">
        <f>Skills!B25</f>
        <v/>
      </c>
      <c r="C1138">
        <f>Inputs!$B$3&gt;=125</f>
        <v/>
      </c>
      <c r="D1138">
        <f>IF(Skills!C25=1,60+Inputs!$B$25+Inputs!$B$29,IF(Skills!C25=2,90+Inputs!$B$26+Inputs!$B$29,IF(Skills!C25=3,120+Inputs!$B$27+Inputs!$B$29,MAX(0,(Inputs!$B$3-100)*3)+Inputs!$B$28+Inputs!$B$29)))</f>
        <v/>
      </c>
      <c r="E1138">
        <f>INDEX(FactorTable!$B$2:$Y$301, MATCH(ROUND(MIN(300,MAX(1,D1138)),0), FactorTable!$A$2:$A$301,0), Skills!M25+1)</f>
        <v/>
      </c>
      <c r="F1138">
        <f>IF(Skills!N25=TRUE,(Skills!L25/10)*(E1138/1000),Skills!L25/10)+Skills!O25</f>
        <v/>
      </c>
      <c r="G1138">
        <f>Skills!G25*IF(Skills!H25&gt;0,Skills!I25/Skills!H25,1)</f>
        <v/>
      </c>
      <c r="H1138">
        <f>1-(1-Skills!J25/100)^Skills!K25</f>
        <v/>
      </c>
      <c r="I1138" t="inlineStr">
        <is>
          <t>1</t>
        </is>
      </c>
      <c r="J1138" t="inlineStr"/>
      <c r="K1138" t="inlineStr"/>
      <c r="L1138" t="inlineStr"/>
      <c r="M1138" t="inlineStr"/>
      <c r="N1138" t="inlineStr"/>
      <c r="O1138">
        <f>(1-Summary!$B$55)*T1138+Summary!$B$55*V1138</f>
        <v/>
      </c>
      <c r="P1138">
        <f>IF(B1155=0,0,O1138/B1155)</f>
        <v/>
      </c>
      <c r="Q1138" t="n">
        <v>0</v>
      </c>
      <c r="R1138" t="n">
        <v>0</v>
      </c>
      <c r="S1138" t="n">
        <v>0</v>
      </c>
      <c r="T1138" t="n">
        <v>0</v>
      </c>
      <c r="V1138" t="n">
        <v>0</v>
      </c>
    </row>
    <row r="1139">
      <c r="A1139">
        <f>Skills!A26</f>
        <v/>
      </c>
      <c r="B1139">
        <f>Skills!B26</f>
        <v/>
      </c>
      <c r="C1139">
        <f>Inputs!$B$3&gt;=125</f>
        <v/>
      </c>
      <c r="D1139">
        <f>IF(Skills!C26=1,60+Inputs!$B$25+Inputs!$B$29,IF(Skills!C26=2,90+Inputs!$B$26+Inputs!$B$29,IF(Skills!C26=3,120+Inputs!$B$27+Inputs!$B$29,MAX(0,(Inputs!$B$3-100)*3)+Inputs!$B$28+Inputs!$B$29)))</f>
        <v/>
      </c>
      <c r="E1139">
        <f>INDEX(FactorTable!$B$2:$Y$301, MATCH(ROUND(MIN(300,MAX(1,D1139)),0), FactorTable!$A$2:$A$301,0), Skills!M26+1)</f>
        <v/>
      </c>
      <c r="F1139">
        <f>IF(Skills!N26=TRUE,(Skills!L26/10)*(E1139/1000),Skills!L26/10)+Skills!O26</f>
        <v/>
      </c>
      <c r="G1139">
        <f>Skills!G26*IF(Skills!H26&gt;0,Skills!I26/Skills!H26,1)</f>
        <v/>
      </c>
      <c r="H1139">
        <f>1-(1-Skills!J26/100)^Skills!K26</f>
        <v/>
      </c>
      <c r="I1139" t="inlineStr">
        <is>
          <t>1</t>
        </is>
      </c>
      <c r="J1139" t="inlineStr"/>
      <c r="K1139" t="inlineStr"/>
      <c r="L1139" t="inlineStr"/>
      <c r="M1139" t="inlineStr"/>
      <c r="N1139" t="inlineStr"/>
      <c r="O1139">
        <f>(1-Summary!$B$55)*T1139+Summary!$B$55*V1139</f>
        <v/>
      </c>
      <c r="P1139">
        <f>IF(B1155=0,0,O1139/B1155)</f>
        <v/>
      </c>
      <c r="Q1139" t="n">
        <v>0</v>
      </c>
      <c r="R1139" t="n">
        <v>0</v>
      </c>
      <c r="S1139" t="n">
        <v>0</v>
      </c>
      <c r="T1139" t="n">
        <v>0</v>
      </c>
      <c r="V1139" t="n">
        <v>0</v>
      </c>
    </row>
    <row r="1140">
      <c r="A1140">
        <f>Skills!A27</f>
        <v/>
      </c>
      <c r="B1140">
        <f>Skills!B27</f>
        <v/>
      </c>
      <c r="C1140">
        <f>Inputs!$B$3&gt;=120</f>
        <v/>
      </c>
      <c r="D1140">
        <f>IF(Skills!C27=1,60+Inputs!$B$25+Inputs!$B$29,IF(Skills!C27=2,90+Inputs!$B$26+Inputs!$B$29,IF(Skills!C27=3,120+Inputs!$B$27+Inputs!$B$29,MAX(0,(Inputs!$B$3-100)*3)+Inputs!$B$28+Inputs!$B$29)))</f>
        <v/>
      </c>
      <c r="E1140">
        <f>INDEX(FactorTable!$B$2:$Y$301, MATCH(ROUND(MIN(300,MAX(1,D1140)),0), FactorTable!$A$2:$A$301,0), Skills!M27+1)</f>
        <v/>
      </c>
      <c r="F1140">
        <f>IF(Skills!N27=TRUE,(Skills!L27/10)*(E1140/1000),Skills!L27/10)+Skills!O27</f>
        <v/>
      </c>
      <c r="G1140">
        <f>Skills!G27*IF(Skills!H27&gt;0,Skills!I27/Skills!H27,1)</f>
        <v/>
      </c>
      <c r="H1140">
        <f>1-(1-Skills!J27/100)^Skills!K27</f>
        <v/>
      </c>
      <c r="I1140" t="inlineStr">
        <is>
          <t>1</t>
        </is>
      </c>
      <c r="J1140" t="inlineStr"/>
      <c r="K1140" t="inlineStr"/>
      <c r="L1140" t="inlineStr"/>
      <c r="M1140" t="inlineStr"/>
      <c r="N1140" t="inlineStr"/>
      <c r="O1140">
        <f>(1-Summary!$B$55)*T1140+Summary!$B$55*V1140</f>
        <v/>
      </c>
      <c r="P1140">
        <f>IF(B1155=0,0,O1140/B1155)</f>
        <v/>
      </c>
      <c r="Q1140" t="n">
        <v>0</v>
      </c>
      <c r="R1140" t="n">
        <v>0</v>
      </c>
      <c r="S1140" t="n">
        <v>0</v>
      </c>
      <c r="T1140" t="n">
        <v>0</v>
      </c>
      <c r="V1140" t="n">
        <v>0</v>
      </c>
    </row>
    <row r="1141">
      <c r="A1141">
        <f>Skills!A28</f>
        <v/>
      </c>
      <c r="B1141">
        <f>Skills!B28</f>
        <v/>
      </c>
      <c r="C1141">
        <f>Inputs!$B$3&gt;=120</f>
        <v/>
      </c>
      <c r="D1141">
        <f>IF(Skills!C28=1,60+Inputs!$B$25+Inputs!$B$29,IF(Skills!C28=2,90+Inputs!$B$26+Inputs!$B$29,IF(Skills!C28=3,120+Inputs!$B$27+Inputs!$B$29,MAX(0,(Inputs!$B$3-100)*3)+Inputs!$B$28+Inputs!$B$29)))</f>
        <v/>
      </c>
      <c r="E1141">
        <f>INDEX(FactorTable!$B$2:$Y$301, MATCH(ROUND(MIN(300,MAX(1,D1141)),0), FactorTable!$A$2:$A$301,0), Skills!M28+1)</f>
        <v/>
      </c>
      <c r="F1141">
        <f>IF(Skills!N28=TRUE,(Skills!L28/10)*(E1141/1000),Skills!L28/10)+Skills!O28</f>
        <v/>
      </c>
      <c r="G1141">
        <f>Skills!G28*IF(Skills!H28&gt;0,Skills!I28/Skills!H28,1)</f>
        <v/>
      </c>
      <c r="H1141">
        <f>1-(1-Skills!J28/100)^Skills!K28</f>
        <v/>
      </c>
      <c r="I1141" t="inlineStr">
        <is>
          <t>1</t>
        </is>
      </c>
      <c r="J1141" t="inlineStr"/>
      <c r="K1141" t="inlineStr"/>
      <c r="L1141" t="inlineStr"/>
      <c r="M1141" t="inlineStr"/>
      <c r="N1141" t="inlineStr"/>
      <c r="O1141">
        <f>(1-Summary!$B$55)*T1141+Summary!$B$55*V1141</f>
        <v/>
      </c>
      <c r="P1141">
        <f>IF(B1155=0,0,O1141/B1155)</f>
        <v/>
      </c>
      <c r="Q1141" t="n">
        <v>0</v>
      </c>
      <c r="R1141" t="n">
        <v>0</v>
      </c>
      <c r="S1141" t="n">
        <v>0</v>
      </c>
      <c r="T1141" t="n">
        <v>0</v>
      </c>
      <c r="V1141" t="n">
        <v>0</v>
      </c>
    </row>
    <row r="1142">
      <c r="A1142">
        <f>Skills!A29</f>
        <v/>
      </c>
      <c r="B1142">
        <f>Skills!B29</f>
        <v/>
      </c>
      <c r="C1142">
        <f>Inputs!$B$3&gt;=45</f>
        <v/>
      </c>
      <c r="D1142">
        <f>IF(Skills!C29=1,60+Inputs!$B$25+Inputs!$B$29,IF(Skills!C29=2,90+Inputs!$B$26+Inputs!$B$29,IF(Skills!C29=3,120+Inputs!$B$27+Inputs!$B$29,MAX(0,(Inputs!$B$3-100)*3)+Inputs!$B$28+Inputs!$B$29)))</f>
        <v/>
      </c>
      <c r="E1142">
        <f>INDEX(FactorTable!$B$2:$Y$301, MATCH(ROUND(MIN(300,MAX(1,D1142)),0), FactorTable!$A$2:$A$301,0), Skills!M29+1)</f>
        <v/>
      </c>
      <c r="F1142">
        <f>IF(Skills!N29=TRUE,(Skills!L29/10)*(E1142/1000),Skills!L29/10)+Skills!O29</f>
        <v/>
      </c>
      <c r="G1142">
        <f>Skills!G29*IF(Skills!H29&gt;0,Skills!I29/Skills!H29,1)</f>
        <v/>
      </c>
      <c r="H1142">
        <f>1-(1-Skills!J29/100)^Skills!K29</f>
        <v/>
      </c>
      <c r="I1142" t="inlineStr">
        <is>
          <t>1</t>
        </is>
      </c>
      <c r="J1142" t="inlineStr"/>
      <c r="K1142" t="inlineStr"/>
      <c r="L1142" t="inlineStr"/>
      <c r="M1142" t="inlineStr"/>
      <c r="N1142" t="inlineStr"/>
      <c r="O1142">
        <f>(1-Summary!$B$55)*T1142+Summary!$B$55*V1142</f>
        <v/>
      </c>
      <c r="P1142">
        <f>IF(B1155=0,0,O1142/B1155)</f>
        <v/>
      </c>
      <c r="Q1142" t="n">
        <v>0</v>
      </c>
      <c r="R1142" t="n">
        <v>0</v>
      </c>
      <c r="S1142" t="n">
        <v>0</v>
      </c>
      <c r="T1142" t="n">
        <v>0</v>
      </c>
      <c r="V1142" t="n">
        <v>0</v>
      </c>
    </row>
    <row r="1144">
      <c r="A1144" t="inlineStr">
        <is>
          <t>Attack% Bucket Multiplier</t>
        </is>
      </c>
      <c r="B1144">
        <f>(1+(((C1126=TRUE)*F1126)+((C1127=TRUE)*IF(Inputs!$B$38="pvp",F1127,(1-Summary!$B$55)*(F1127)+Summary!$B$55*(0)))+((C1128=TRUE)*F1128*IF(AND(Inputs!$B$38&lt;&gt;"pvp",Inputs!$B$43&gt;0),(((R1128-1)*(Skills!T15*(1+Inputs!$B$34/100))+MIN((Skills!T15*(1+Inputs!$B$34/100)),MAX(0,Inputs!$B$43-((R1128-1)*Skills!D15))))/Inputs!$B$43),IF(Inputs!$B$38="pvp",MIN((Skills!T15*(1+Inputs!$B$34/100)),15)/15,(Skills!T15*(1+Inputs!$B$34/100))/Skills!D15)))+((C1125=TRUE)*F1125)+((C1142=TRUE)*(F1142-Calc!F29)))/100)</f>
        <v/>
      </c>
    </row>
    <row r="1145">
      <c r="A1145" t="inlineStr">
        <is>
          <t>Global Crit Rate Bonus %</t>
        </is>
      </c>
      <c r="B1145">
        <f>(C1129=TRUE)*20*IF(AND(Inputs!$B$38&lt;&gt;"pvp",Inputs!$B$43&gt;0),(((R1129-1)*(Skills!T16*(1+Inputs!$B$34/100))+MIN((Skills!T16*(1+Inputs!$B$34/100)),MAX(0,Inputs!$B$43-((R1129-1)*Skills!D16))))/Inputs!$B$43),IF(Inputs!$B$38="pvp",MIN((Skills!T16*(1+Inputs!$B$34/100)),15)/15,(Skills!T16*(1+Inputs!$B$34/100))/Skills!D16))</f>
        <v/>
      </c>
    </row>
    <row r="1146">
      <c r="A1146" t="inlineStr">
        <is>
          <t>Attack Speed Buff Bonus %</t>
        </is>
      </c>
      <c r="B1146">
        <f>((C1131=TRUE)*F1131*IF(AND(Inputs!$B$38&lt;&gt;"pvp",Inputs!$B$43&gt;0),(((R1131-1)*(Skills!T18*(1+Inputs!$B$34/100))+MIN((Skills!T18*(1+Inputs!$B$34/100)),MAX(0,Inputs!$B$43-((R1131-1)*Skills!D18))))/Inputs!$B$43),IF(Inputs!$B$38="pvp",MIN((Skills!T18*(1+Inputs!$B$34/100)),15)/15,(Skills!T18*(1+Inputs!$B$34/100))/Skills!D18)))</f>
        <v/>
      </c>
    </row>
    <row r="1147">
      <c r="A1147" t="inlineStr">
        <is>
          <t>Actions Per Second</t>
        </is>
      </c>
      <c r="B1147">
        <f>1+MIN(150,150*(1-(1-(Inputs!$B$11+((C1133=TRUE)*(F1133-Calc!F20))+((C1134=TRUE)*(F1134-Calc!F21)))/150)*(1-B1146/150)))/100</f>
        <v/>
      </c>
    </row>
    <row r="1148">
      <c r="A1148" t="inlineStr">
        <is>
          <t>Skill + Buff Cast Rate</t>
        </is>
      </c>
      <c r="B1148">
        <f>IF(AND(Inputs!$B$38&lt;&gt;"pvp",Inputs!$B$43&gt;0),SUMPRODUCT((Skills!E2:E29=TRUE)*(C1115:C1142=TRUE)*R1115:R1142*Skills!F2:F29)/Inputs!$B$43,SUMPRODUCT((Skills!E2:E29=TRUE)*(C1115:C1142=TRUE)*Q1115:Q1142*Skills!F2:F29))</f>
        <v/>
      </c>
    </row>
    <row r="1149">
      <c r="A1149" t="inlineStr">
        <is>
          <t>Empowered Piercing Arrow Casts Per Second</t>
        </is>
      </c>
      <c r="B1149">
        <f>MAX(0,B1147-B1148)</f>
        <v/>
      </c>
    </row>
    <row r="1150">
      <c r="A1150" t="inlineStr">
        <is>
          <t>Global Critical Damage Bonus % (Sharp Eyes)</t>
        </is>
      </c>
      <c r="B1150">
        <f>(C1129=TRUE)*F1129*IF(AND(Inputs!$B$38&lt;&gt;"pvp",Inputs!$B$43&gt;0),(((R1129-1)*(Skills!T16*(1+Inputs!$B$34/100))+MIN((Skills!T16*(1+Inputs!$B$34/100)),MAX(0,Inputs!$B$43-((R1129-1)*Skills!D16))))/Inputs!$B$43),IF(Inputs!$B$38="pvp",MIN((Skills!T16*(1+Inputs!$B$34/100)),15)/15,(Skills!T16*(1+Inputs!$B$34/100))/Skills!D16))</f>
        <v/>
      </c>
    </row>
    <row r="1151">
      <c r="A1151" t="inlineStr">
        <is>
          <t>Global Final Damage Bonus % (Mortal Blow + Last Man Standing conditional half)</t>
        </is>
      </c>
      <c r="B1151">
        <f>(C1130=TRUE)*F1130+((C1139=TRUE)*IF(Inputs!$B$38="pvp",F1139,(1-Summary!$B$55)*(F1139)+Summary!$B$55*(0)))</f>
        <v/>
      </c>
    </row>
    <row r="1152">
      <c r="A1152" t="inlineStr">
        <is>
          <t>Buff-Casting Startup Delay (s, fixed-duration only)</t>
        </is>
      </c>
      <c r="B1152">
        <f>IF(AND(Inputs!$B$38&lt;&gt;"pvp",Inputs!$B$43&gt;0),SUMPRODUCT((Skills!T2:T29&gt;0)*(Skills!E2:E29=TRUE)*(C1115:C1142=TRUE))/B1147,0)</f>
        <v/>
      </c>
    </row>
    <row r="1153">
      <c r="A1153" t="inlineStr">
        <is>
          <t>Boss-Only Total DPS (this block's swept value)</t>
        </is>
      </c>
      <c r="B1153">
        <f>SUM(T1115:T1142)</f>
        <v/>
      </c>
    </row>
    <row r="1154">
      <c r="A1154" t="inlineStr">
        <is>
          <t>Normal-Only Total DPS (this block's swept value)</t>
        </is>
      </c>
      <c r="B1154">
        <f>SUM(V1115:V1142)</f>
        <v/>
      </c>
    </row>
    <row r="1155">
      <c r="A1155" s="5" t="inlineStr">
        <is>
          <t>TOTAL DPS</t>
        </is>
      </c>
      <c r="B1155" s="5">
        <f>SUM(O1115:O1142)</f>
        <v/>
      </c>
    </row>
    <row r="1158">
      <c r="A1158" s="5" t="inlineStr">
        <is>
          <t>Stat: Buff Duration Increase %</t>
        </is>
      </c>
    </row>
    <row r="1159">
      <c r="A1159" s="9" t="inlineStr">
        <is>
          <t>Key</t>
        </is>
      </c>
      <c r="B1159" s="9" t="inlineStr">
        <is>
          <t>Name</t>
        </is>
      </c>
      <c r="C1159" s="9" t="inlineStr">
        <is>
          <t>Unlocked</t>
        </is>
      </c>
      <c r="D1159" s="9" t="inlineStr">
        <is>
          <t>InputLevel</t>
        </is>
      </c>
      <c r="E1159" s="9" t="inlineStr">
        <is>
          <t>Factor</t>
        </is>
      </c>
      <c r="F1159" s="9" t="inlineStr">
        <is>
          <t>CoefficientPercent</t>
        </is>
      </c>
      <c r="G1159" s="9" t="inlineStr">
        <is>
          <t>EffectiveHits</t>
        </is>
      </c>
      <c r="H1159" s="9" t="inlineStr">
        <is>
          <t>ProcProbability</t>
        </is>
      </c>
      <c r="I1159" s="9" t="inlineStr">
        <is>
          <t>MapleHeroMultiplier</t>
        </is>
      </c>
      <c r="J1159" s="9" t="inlineStr">
        <is>
          <t>BaseDamage</t>
        </is>
      </c>
      <c r="K1159" s="9" t="inlineStr">
        <is>
          <t>BaseHitDamage</t>
        </is>
      </c>
      <c r="L1159" s="9" t="inlineStr">
        <is>
          <t>NonCritAvg</t>
        </is>
      </c>
      <c r="M1159" s="9" t="inlineStr">
        <is>
          <t>CritAvg</t>
        </is>
      </c>
      <c r="N1159" s="9" t="inlineStr">
        <is>
          <t>ExpectedDamage(perHit)</t>
        </is>
      </c>
      <c r="O1159" s="9" t="inlineStr">
        <is>
          <t>DPS</t>
        </is>
      </c>
      <c r="P1159" s="9" t="inlineStr">
        <is>
          <t>% of Total</t>
        </is>
      </c>
      <c r="Q1159" s="9" t="inlineStr">
        <is>
          <t>InvCooldown</t>
        </is>
      </c>
      <c r="R1159" s="9" t="inlineStr">
        <is>
          <t>CastsInFight</t>
        </is>
      </c>
      <c r="S1159" s="9" t="inlineStr">
        <is>
          <t>HitRate(perSec)</t>
        </is>
      </c>
      <c r="U1159" t="inlineStr">
        <is>
          <t>helpers</t>
        </is>
      </c>
    </row>
    <row r="1160">
      <c r="A1160">
        <f>Skills!A2</f>
        <v/>
      </c>
      <c r="B1160">
        <f>Skills!B2</f>
        <v/>
      </c>
      <c r="C1160">
        <f>Inputs!$B$3&gt;=100</f>
        <v/>
      </c>
      <c r="D1160" t="inlineStr"/>
      <c r="E1160" t="inlineStr"/>
      <c r="F1160">
        <f>U1162+Skills!O2</f>
        <v/>
      </c>
      <c r="G1160">
        <f>Skills!G2*IF(Skills!H2&gt;0,Skills!I2/Skills!H2,1)</f>
        <v/>
      </c>
      <c r="H1160">
        <f>1-(1-Skills!J2/100)^Skills!K2</f>
        <v/>
      </c>
      <c r="I1160" t="inlineStr">
        <is>
          <t>1</t>
        </is>
      </c>
      <c r="J1160">
        <f>((Inputs!$B$6*(1+Inputs!$B$7/100))+(((Inputs!$B$12*(1+Inputs!$B$13/100))-(Inputs!$B$12*(1+Inputs!$B$13/100)))+0.25*(Inputs!$B$14-Inputs!$B$14))*(1+Inputs!$B$7/100))*(F1160/100)</f>
        <v/>
      </c>
      <c r="K1160">
        <f>J1160*(1+((Inputs!$B$12*(1+Inputs!$B$13/100))*0.01+Inputs!$B$14*0.0025)/100)*(1+Inputs!$B$15/100)*(1+Inputs!$B$16/100)*(5000/(6000+Inputs!$B$42*(1-(Inputs!$B$19+0)/100)))*(1+(Inputs!$B$24+((C1182=TRUE)*(F1182-Calc!F24))+((C1183=TRUE)*(F1183-Calc!F25))+B1196)/100)*(1+(IF(Skills!A2="EMPOWERED_PIERCING_ARROW",Inputs!$B$17+((C1180=TRUE)*(F1180-Calc!F22)),Inputs!$B$18+((C1185=TRUE)*(F1185-Calc!F27))))/100)*((1+(((C1171=TRUE)*F1171)+((C1172=TRUE)*IF(Inputs!$B$38="pvp",F1172,(1-Summary!$B$55)*(F1172)+Summary!$B$55*(0)))+((C1173=TRUE)*F1173*IF(AND(Inputs!$B$38&lt;&gt;"pvp",Inputs!$B$43&gt;0),(((R1173-1)*(Skills!T15*(1+(Inputs!$B$34+1)/100))+MIN((Skills!T15*(1+(Inputs!$B$34+1)/100)),MAX(0,Inputs!$B$43-((R1173-1)*Skills!D15))))/Inputs!$B$43),IF(Inputs!$B$38="pvp",MIN((Skills!T15*(1+(Inputs!$B$34+1)/100)),15)/15,(Skills!T15*(1+(Inputs!$B$34+1)/100))/Skills!D15)))+((C1170=TRUE)*F1170)+((C1187=TRUE)*(F1187-Calc!F29)))/100)*I1160)</f>
        <v/>
      </c>
      <c r="L1160">
        <f>K1160*(MIN(Inputs!$B$22+((C1181=TRUE)*(F1181-Calc!F23)),Inputs!$B$23+((C1186=TRUE)*(F1186-Calc!F28)))/100+(Inputs!$B$23+((C1186=TRUE)*(F1186-Calc!F28)))/100)/2</f>
        <v/>
      </c>
      <c r="M1160">
        <f>L1160*(1+(Inputs!$B$10+0+B1195)/100)</f>
        <v/>
      </c>
      <c r="N1160">
        <f>L1160*(1-MIN((Inputs!$B$9+((C1177=TRUE)*(F1177-Calc!F19))+B1190),100)/100)+M1160*(MIN((Inputs!$B$9+((C1177=TRUE)*(F1177-Calc!F19))+B1190),100)/100)</f>
        <v/>
      </c>
      <c r="O1160">
        <f>(1-Summary!$B$55)*T1160+Summary!$B$55*V1160</f>
        <v/>
      </c>
      <c r="P1160">
        <f>IF(B1200=0,0,O1160/B1200)</f>
        <v/>
      </c>
      <c r="Q1160" t="n">
        <v>0</v>
      </c>
      <c r="R1160" t="n">
        <v>0</v>
      </c>
      <c r="S1160">
        <f>IFERROR((Skills!G2*N1160*B1194)/N1160*IF(Inputs!$B$38="pvp",1,(1-Summary!$B$55)*1+Summary!$B$55*(MIN((6+Inputs!$B$33),Inputs!$B$37))),0)</f>
        <v/>
      </c>
      <c r="T1160">
        <f>IF(C1160,(Skills!G2*N1160*B1194)*IF(Inputs!$B$38="pvp",1,1+(Inputs!$B$20+0+Skills!P2)/100),0)</f>
        <v/>
      </c>
      <c r="U1160">
        <f>MAX(0,(Inputs!$B$3-100)*3)+Inputs!$B$28+Inputs!$B$29</f>
        <v/>
      </c>
      <c r="V1160">
        <f>IF(C1160,(Skills!G2*N1160*B1194)*IF(Inputs!$B$38="pvp",1,(1+(Inputs!$B$21+Skills!Q2)/100)*(MIN((6+Inputs!$B$33),Inputs!$B$37))),0)</f>
        <v/>
      </c>
    </row>
    <row r="1161">
      <c r="A1161">
        <f>Skills!A3</f>
        <v/>
      </c>
      <c r="B1161">
        <f>Skills!B3</f>
        <v/>
      </c>
      <c r="C1161">
        <f>Inputs!$B$3&gt;=50</f>
        <v/>
      </c>
      <c r="D1161">
        <f>IF(Skills!C3=1,60+Inputs!$B$25+Inputs!$B$29,IF(Skills!C3=2,90+Inputs!$B$26+Inputs!$B$29,IF(Skills!C3=3,120+Inputs!$B$27+Inputs!$B$29,MAX(0,(Inputs!$B$3-100)*3)+Inputs!$B$28+Inputs!$B$29)))</f>
        <v/>
      </c>
      <c r="E1161">
        <f>INDEX(FactorTable!$B$2:$Y$301, MATCH(ROUND(MIN(300,MAX(1,D1161)),0), FactorTable!$A$2:$A$301,0), Skills!M3+1)</f>
        <v/>
      </c>
      <c r="F1161">
        <f>IF(Skills!N3=TRUE,(Skills!L3/10)*(E1161/1000),Skills!L3/10)+Skills!O3</f>
        <v/>
      </c>
      <c r="G1161" t="inlineStr"/>
      <c r="H1161" t="inlineStr"/>
      <c r="I1161" t="inlineStr">
        <is>
          <t>1</t>
        </is>
      </c>
      <c r="J1161" t="inlineStr"/>
      <c r="K1161" t="inlineStr"/>
      <c r="L1161" t="inlineStr"/>
      <c r="M1161" t="inlineStr"/>
      <c r="N1161" t="inlineStr"/>
      <c r="O1161" t="inlineStr"/>
      <c r="P1161" t="inlineStr"/>
      <c r="Q1161" t="inlineStr"/>
      <c r="R1161" t="inlineStr"/>
      <c r="S1161" t="inlineStr"/>
      <c r="T1161" t="inlineStr"/>
      <c r="U1161">
        <f>INDEX(FactorTable!$B$2:$Y$301, MATCH(ROUND(MIN(300,MAX(1,U1160)),0), FactorTable!$A$2:$A$301,0), 22)</f>
        <v/>
      </c>
      <c r="V1161" t="inlineStr"/>
    </row>
    <row r="1162">
      <c r="A1162">
        <f>Skills!A4</f>
        <v/>
      </c>
      <c r="B1162">
        <f>Skills!B4</f>
        <v/>
      </c>
      <c r="C1162">
        <f>Inputs!$B$3&gt;=105</f>
        <v/>
      </c>
      <c r="D1162">
        <f>IF(Skills!C4=1,60+Inputs!$B$25+Inputs!$B$29,IF(Skills!C4=2,90+Inputs!$B$26+Inputs!$B$29,IF(Skills!C4=3,120+Inputs!$B$27+Inputs!$B$29,MAX(0,(Inputs!$B$3-100)*3)+Inputs!$B$28+Inputs!$B$29)))</f>
        <v/>
      </c>
      <c r="E1162">
        <f>INDEX(FactorTable!$B$2:$Y$301, MATCH(ROUND(MIN(300,MAX(1,D1162)),0), FactorTable!$A$2:$A$301,0), Skills!M4+1)</f>
        <v/>
      </c>
      <c r="F1162">
        <f>IF(Skills!N4=TRUE,(Skills!L4/10)*(E1162/1000),Skills!L4/10)+Skills!O4</f>
        <v/>
      </c>
      <c r="G1162" t="inlineStr"/>
      <c r="H1162" t="inlineStr"/>
      <c r="I1162" t="inlineStr">
        <is>
          <t>1</t>
        </is>
      </c>
      <c r="J1162" t="inlineStr"/>
      <c r="K1162" t="inlineStr"/>
      <c r="L1162" t="inlineStr"/>
      <c r="M1162" t="inlineStr"/>
      <c r="N1162" t="inlineStr"/>
      <c r="O1162" t="inlineStr"/>
      <c r="P1162" t="inlineStr"/>
      <c r="Q1162" t="inlineStr"/>
      <c r="R1162" t="inlineStr"/>
      <c r="S1162" t="inlineStr"/>
      <c r="T1162" t="inlineStr"/>
      <c r="U1162">
        <f>290*U1161/1000</f>
        <v/>
      </c>
      <c r="V1162" t="inlineStr"/>
    </row>
    <row r="1163">
      <c r="A1163">
        <f>Skills!A5</f>
        <v/>
      </c>
      <c r="B1163">
        <f>Skills!B5</f>
        <v/>
      </c>
      <c r="C1163">
        <f>Inputs!$B$3&gt;=35</f>
        <v/>
      </c>
      <c r="D1163">
        <f>IF(Skills!C5=1,60+Inputs!$B$25+Inputs!$B$29,IF(Skills!C5=2,90+Inputs!$B$26+Inputs!$B$29,IF(Skills!C5=3,120+Inputs!$B$27+Inputs!$B$29,MAX(0,(Inputs!$B$3-100)*3)+Inputs!$B$28+Inputs!$B$29)))</f>
        <v/>
      </c>
      <c r="E1163">
        <f>INDEX(FactorTable!$B$2:$Y$301, MATCH(ROUND(MIN(300,MAX(1,D1163)),0), FactorTable!$A$2:$A$301,0), Skills!M5+1)</f>
        <v/>
      </c>
      <c r="F1163">
        <f>IF(Skills!N5=TRUE,(Skills!L5/10)*(E1163/1000),Skills!L5/10)+Skills!O5</f>
        <v/>
      </c>
      <c r="G1163">
        <f>Skills!G5*IF(Skills!H5&gt;0,Skills!I5/Skills!H5,1)</f>
        <v/>
      </c>
      <c r="H1163">
        <f>1-(1-Skills!J5/100)^Skills!K5</f>
        <v/>
      </c>
      <c r="I1163" t="inlineStr">
        <is>
          <t>1</t>
        </is>
      </c>
      <c r="J1163">
        <f>((Inputs!$B$6*(1+Inputs!$B$7/100))+(((Inputs!$B$12*(1+Inputs!$B$13/100))-(Inputs!$B$12*(1+Inputs!$B$13/100)))+0.25*(Inputs!$B$14-Inputs!$B$14))*(1+Inputs!$B$7/100))*(F1163/100)</f>
        <v/>
      </c>
      <c r="K1163">
        <f>J1163*(1+((Inputs!$B$12*(1+Inputs!$B$13/100))*0.01+Inputs!$B$14*0.0025)/100)*(1+Inputs!$B$15/100)*(1+Inputs!$B$16/100)*(5000/(6000+Inputs!$B$42*(1-(Inputs!$B$19+0)/100)))*(1+(Inputs!$B$24+((C1182=TRUE)*(F1182-Calc!F24))+((C1183=TRUE)*(F1183-Calc!F25))+B1196)/100)*(1+4.0*IF(C1166=TRUE,F1166,0)/100)*(1+(IF(Skills!A5="EMPOWERED_PIERCING_ARROW",Inputs!$B$17+((C1180=TRUE)*(F1180-Calc!F22)),Inputs!$B$18+((C1185=TRUE)*(F1185-Calc!F27))))/100)*((1+(((C1171=TRUE)*F1171)+((C1172=TRUE)*IF(Inputs!$B$38="pvp",F1172,(1-Summary!$B$55)*(F1172)+Summary!$B$55*(0)))+((C1173=TRUE)*F1173*IF(AND(Inputs!$B$38&lt;&gt;"pvp",Inputs!$B$43&gt;0),(((R1173-1)*(Skills!T15*(1+(Inputs!$B$34+1)/100))+MIN((Skills!T15*(1+(Inputs!$B$34+1)/100)),MAX(0,Inputs!$B$43-((R1173-1)*Skills!D15))))/Inputs!$B$43),IF(Inputs!$B$38="pvp",MIN((Skills!T15*(1+(Inputs!$B$34+1)/100)),15)/15,(Skills!T15*(1+(Inputs!$B$34+1)/100))/Skills!D15)))+((C1170=TRUE)*F1170)+((C1187=TRUE)*(F1187-Calc!F29)))/100)*I1163)</f>
        <v/>
      </c>
      <c r="L1163">
        <f>K1163*(MIN(Inputs!$B$22+((C1181=TRUE)*(F1181-Calc!F23)),Inputs!$B$23+((C1186=TRUE)*(F1186-Calc!F28)))/100+(Inputs!$B$23+((C1186=TRUE)*(F1186-Calc!F28)))/100)/2</f>
        <v/>
      </c>
      <c r="M1163">
        <f>L1163*(1+(Inputs!$B$10+0+B1195)/100)</f>
        <v/>
      </c>
      <c r="N1163">
        <f>L1163*(1-MIN((Inputs!$B$9+((C1177=TRUE)*(F1177-Calc!F19))+B1190),100)/100)+M1163*(MIN((Inputs!$B$9+((C1177=TRUE)*(F1177-Calc!F19))+B1190),100)/100)</f>
        <v/>
      </c>
      <c r="O1163">
        <f>(1-Summary!$B$55)*T1163+Summary!$B$55*V1163</f>
        <v/>
      </c>
      <c r="P1163">
        <f>IF(B1200=0,0,O1163/B1200)</f>
        <v/>
      </c>
      <c r="Q1163">
        <f>IFERROR(1/IF(Inputs!$B$38="pvp",15,MAX(0.1,Skills!D5-IF(Skills!E5=TRUE,Inputs!$B$32,0))),0)</f>
        <v/>
      </c>
      <c r="R1163">
        <f>IF(AND(Inputs!$B$38&lt;&gt;"pvp",Inputs!$B$43&gt;0),IF(MAX(0,Inputs!$B$43-B1197)&lt;=0,0,(INT(MAX(0,Inputs!$B$43-B1197)/IF(Inputs!$B$38="pvp",15,MAX(0.1,Skills!D5-IF(Skills!E5=TRUE,Inputs!$B$32,0))))+1)),0)</f>
        <v/>
      </c>
      <c r="S1163">
        <f>IFERROR((H1163*N1163*IF(AND(Inputs!$B$38&lt;&gt;"pvp",Inputs!$B$43&gt;0),((Skills!G5*((R1163-1)*IF(Skills!H5&gt;0,Skills!I5/Skills!H5,1)+IF(Skills!H5&gt;0,MIN(Skills!I5,MAX(0,MAX(0,Inputs!$B$43-B1197)-((R1163-1)*IF(Inputs!$B$38="pvp",15,MAX(0.1,Skills!D5-IF(Skills!E5=TRUE,Inputs!$B$32,0))))))/Skills!H5,1)))/Inputs!$B$43),G1163*Q1163))/N1163*IF(Inputs!$B$38="pvp",1,(1-Summary!$B$55)*1+Summary!$B$55*(MIN(Skills!R5,Inputs!$B$37))),0)</f>
        <v/>
      </c>
      <c r="T1163">
        <f>IF(C1163,(H1163*N1163*IF(AND(Inputs!$B$38&lt;&gt;"pvp",Inputs!$B$43&gt;0),((Skills!G5*((R1163-1)*IF(Skills!H5&gt;0,Skills!I5/Skills!H5,1)+IF(Skills!H5&gt;0,MIN(Skills!I5,MAX(0,MAX(0,Inputs!$B$43-B1197)-((R1163-1)*IF(Inputs!$B$38="pvp",15,MAX(0.1,Skills!D5-IF(Skills!E5=TRUE,Inputs!$B$32,0))))))/Skills!H5,1)))/Inputs!$B$43),G1163*Q1163))*IF(Inputs!$B$38="pvp",1,1+(Inputs!$B$20+0+Skills!P5)/100),0)</f>
        <v/>
      </c>
      <c r="V1163">
        <f>IF(C1163,(H1163*N1163*IF(AND(Inputs!$B$38&lt;&gt;"pvp",Inputs!$B$43&gt;0),((Skills!G5*((R1163-1)*IF(Skills!H5&gt;0,Skills!I5/Skills!H5,1)+IF(Skills!H5&gt;0,MIN(Skills!I5,MAX(0,MAX(0,Inputs!$B$43-B1197)-((R1163-1)*IF(Inputs!$B$38="pvp",15,MAX(0.1,Skills!D5-IF(Skills!E5=TRUE,Inputs!$B$32,0))))))/Skills!H5,1)))/Inputs!$B$43),G1163*Q1163))*IF(Inputs!$B$38="pvp",1,(1+(Inputs!$B$21+Skills!Q5)/100)*(MIN(Skills!R5,Inputs!$B$37))),0)</f>
        <v/>
      </c>
    </row>
    <row r="1164">
      <c r="A1164">
        <f>Skills!A6</f>
        <v/>
      </c>
      <c r="B1164">
        <f>Skills!B6</f>
        <v/>
      </c>
      <c r="C1164">
        <f>Inputs!$B$3&gt;=63</f>
        <v/>
      </c>
      <c r="D1164">
        <f>IF(Skills!C6=1,60+Inputs!$B$25+Inputs!$B$29,IF(Skills!C6=2,90+Inputs!$B$26+Inputs!$B$29,IF(Skills!C6=3,120+Inputs!$B$27+Inputs!$B$29,MAX(0,(Inputs!$B$3-100)*3)+Inputs!$B$28+Inputs!$B$29)))</f>
        <v/>
      </c>
      <c r="E1164">
        <f>INDEX(FactorTable!$B$2:$Y$301, MATCH(ROUND(MIN(300,MAX(1,D1164)),0), FactorTable!$A$2:$A$301,0), Skills!M6+1)</f>
        <v/>
      </c>
      <c r="F1164">
        <f>IF(Skills!N6=TRUE,(Skills!L6/10)*(E1164/1000),Skills!L6/10)+Skills!O6</f>
        <v/>
      </c>
      <c r="G1164">
        <f>Skills!G6*IF(Skills!H6&gt;0,Skills!I6/Skills!H6,1)</f>
        <v/>
      </c>
      <c r="H1164">
        <f>1-(1-Skills!J6/100)^Skills!K6</f>
        <v/>
      </c>
      <c r="I1164" t="inlineStr">
        <is>
          <t>1</t>
        </is>
      </c>
      <c r="J1164">
        <f>((Inputs!$B$6*(1+Inputs!$B$7/100))+(((Inputs!$B$12*(1+Inputs!$B$13/100))-(Inputs!$B$12*(1+Inputs!$B$13/100)))+0.25*(Inputs!$B$14-Inputs!$B$14))*(1+Inputs!$B$7/100))*(F1164/100)</f>
        <v/>
      </c>
      <c r="K1164">
        <f>J1164*(1+((Inputs!$B$12*(1+Inputs!$B$13/100))*0.01+Inputs!$B$14*0.0025)/100)*(1+Inputs!$B$15/100)*(1+Inputs!$B$16/100)*(5000/(6000+Inputs!$B$42*(1-(Inputs!$B$19+0)/100)))*(1+(Inputs!$B$24+((C1182=TRUE)*(F1182-Calc!F24))+((C1183=TRUE)*(F1183-Calc!F25))+B1196)/100)*(1+1.0*IF(C1166=TRUE,F1166,0)/100)*(1+(IF(Skills!A6="EMPOWERED_PIERCING_ARROW",Inputs!$B$17+((C1180=TRUE)*(F1180-Calc!F22)),Inputs!$B$18+((C1185=TRUE)*(F1185-Calc!F27))))/100)*((1+(((C1171=TRUE)*F1171)+((C1172=TRUE)*IF(Inputs!$B$38="pvp",F1172,(1-Summary!$B$55)*(F1172)+Summary!$B$55*(0)))+((C1173=TRUE)*F1173*IF(AND(Inputs!$B$38&lt;&gt;"pvp",Inputs!$B$43&gt;0),(((R1173-1)*(Skills!T15*(1+(Inputs!$B$34+1)/100))+MIN((Skills!T15*(1+(Inputs!$B$34+1)/100)),MAX(0,Inputs!$B$43-((R1173-1)*Skills!D15))))/Inputs!$B$43),IF(Inputs!$B$38="pvp",MIN((Skills!T15*(1+(Inputs!$B$34+1)/100)),15)/15,(Skills!T15*(1+(Inputs!$B$34+1)/100))/Skills!D15)))+((C1170=TRUE)*F1170)+((C1187=TRUE)*(F1187-Calc!F29)))/100)*I1164)</f>
        <v/>
      </c>
      <c r="L1164">
        <f>K1164*(MIN(Inputs!$B$22+((C1181=TRUE)*(F1181-Calc!F23)),Inputs!$B$23+((C1186=TRUE)*(F1186-Calc!F28)))/100+(Inputs!$B$23+((C1186=TRUE)*(F1186-Calc!F28)))/100)/2</f>
        <v/>
      </c>
      <c r="M1164">
        <f>L1164*(1+(Inputs!$B$10+0+B1195)/100)</f>
        <v/>
      </c>
      <c r="N1164">
        <f>L1164*(1-MIN((Inputs!$B$9+((C1177=TRUE)*(F1177-Calc!F19))+B1190),100)/100)+M1164*(MIN((Inputs!$B$9+((C1177=TRUE)*(F1177-Calc!F19))+B1190),100)/100)</f>
        <v/>
      </c>
      <c r="O1164">
        <f>(1-Summary!$B$55)*T1164+Summary!$B$55*V1164</f>
        <v/>
      </c>
      <c r="P1164">
        <f>IF(B1200=0,0,O1164/B1200)</f>
        <v/>
      </c>
      <c r="Q1164">
        <f>IFERROR(1/IF(Inputs!$B$38="pvp",15,MAX(0.1,Skills!D6-IF(Skills!E6=TRUE,Inputs!$B$32,0))),0)</f>
        <v/>
      </c>
      <c r="R1164">
        <f>IF(AND(Inputs!$B$38&lt;&gt;"pvp",Inputs!$B$43&gt;0),IF(MAX(0,Inputs!$B$43-B1197)&lt;=0,0,(INT(MAX(0,Inputs!$B$43-B1197)/IF(Inputs!$B$38="pvp",15,MAX(0.1,Skills!D6-IF(Skills!E6=TRUE,Inputs!$B$32,0))))+1)),0)</f>
        <v/>
      </c>
      <c r="S1164">
        <f>IFERROR((H1164*N1164*IF(AND(Inputs!$B$38&lt;&gt;"pvp",Inputs!$B$43&gt;0),((Skills!G6*((R1164-1)*IF(Skills!H6&gt;0,Skills!I6/Skills!H6,1)+IF(Skills!H6&gt;0,MIN(Skills!I6,MAX(0,MAX(0,Inputs!$B$43-B1197)-((R1164-1)*IF(Inputs!$B$38="pvp",15,MAX(0.1,Skills!D6-IF(Skills!E6=TRUE,Inputs!$B$32,0))))))/Skills!H6,1)))/Inputs!$B$43),G1164*Q1164))/N1164*IF(Inputs!$B$38="pvp",1,(1-Summary!$B$55)*1+Summary!$B$55*(MIN(Skills!R6,Inputs!$B$37))),0)</f>
        <v/>
      </c>
      <c r="T1164">
        <f>IF(C1164,(H1164*N1164*IF(AND(Inputs!$B$38&lt;&gt;"pvp",Inputs!$B$43&gt;0),((Skills!G6*((R1164-1)*IF(Skills!H6&gt;0,Skills!I6/Skills!H6,1)+IF(Skills!H6&gt;0,MIN(Skills!I6,MAX(0,MAX(0,Inputs!$B$43-B1197)-((R1164-1)*IF(Inputs!$B$38="pvp",15,MAX(0.1,Skills!D6-IF(Skills!E6=TRUE,Inputs!$B$32,0))))))/Skills!H6,1)))/Inputs!$B$43),G1164*Q1164))*IF(Inputs!$B$38="pvp",1,1+(Inputs!$B$20+0+Skills!P6)/100),0)</f>
        <v/>
      </c>
      <c r="V1164">
        <f>IF(C1164,(H1164*N1164*IF(AND(Inputs!$B$38&lt;&gt;"pvp",Inputs!$B$43&gt;0),((Skills!G6*((R1164-1)*IF(Skills!H6&gt;0,Skills!I6/Skills!H6,1)+IF(Skills!H6&gt;0,MIN(Skills!I6,MAX(0,MAX(0,Inputs!$B$43-B1197)-((R1164-1)*IF(Inputs!$B$38="pvp",15,MAX(0.1,Skills!D6-IF(Skills!E6=TRUE,Inputs!$B$32,0))))))/Skills!H6,1)))/Inputs!$B$43),G1164*Q1164))*IF(Inputs!$B$38="pvp",1,(1+(Inputs!$B$21+Skills!Q6)/100)*(MIN(Skills!R6,Inputs!$B$37))),0)</f>
        <v/>
      </c>
    </row>
    <row r="1165">
      <c r="A1165">
        <f>Skills!A7</f>
        <v/>
      </c>
      <c r="B1165">
        <f>Skills!B7</f>
        <v/>
      </c>
      <c r="C1165">
        <f>Inputs!$B$3&gt;=69</f>
        <v/>
      </c>
      <c r="D1165">
        <f>IF(Skills!C7=1,60+Inputs!$B$25+Inputs!$B$29,IF(Skills!C7=2,90+Inputs!$B$26+Inputs!$B$29,IF(Skills!C7=3,120+Inputs!$B$27+Inputs!$B$29,MAX(0,(Inputs!$B$3-100)*3)+Inputs!$B$28+Inputs!$B$29)))</f>
        <v/>
      </c>
      <c r="E1165">
        <f>INDEX(FactorTable!$B$2:$Y$301, MATCH(ROUND(MIN(300,MAX(1,D1165)),0), FactorTable!$A$2:$A$301,0), Skills!M7+1)</f>
        <v/>
      </c>
      <c r="F1165">
        <f>IF(Skills!N7=TRUE,(Skills!L7/10)*(E1165/1000),Skills!L7/10)+Skills!O7</f>
        <v/>
      </c>
      <c r="G1165">
        <f>Skills!G7*IF(Skills!H7&gt;0,Skills!I7/Skills!H7,1)</f>
        <v/>
      </c>
      <c r="H1165">
        <f>1-(1-Skills!J7/100)^Skills!K7</f>
        <v/>
      </c>
      <c r="I1165" t="inlineStr">
        <is>
          <t>1</t>
        </is>
      </c>
      <c r="J1165">
        <f>((Inputs!$B$6*(1+Inputs!$B$7/100))+(((Inputs!$B$12*(1+Inputs!$B$13/100))-(Inputs!$B$12*(1+Inputs!$B$13/100)))+0.25*(Inputs!$B$14-Inputs!$B$14))*(1+Inputs!$B$7/100))*(F1165/100)</f>
        <v/>
      </c>
      <c r="K1165">
        <f>J1165*(1+((Inputs!$B$12*(1+Inputs!$B$13/100))*0.01+Inputs!$B$14*0.0025)/100)*(1+Inputs!$B$15/100)*(1+Inputs!$B$16/100)*(5000/(6000+Inputs!$B$42*(1-(Inputs!$B$19+0)/100)))*(1+(Inputs!$B$24+((C1182=TRUE)*(F1182-Calc!F24))+((C1183=TRUE)*(F1183-Calc!F25))+B1196)/100)*(1+1.2*IF(C1166=TRUE,F1166,0)/100)*(1+(IF(Skills!A7="EMPOWERED_PIERCING_ARROW",Inputs!$B$17+((C1180=TRUE)*(F1180-Calc!F22)),Inputs!$B$18+((C1185=TRUE)*(F1185-Calc!F27))))/100)*((1+(((C1171=TRUE)*F1171)+((C1172=TRUE)*IF(Inputs!$B$38="pvp",F1172,(1-Summary!$B$55)*(F1172)+Summary!$B$55*(0)))+((C1173=TRUE)*F1173*IF(AND(Inputs!$B$38&lt;&gt;"pvp",Inputs!$B$43&gt;0),(((R1173-1)*(Skills!T15*(1+(Inputs!$B$34+1)/100))+MIN((Skills!T15*(1+(Inputs!$B$34+1)/100)),MAX(0,Inputs!$B$43-((R1173-1)*Skills!D15))))/Inputs!$B$43),IF(Inputs!$B$38="pvp",MIN((Skills!T15*(1+(Inputs!$B$34+1)/100)),15)/15,(Skills!T15*(1+(Inputs!$B$34+1)/100))/Skills!D15)))+((C1170=TRUE)*F1170)+((C1187=TRUE)*(F1187-Calc!F29)))/100)*I1165)</f>
        <v/>
      </c>
      <c r="L1165">
        <f>K1165*(MIN(Inputs!$B$22+((C1181=TRUE)*(F1181-Calc!F23)),Inputs!$B$23+((C1186=TRUE)*(F1186-Calc!F28)))/100+(Inputs!$B$23+((C1186=TRUE)*(F1186-Calc!F28)))/100)/2</f>
        <v/>
      </c>
      <c r="M1165">
        <f>L1165*(1+(Inputs!$B$10+0+B1195)/100)</f>
        <v/>
      </c>
      <c r="N1165">
        <f>L1165*(1-MIN((Inputs!$B$9+((C1177=TRUE)*(F1177-Calc!F19))+B1190),100)/100)+M1165*(MIN((Inputs!$B$9+((C1177=TRUE)*(F1177-Calc!F19))+B1190),100)/100)</f>
        <v/>
      </c>
      <c r="O1165">
        <f>(1-Summary!$B$55)*T1165+Summary!$B$55*V1165</f>
        <v/>
      </c>
      <c r="P1165">
        <f>IF(B1200=0,0,O1165/B1200)</f>
        <v/>
      </c>
      <c r="Q1165">
        <f>IFERROR(1/IF(Inputs!$B$38="pvp",15,MAX(0.1,Skills!D7-IF(Skills!E7=TRUE,Inputs!$B$32,0))),0)</f>
        <v/>
      </c>
      <c r="R1165">
        <f>IF(AND(Inputs!$B$38&lt;&gt;"pvp",Inputs!$B$43&gt;0),IF(MAX(0,Inputs!$B$43-B1197)&lt;=0,0,(INT(MAX(0,Inputs!$B$43-B1197)/IF(Inputs!$B$38="pvp",15,MAX(0.1,Skills!D7-IF(Skills!E7=TRUE,Inputs!$B$32,0))))+1)),0)</f>
        <v/>
      </c>
      <c r="S1165">
        <f>IFERROR((H1165*N1165*IF(AND(Inputs!$B$38&lt;&gt;"pvp",Inputs!$B$43&gt;0),((Skills!G7*((R1165-1)*IF(Skills!H7&gt;0,Skills!I7/Skills!H7,1)+IF(Skills!H7&gt;0,MIN(Skills!I7,MAX(0,MAX(0,Inputs!$B$43-B1197)-((R1165-1)*IF(Inputs!$B$38="pvp",15,MAX(0.1,Skills!D7-IF(Skills!E7=TRUE,Inputs!$B$32,0))))))/Skills!H7,1)))/Inputs!$B$43),G1165*Q1165))/N1165*IF(Inputs!$B$38="pvp",1,(1-Summary!$B$55)*1+Summary!$B$55*(MIN(Skills!R7,Inputs!$B$37))),0)</f>
        <v/>
      </c>
      <c r="T1165">
        <f>IF(C1165,(H1165*N1165*IF(AND(Inputs!$B$38&lt;&gt;"pvp",Inputs!$B$43&gt;0),((Skills!G7*((R1165-1)*IF(Skills!H7&gt;0,Skills!I7/Skills!H7,1)+IF(Skills!H7&gt;0,MIN(Skills!I7,MAX(0,MAX(0,Inputs!$B$43-B1197)-((R1165-1)*IF(Inputs!$B$38="pvp",15,MAX(0.1,Skills!D7-IF(Skills!E7=TRUE,Inputs!$B$32,0))))))/Skills!H7,1)))/Inputs!$B$43),G1165*Q1165))*IF(Inputs!$B$38="pvp",1,1+(Inputs!$B$20+0+Skills!P7)/100),0)</f>
        <v/>
      </c>
      <c r="V1165">
        <f>IF(C1165,(H1165*N1165*IF(AND(Inputs!$B$38&lt;&gt;"pvp",Inputs!$B$43&gt;0),((Skills!G7*((R1165-1)*IF(Skills!H7&gt;0,Skills!I7/Skills!H7,1)+IF(Skills!H7&gt;0,MIN(Skills!I7,MAX(0,MAX(0,Inputs!$B$43-B1197)-((R1165-1)*IF(Inputs!$B$38="pvp",15,MAX(0.1,Skills!D7-IF(Skills!E7=TRUE,Inputs!$B$32,0))))))/Skills!H7,1)))/Inputs!$B$43),G1165*Q1165))*IF(Inputs!$B$38="pvp",1,(1+(Inputs!$B$21+Skills!Q7)/100)*(MIN(Skills!R7,Inputs!$B$37))),0)</f>
        <v/>
      </c>
    </row>
    <row r="1166">
      <c r="A1166">
        <f>Skills!A8</f>
        <v/>
      </c>
      <c r="B1166">
        <f>Skills!B8</f>
        <v/>
      </c>
      <c r="C1166">
        <f>Inputs!$B$3&gt;=100</f>
        <v/>
      </c>
      <c r="D1166">
        <f>IF(Skills!C8=1,60+Inputs!$B$25+Inputs!$B$29,IF(Skills!C8=2,90+Inputs!$B$26+Inputs!$B$29,IF(Skills!C8=3,120+Inputs!$B$27+Inputs!$B$29,MAX(0,(Inputs!$B$3-100)*3)+Inputs!$B$28+Inputs!$B$29)))</f>
        <v/>
      </c>
      <c r="E1166">
        <f>INDEX(FactorTable!$B$2:$Y$301, MATCH(ROUND(MIN(300,MAX(1,D1166)),0), FactorTable!$A$2:$A$301,0), Skills!M8+1)</f>
        <v/>
      </c>
      <c r="F1166">
        <f>IF(Skills!N8=TRUE,(Skills!L8/10)*(E1166/1000),Skills!L8/10)+Skills!O8</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T1166" t="inlineStr"/>
      <c r="V1166" t="inlineStr"/>
    </row>
    <row r="1167">
      <c r="A1167">
        <f>Skills!A9</f>
        <v/>
      </c>
      <c r="B1167">
        <f>Skills!B9</f>
        <v/>
      </c>
      <c r="C1167">
        <f>Inputs!$B$3&gt;=103</f>
        <v/>
      </c>
      <c r="D1167">
        <f>IF(Skills!C9=1,60+Inputs!$B$25+Inputs!$B$29,IF(Skills!C9=2,90+Inputs!$B$26+Inputs!$B$29,IF(Skills!C9=3,120+Inputs!$B$27+Inputs!$B$29,MAX(0,(Inputs!$B$3-100)*3)+Inputs!$B$28+Inputs!$B$29)))</f>
        <v/>
      </c>
      <c r="E1167">
        <f>INDEX(FactorTable!$B$2:$Y$301, MATCH(ROUND(MIN(300,MAX(1,D1167)),0), FactorTable!$A$2:$A$301,0), Skills!M9+1)</f>
        <v/>
      </c>
      <c r="F1167">
        <f>IF(Skills!N9=TRUE,(Skills!L9/10)*(E1167/1000),Skills!L9/10)+Skills!O9</f>
        <v/>
      </c>
      <c r="G1167">
        <f>Skills!G9*IF(Skills!H9&gt;0,Skills!I9/Skills!H9,1)</f>
        <v/>
      </c>
      <c r="H1167">
        <f>1-(1-Skills!J9/100)^Skills!K9</f>
        <v/>
      </c>
      <c r="I1167" t="inlineStr">
        <is>
          <t>1</t>
        </is>
      </c>
      <c r="J1167">
        <f>((Inputs!$B$6*(1+Inputs!$B$7/100))+(((Inputs!$B$12*(1+Inputs!$B$13/100))-(Inputs!$B$12*(1+Inputs!$B$13/100)))+0.25*(Inputs!$B$14-Inputs!$B$14))*(1+Inputs!$B$7/100))*(F1167/100)</f>
        <v/>
      </c>
      <c r="K1167">
        <f>J1167*(1+((Inputs!$B$12*(1+Inputs!$B$13/100))*0.01+Inputs!$B$14*0.0025)/100)*(1+Inputs!$B$15/100)*(1+Inputs!$B$16/100)*(5000/(6000+Inputs!$B$42*(1-(Inputs!$B$19+0)/100)))*(1+(Inputs!$B$24+((C1182=TRUE)*(F1182-Calc!F24))+((C1183=TRUE)*(F1183-Calc!F25))+B1196)/100)*(1+(IF(Skills!A9="EMPOWERED_PIERCING_ARROW",Inputs!$B$17+((C1180=TRUE)*(F1180-Calc!F22)),Inputs!$B$18+((C1185=TRUE)*(F1185-Calc!F27))))/100)*((1+(((C1171=TRUE)*F1171)+((C1172=TRUE)*IF(Inputs!$B$38="pvp",F1172,(1-Summary!$B$55)*(F1172)+Summary!$B$55*(0)))+((C1173=TRUE)*F1173*IF(AND(Inputs!$B$38&lt;&gt;"pvp",Inputs!$B$43&gt;0),(((R1173-1)*(Skills!T15*(1+(Inputs!$B$34+1)/100))+MIN((Skills!T15*(1+(Inputs!$B$34+1)/100)),MAX(0,Inputs!$B$43-((R1173-1)*Skills!D15))))/Inputs!$B$43),IF(Inputs!$B$38="pvp",MIN((Skills!T15*(1+(Inputs!$B$34+1)/100)),15)/15,(Skills!T15*(1+(Inputs!$B$34+1)/100))/Skills!D15)))+((C1170=TRUE)*F1170)+((C1187=TRUE)*(F1187-Calc!F29)))/100)*I1167)</f>
        <v/>
      </c>
      <c r="L1167">
        <f>K1167*(MIN(Inputs!$B$22+((C1181=TRUE)*(F1181-Calc!F23)),Inputs!$B$23+((C1186=TRUE)*(F1186-Calc!F28)))/100+(Inputs!$B$23+((C1186=TRUE)*(F1186-Calc!F28)))/100)/2</f>
        <v/>
      </c>
      <c r="M1167">
        <f>L1167*(1+(Inputs!$B$10+0+B1195)/100)</f>
        <v/>
      </c>
      <c r="N1167">
        <f>L1167*(1-MIN((Inputs!$B$9+((C1177=TRUE)*(F1177-Calc!F19))+B1190),100)/100)+M1167*(MIN((Inputs!$B$9+((C1177=TRUE)*(F1177-Calc!F19))+B1190),100)/100)</f>
        <v/>
      </c>
      <c r="O1167">
        <f>(1-Summary!$B$55)*T1167+Summary!$B$55*V1167</f>
        <v/>
      </c>
      <c r="P1167">
        <f>IF(B1200=0,0,O1167/B1200)</f>
        <v/>
      </c>
      <c r="Q1167">
        <f>IFERROR(1/IF(Inputs!$B$38="pvp",15,MAX(0.1,Skills!D9-IF(Skills!E9=TRUE,Inputs!$B$32,0))),0)</f>
        <v/>
      </c>
      <c r="R1167">
        <f>IF(AND(Inputs!$B$38&lt;&gt;"pvp",Inputs!$B$43&gt;0),IF(MAX(0,Inputs!$B$43-B1197)&lt;=0,0,(INT(MAX(0,Inputs!$B$43-B1197)/IF(Inputs!$B$38="pvp",15,MAX(0.1,Skills!D9-IF(Skills!E9=TRUE,Inputs!$B$32,0))))+1)),0)</f>
        <v/>
      </c>
      <c r="S1167">
        <f>IFERROR((H1167*N1167*IF(AND(Inputs!$B$38&lt;&gt;"pvp",Inputs!$B$43&gt;0),((Skills!G9*((R1167-1)*IF(Skills!H9&gt;0,Skills!I9/Skills!H9,1)+IF(Skills!H9&gt;0,MIN(Skills!I9,MAX(0,MAX(0,Inputs!$B$43-B1197)-((R1167-1)*IF(Inputs!$B$38="pvp",15,MAX(0.1,Skills!D9-IF(Skills!E9=TRUE,Inputs!$B$32,0))))))/Skills!H9,1)))/Inputs!$B$43),G1167*Q1167))/N1167*IF(Inputs!$B$38="pvp",1,(1-Summary!$B$55)*1+Summary!$B$55*(MIN(Skills!R9,Inputs!$B$37))),0)</f>
        <v/>
      </c>
      <c r="T1167">
        <f>IF(C1167,(H1167*N1167*IF(AND(Inputs!$B$38&lt;&gt;"pvp",Inputs!$B$43&gt;0),((Skills!G9*((R1167-1)*IF(Skills!H9&gt;0,Skills!I9/Skills!H9,1)+IF(Skills!H9&gt;0,MIN(Skills!I9,MAX(0,MAX(0,Inputs!$B$43-B1197)-((R1167-1)*IF(Inputs!$B$38="pvp",15,MAX(0.1,Skills!D9-IF(Skills!E9=TRUE,Inputs!$B$32,0))))))/Skills!H9,1)))/Inputs!$B$43),G1167*Q1167))*IF(Inputs!$B$38="pvp",1,1+(Inputs!$B$20+0+Skills!P9)/100),0)</f>
        <v/>
      </c>
      <c r="V1167">
        <f>IF(C1167,(H1167*N1167*IF(AND(Inputs!$B$38&lt;&gt;"pvp",Inputs!$B$43&gt;0),((Skills!G9*((R1167-1)*IF(Skills!H9&gt;0,Skills!I9/Skills!H9,1)+IF(Skills!H9&gt;0,MIN(Skills!I9,MAX(0,MAX(0,Inputs!$B$43-B1197)-((R1167-1)*IF(Inputs!$B$38="pvp",15,MAX(0.1,Skills!D9-IF(Skills!E9=TRUE,Inputs!$B$32,0))))))/Skills!H9,1)))/Inputs!$B$43),G1167*Q1167))*IF(Inputs!$B$38="pvp",1,(1+(Inputs!$B$21+Skills!Q9)/100)*(MIN(Skills!R9,Inputs!$B$37))),0)</f>
        <v/>
      </c>
    </row>
    <row r="1168">
      <c r="A1168">
        <f>Skills!A10</f>
        <v/>
      </c>
      <c r="B1168">
        <f>Skills!B10</f>
        <v/>
      </c>
      <c r="C1168">
        <f>Inputs!$B$3&gt;=107</f>
        <v/>
      </c>
      <c r="D1168">
        <f>IF(Skills!C10=1,60+Inputs!$B$25+Inputs!$B$29,IF(Skills!C10=2,90+Inputs!$B$26+Inputs!$B$29,IF(Skills!C10=3,120+Inputs!$B$27+Inputs!$B$29,MAX(0,(Inputs!$B$3-100)*3)+Inputs!$B$28+Inputs!$B$29)))</f>
        <v/>
      </c>
      <c r="E1168">
        <f>INDEX(FactorTable!$B$2:$Y$301, MATCH(ROUND(MIN(300,MAX(1,D1168)),0), FactorTable!$A$2:$A$301,0), Skills!M10+1)</f>
        <v/>
      </c>
      <c r="F1168">
        <f>IF(Skills!N10=TRUE,(Skills!L10/10)*(E1168/1000),Skills!L10/10)+Skills!O10</f>
        <v/>
      </c>
      <c r="G1168">
        <f>Skills!G10*IF(Skills!H10&gt;0,Skills!I10/Skills!H10,1)</f>
        <v/>
      </c>
      <c r="H1168">
        <f>1-(1-Skills!J10/100)^Skills!K10</f>
        <v/>
      </c>
      <c r="I1168" t="inlineStr">
        <is>
          <t>1</t>
        </is>
      </c>
      <c r="J1168">
        <f>((Inputs!$B$6*(1+Inputs!$B$7/100))+(((Inputs!$B$12*(1+Inputs!$B$13/100))-(Inputs!$B$12*(1+Inputs!$B$13/100)))+0.25*(Inputs!$B$14-Inputs!$B$14))*(1+Inputs!$B$7/100))*(F1168/100)</f>
        <v/>
      </c>
      <c r="K1168">
        <f>J1168*(1+((Inputs!$B$12*(1+Inputs!$B$13/100))*0.01+Inputs!$B$14*0.0025)/100)*(1+Inputs!$B$15/100)*(1+Inputs!$B$16/100)*(5000/(6000+Inputs!$B$42*(1-(Inputs!$B$19+0)/100)))*(1+(Inputs!$B$24+((C1182=TRUE)*(F1182-Calc!F24))+((C1183=TRUE)*(F1183-Calc!F25))+B1196)/100)*(1+(IF(Skills!A10="EMPOWERED_PIERCING_ARROW",Inputs!$B$17+((C1180=TRUE)*(F1180-Calc!F22)),Inputs!$B$18+((C1185=TRUE)*(F1185-Calc!F27))))/100)*((1+(((C1171=TRUE)*F1171)+((C1172=TRUE)*IF(Inputs!$B$38="pvp",F1172,(1-Summary!$B$55)*(F1172)+Summary!$B$55*(0)))+((C1173=TRUE)*F1173*IF(AND(Inputs!$B$38&lt;&gt;"pvp",Inputs!$B$43&gt;0),(((R1173-1)*(Skills!T15*(1+(Inputs!$B$34+1)/100))+MIN((Skills!T15*(1+(Inputs!$B$34+1)/100)),MAX(0,Inputs!$B$43-((R1173-1)*Skills!D15))))/Inputs!$B$43),IF(Inputs!$B$38="pvp",MIN((Skills!T15*(1+(Inputs!$B$34+1)/100)),15)/15,(Skills!T15*(1+(Inputs!$B$34+1)/100))/Skills!D15)))+((C1170=TRUE)*F1170)+((C1187=TRUE)*(F1187-Calc!F29)))/100)*I1168)</f>
        <v/>
      </c>
      <c r="L1168">
        <f>K1168*(MIN(Inputs!$B$22+((C1181=TRUE)*(F1181-Calc!F23)),Inputs!$B$23+((C1186=TRUE)*(F1186-Calc!F28)))/100+(Inputs!$B$23+((C1186=TRUE)*(F1186-Calc!F28)))/100)/2</f>
        <v/>
      </c>
      <c r="M1168">
        <f>L1168*(1+(Inputs!$B$10+0+B1195)/100)</f>
        <v/>
      </c>
      <c r="N1168">
        <f>L1168*(1-MIN((Inputs!$B$9+((C1177=TRUE)*(F1177-Calc!F19))+B1190),100)/100)+M1168*(MIN((Inputs!$B$9+((C1177=TRUE)*(F1177-Calc!F19))+B1190),100)/100)</f>
        <v/>
      </c>
      <c r="O1168">
        <f>(1-Summary!$B$55)*T1168+Summary!$B$55*V1168</f>
        <v/>
      </c>
      <c r="P1168">
        <f>IF(B1200=0,0,O1168/B1200)</f>
        <v/>
      </c>
      <c r="Q1168" t="n">
        <v>0</v>
      </c>
      <c r="R1168" t="n">
        <v>0</v>
      </c>
      <c r="S1168" t="n">
        <v>0</v>
      </c>
      <c r="T1168">
        <f>IF(C1168,(0.15*SUMPRODUCT((Skills!U2:U29=TRUE)*(C1160:C1187=TRUE)*S1160:S1187)*Skills!G10*N1168)*IF(Inputs!$B$38="pvp",1,1+(Inputs!$B$20+0+Skills!P10)/100),0)</f>
        <v/>
      </c>
      <c r="V1168">
        <f>IF(C1168,(0.15*SUMPRODUCT((Skills!U2:U29=TRUE)*(C1160:C1187=TRUE)*S1160:S1187)*Skills!G10*N1168)*IF(Inputs!$B$38="pvp",1,(1+(Inputs!$B$21+Skills!Q10)/100)*(MIN(Skills!R10,Inputs!$B$37))),0)</f>
        <v/>
      </c>
    </row>
    <row r="1169">
      <c r="A1169">
        <f>Skills!A11</f>
        <v/>
      </c>
      <c r="B1169">
        <f>Skills!B11</f>
        <v/>
      </c>
      <c r="C1169">
        <f>Inputs!$B$3&gt;=110</f>
        <v/>
      </c>
      <c r="D1169">
        <f>IF(Skills!C11=1,60+Inputs!$B$25+Inputs!$B$29,IF(Skills!C11=2,90+Inputs!$B$26+Inputs!$B$29,IF(Skills!C11=3,120+Inputs!$B$27+Inputs!$B$29,MAX(0,(Inputs!$B$3-100)*3)+Inputs!$B$28+Inputs!$B$29)))</f>
        <v/>
      </c>
      <c r="E1169">
        <f>INDEX(FactorTable!$B$2:$Y$301, MATCH(ROUND(MIN(300,MAX(1,D1169)),0), FactorTable!$A$2:$A$301,0), Skills!M11+1)</f>
        <v/>
      </c>
      <c r="F1169">
        <f>IF(Skills!N11=TRUE,(Skills!L11/10)*(E1169/1000),Skills!L11/10)+Skills!O11</f>
        <v/>
      </c>
      <c r="G1169">
        <f>Skills!G11*IF(Skills!H11&gt;0,Skills!I11/Skills!H11,1)</f>
        <v/>
      </c>
      <c r="H1169">
        <f>1-(1-Skills!J11/100)^Skills!K11</f>
        <v/>
      </c>
      <c r="I1169" t="inlineStr">
        <is>
          <t>1</t>
        </is>
      </c>
      <c r="J1169">
        <f>((Inputs!$B$6*(1+Inputs!$B$7/100))+(((Inputs!$B$12*(1+Inputs!$B$13/100))-(Inputs!$B$12*(1+Inputs!$B$13/100)))+0.25*(Inputs!$B$14-Inputs!$B$14))*(1+Inputs!$B$7/100))*(F1169/100)</f>
        <v/>
      </c>
      <c r="K1169">
        <f>J1169*(1+((Inputs!$B$12*(1+Inputs!$B$13/100))*0.01+Inputs!$B$14*0.0025)/100)*(1+Inputs!$B$15/100)*(1+Inputs!$B$16/100)*(5000/(6000+Inputs!$B$42*(1-(Inputs!$B$19+0)/100)))*(1+(Inputs!$B$24+((C1182=TRUE)*(F1182-Calc!F24))+((C1183=TRUE)*(F1183-Calc!F25))+B1196)/100)*(1+(IF(Skills!A11="EMPOWERED_PIERCING_ARROW",Inputs!$B$17+((C1180=TRUE)*(F1180-Calc!F22)),Inputs!$B$18+((C1185=TRUE)*(F1185-Calc!F27))))/100)*((1+(((C1171=TRUE)*F1171)+((C1172=TRUE)*IF(Inputs!$B$38="pvp",F1172,(1-Summary!$B$55)*(F1172)+Summary!$B$55*(0)))+((C1173=TRUE)*F1173*IF(AND(Inputs!$B$38&lt;&gt;"pvp",Inputs!$B$43&gt;0),(((R1173-1)*(Skills!T15*(1+(Inputs!$B$34+1)/100))+MIN((Skills!T15*(1+(Inputs!$B$34+1)/100)),MAX(0,Inputs!$B$43-((R1173-1)*Skills!D15))))/Inputs!$B$43),IF(Inputs!$B$38="pvp",MIN((Skills!T15*(1+(Inputs!$B$34+1)/100)),15)/15,(Skills!T15*(1+(Inputs!$B$34+1)/100))/Skills!D15)))+((C1170=TRUE)*F1170)+((C1187=TRUE)*(F1187-Calc!F29)))/100)*I1169)</f>
        <v/>
      </c>
      <c r="L1169">
        <f>K1169*(MIN(Inputs!$B$22+((C1181=TRUE)*(F1181-Calc!F23)),Inputs!$B$23+((C1186=TRUE)*(F1186-Calc!F28)))/100+(Inputs!$B$23+((C1186=TRUE)*(F1186-Calc!F28)))/100)/2</f>
        <v/>
      </c>
      <c r="M1169">
        <f>L1169*(1+(Inputs!$B$10+0+B1195)/100)</f>
        <v/>
      </c>
      <c r="N1169">
        <f>L1169*(1-MIN((Inputs!$B$9+((C1177=TRUE)*(F1177-Calc!F19))+B1190),100)/100)+M1169*(MIN((Inputs!$B$9+((C1177=TRUE)*(F1177-Calc!F19))+B1190),100)/100)</f>
        <v/>
      </c>
      <c r="O1169">
        <f>(1-Summary!$B$55)*T1169+Summary!$B$55*V1169</f>
        <v/>
      </c>
      <c r="P1169">
        <f>IF(B1200=0,0,O1169/B1200)</f>
        <v/>
      </c>
      <c r="Q1169">
        <f>IFERROR(1/IF(Inputs!$B$38="pvp",15,MAX(0.1,Skills!D11-IF(Skills!E11=TRUE,Inputs!$B$32,0))),0)</f>
        <v/>
      </c>
      <c r="R1169">
        <f>IF(AND(Inputs!$B$38&lt;&gt;"pvp",Inputs!$B$43&gt;0),IF(MAX(0,Inputs!$B$43-B1197)&lt;=0,0,(INT(MAX(0,Inputs!$B$43-B1197)/IF(Inputs!$B$38="pvp",15,MAX(0.1,Skills!D11-IF(Skills!E11=TRUE,Inputs!$B$32,0))))+1)),0)</f>
        <v/>
      </c>
      <c r="S1169">
        <f>IFERROR((H1169*N1169*IF(AND(Inputs!$B$38&lt;&gt;"pvp",Inputs!$B$43&gt;0),((Skills!G11*((R1169-1)*IF(Skills!H11&gt;0,Skills!I11/Skills!H11,1)+IF(Skills!H11&gt;0,MIN(Skills!I11,MAX(0,MAX(0,Inputs!$B$43-B1197)-((R1169-1)*IF(Inputs!$B$38="pvp",15,MAX(0.1,Skills!D11-IF(Skills!E11=TRUE,Inputs!$B$32,0))))))/Skills!H11,1)))/Inputs!$B$43),G1169*Q1169))/N1169*IF(Inputs!$B$38="pvp",1,(1-Summary!$B$55)*1+Summary!$B$55*(MIN(Skills!R11,Inputs!$B$37))),0)</f>
        <v/>
      </c>
      <c r="T1169">
        <f>IF(C1169,(H1169*N1169*IF(AND(Inputs!$B$38&lt;&gt;"pvp",Inputs!$B$43&gt;0),((Skills!G11*((R1169-1)*IF(Skills!H11&gt;0,Skills!I11/Skills!H11,1)+IF(Skills!H11&gt;0,MIN(Skills!I11,MAX(0,MAX(0,Inputs!$B$43-B1197)-((R1169-1)*IF(Inputs!$B$38="pvp",15,MAX(0.1,Skills!D11-IF(Skills!E11=TRUE,Inputs!$B$32,0))))))/Skills!H11,1)))/Inputs!$B$43),G1169*Q1169))*IF(Inputs!$B$38="pvp",1,1+(Inputs!$B$20+0+Skills!P11)/100),0)</f>
        <v/>
      </c>
      <c r="V1169">
        <f>IF(C1169,(H1169*N1169*IF(AND(Inputs!$B$38&lt;&gt;"pvp",Inputs!$B$43&gt;0),((Skills!G11*((R1169-1)*IF(Skills!H11&gt;0,Skills!I11/Skills!H11,1)+IF(Skills!H11&gt;0,MIN(Skills!I11,MAX(0,MAX(0,Inputs!$B$43-B1197)-((R1169-1)*IF(Inputs!$B$38="pvp",15,MAX(0.1,Skills!D11-IF(Skills!E11=TRUE,Inputs!$B$32,0))))))/Skills!H11,1)))/Inputs!$B$43),G1169*Q1169))*IF(Inputs!$B$38="pvp",1,(1+(Inputs!$B$21+Skills!Q11)/100)*(MIN(Skills!R11,Inputs!$B$37))),0)</f>
        <v/>
      </c>
    </row>
    <row r="1170">
      <c r="A1170">
        <f>Skills!A12</f>
        <v/>
      </c>
      <c r="B1170">
        <f>Skills!B12</f>
        <v/>
      </c>
      <c r="C1170">
        <f>Inputs!$B$3&gt;=60</f>
        <v/>
      </c>
      <c r="D1170">
        <f>IF(Skills!C12=1,60+Inputs!$B$25+Inputs!$B$29,IF(Skills!C12=2,90+Inputs!$B$26+Inputs!$B$29,IF(Skills!C12=3,120+Inputs!$B$27+Inputs!$B$29,MAX(0,(Inputs!$B$3-100)*3)+Inputs!$B$28+Inputs!$B$29)))</f>
        <v/>
      </c>
      <c r="E1170">
        <f>INDEX(FactorTable!$B$2:$Y$301, MATCH(ROUND(MIN(300,MAX(1,D1170)),0), FactorTable!$A$2:$A$301,0), Skills!M12+1)</f>
        <v/>
      </c>
      <c r="F1170">
        <f>IF(Skills!N12=TRUE,(Skills!L12/10)*(E1170/1000),Skills!L12/10)+Skills!O12</f>
        <v/>
      </c>
      <c r="G1170">
        <f>Skills!G12*IF(Skills!H12&gt;0,Skills!I12/Skills!H12,1)</f>
        <v/>
      </c>
      <c r="H1170">
        <f>1-(1-Skills!J12/100)^Skills!K12</f>
        <v/>
      </c>
      <c r="I1170" t="inlineStr">
        <is>
          <t>1</t>
        </is>
      </c>
      <c r="J1170" t="inlineStr"/>
      <c r="K1170" t="inlineStr"/>
      <c r="L1170" t="inlineStr"/>
      <c r="M1170" t="inlineStr"/>
      <c r="N1170" t="inlineStr"/>
      <c r="O1170">
        <f>(1-Summary!$B$55)*T1170+Summary!$B$55*V1170</f>
        <v/>
      </c>
      <c r="P1170">
        <f>IF(B1200=0,0,O1170/B1200)</f>
        <v/>
      </c>
      <c r="Q1170" t="n">
        <v>0</v>
      </c>
      <c r="R1170" t="n">
        <v>0</v>
      </c>
      <c r="S1170" t="n">
        <v>0</v>
      </c>
      <c r="T1170" t="n">
        <v>0</v>
      </c>
      <c r="V1170" t="n">
        <v>0</v>
      </c>
    </row>
    <row r="1171">
      <c r="A1171">
        <f>Skills!A13</f>
        <v/>
      </c>
      <c r="B1171">
        <f>Skills!B13</f>
        <v/>
      </c>
      <c r="C1171">
        <f>Inputs!$B$3&gt;=74</f>
        <v/>
      </c>
      <c r="D1171">
        <f>IF(Skills!C13=1,60+Inputs!$B$25+Inputs!$B$29,IF(Skills!C13=2,90+Inputs!$B$26+Inputs!$B$29,IF(Skills!C13=3,120+Inputs!$B$27+Inputs!$B$29,MAX(0,(Inputs!$B$3-100)*3)+Inputs!$B$28+Inputs!$B$29)))</f>
        <v/>
      </c>
      <c r="E1171">
        <f>INDEX(FactorTable!$B$2:$Y$301, MATCH(ROUND(MIN(300,MAX(1,D1171)),0), FactorTable!$A$2:$A$301,0), Skills!M13+1)</f>
        <v/>
      </c>
      <c r="F1171">
        <f>IF(Skills!N13=TRUE,(Skills!L13/10)*(E1171/1000),Skills!L13/10)+Skills!O13</f>
        <v/>
      </c>
      <c r="G1171">
        <f>Skills!G13*IF(Skills!H13&gt;0,Skills!I13/Skills!H13,1)</f>
        <v/>
      </c>
      <c r="H1171">
        <f>1-(1-Skills!J13/100)^Skills!K13</f>
        <v/>
      </c>
      <c r="I1171" t="inlineStr">
        <is>
          <t>1</t>
        </is>
      </c>
      <c r="J1171" t="inlineStr"/>
      <c r="K1171" t="inlineStr"/>
      <c r="L1171" t="inlineStr"/>
      <c r="M1171" t="inlineStr"/>
      <c r="N1171" t="inlineStr"/>
      <c r="O1171">
        <f>(1-Summary!$B$55)*T1171+Summary!$B$55*V1171</f>
        <v/>
      </c>
      <c r="P1171">
        <f>IF(B1200=0,0,O1171/B1200)</f>
        <v/>
      </c>
      <c r="Q1171" t="n">
        <v>0</v>
      </c>
      <c r="R1171" t="n">
        <v>0</v>
      </c>
      <c r="S1171" t="n">
        <v>0</v>
      </c>
      <c r="T1171" t="n">
        <v>0</v>
      </c>
      <c r="V1171" t="n">
        <v>0</v>
      </c>
    </row>
    <row r="1172">
      <c r="A1172">
        <f>Skills!A14</f>
        <v/>
      </c>
      <c r="B1172">
        <f>Skills!B14</f>
        <v/>
      </c>
      <c r="C1172">
        <f>Inputs!$B$3&gt;=74</f>
        <v/>
      </c>
      <c r="D1172">
        <f>IF(Skills!C14=1,60+Inputs!$B$25+Inputs!$B$29,IF(Skills!C14=2,90+Inputs!$B$26+Inputs!$B$29,IF(Skills!C14=3,120+Inputs!$B$27+Inputs!$B$29,MAX(0,(Inputs!$B$3-100)*3)+Inputs!$B$28+Inputs!$B$29)))</f>
        <v/>
      </c>
      <c r="E1172">
        <f>INDEX(FactorTable!$B$2:$Y$301, MATCH(ROUND(MIN(300,MAX(1,D1172)),0), FactorTable!$A$2:$A$301,0), Skills!M14+1)</f>
        <v/>
      </c>
      <c r="F1172">
        <f>IF(Skills!N14=TRUE,(Skills!L14/10)*(E1172/1000),Skills!L14/10)+Skills!O14</f>
        <v/>
      </c>
      <c r="G1172">
        <f>Skills!G14*IF(Skills!H14&gt;0,Skills!I14/Skills!H14,1)</f>
        <v/>
      </c>
      <c r="H1172">
        <f>1-(1-Skills!J14/100)^Skills!K14</f>
        <v/>
      </c>
      <c r="I1172" t="inlineStr">
        <is>
          <t>1</t>
        </is>
      </c>
      <c r="J1172" t="inlineStr"/>
      <c r="K1172" t="inlineStr"/>
      <c r="L1172" t="inlineStr"/>
      <c r="M1172" t="inlineStr"/>
      <c r="N1172" t="inlineStr"/>
      <c r="O1172">
        <f>(1-Summary!$B$55)*T1172+Summary!$B$55*V1172</f>
        <v/>
      </c>
      <c r="P1172">
        <f>IF(B1200=0,0,O1172/B1200)</f>
        <v/>
      </c>
      <c r="Q1172" t="n">
        <v>0</v>
      </c>
      <c r="R1172" t="n">
        <v>0</v>
      </c>
      <c r="S1172" t="n">
        <v>0</v>
      </c>
      <c r="T1172" t="n">
        <v>0</v>
      </c>
      <c r="V1172" t="n">
        <v>0</v>
      </c>
    </row>
    <row r="1173">
      <c r="A1173">
        <f>Skills!A15</f>
        <v/>
      </c>
      <c r="B1173">
        <f>Skills!B15</f>
        <v/>
      </c>
      <c r="C1173">
        <f>Inputs!$B$3&gt;=117</f>
        <v/>
      </c>
      <c r="D1173">
        <f>IF(Skills!C15=1,60+Inputs!$B$25+Inputs!$B$29,IF(Skills!C15=2,90+Inputs!$B$26+Inputs!$B$29,IF(Skills!C15=3,120+Inputs!$B$27+Inputs!$B$29,MAX(0,(Inputs!$B$3-100)*3)+Inputs!$B$28+Inputs!$B$29)))</f>
        <v/>
      </c>
      <c r="E1173">
        <f>INDEX(FactorTable!$B$2:$Y$301, MATCH(ROUND(MIN(300,MAX(1,D1173)),0), FactorTable!$A$2:$A$301,0), Skills!M15+1)</f>
        <v/>
      </c>
      <c r="F1173">
        <f>IF(Skills!N15=TRUE,(Skills!L15/10)*(E1173/1000),Skills!L15/10)+Skills!O15</f>
        <v/>
      </c>
      <c r="G1173">
        <f>Skills!G15*IF(Skills!H15&gt;0,Skills!I15/Skills!H15,1)</f>
        <v/>
      </c>
      <c r="H1173">
        <f>1-(1-Skills!J15/100)^Skills!K15</f>
        <v/>
      </c>
      <c r="I1173" t="inlineStr">
        <is>
          <t>1</t>
        </is>
      </c>
      <c r="J1173" t="inlineStr"/>
      <c r="K1173" t="inlineStr"/>
      <c r="L1173" t="inlineStr"/>
      <c r="M1173" t="inlineStr"/>
      <c r="N1173" t="inlineStr"/>
      <c r="O1173">
        <f>(1-Summary!$B$55)*T1173+Summary!$B$55*V1173</f>
        <v/>
      </c>
      <c r="P1173">
        <f>IF(B1200=0,0,O1173/B1200)</f>
        <v/>
      </c>
      <c r="Q1173">
        <f>IFERROR(1/IF(Inputs!$B$38="pvp",15,MAX(0.1,Skills!D15-IF(Skills!E15=TRUE,Inputs!$B$32,0))),0)</f>
        <v/>
      </c>
      <c r="R1173">
        <f>IF(AND(Inputs!$B$38&lt;&gt;"pvp",Inputs!$B$43&gt;0),IF(Inputs!$B$43&lt;=0,0,(INT(Inputs!$B$43/IF(Inputs!$B$38="pvp",15,MAX(0.1,Skills!D15-IF(Skills!E15=TRUE,Inputs!$B$32,0))))+1)),0)</f>
        <v/>
      </c>
      <c r="S1173" t="n">
        <v>0</v>
      </c>
      <c r="T1173" t="n">
        <v>0</v>
      </c>
      <c r="V1173" t="n">
        <v>0</v>
      </c>
    </row>
    <row r="1174">
      <c r="A1174">
        <f>Skills!A16</f>
        <v/>
      </c>
      <c r="B1174">
        <f>Skills!B16</f>
        <v/>
      </c>
      <c r="C1174">
        <f>Inputs!$B$3&gt;=115</f>
        <v/>
      </c>
      <c r="D1174">
        <f>IF(Skills!C16=1,60+Inputs!$B$25+Inputs!$B$29,IF(Skills!C16=2,90+Inputs!$B$26+Inputs!$B$29,IF(Skills!C16=3,120+Inputs!$B$27+Inputs!$B$29,MAX(0,(Inputs!$B$3-100)*3)+Inputs!$B$28+Inputs!$B$29)))</f>
        <v/>
      </c>
      <c r="E1174">
        <f>INDEX(FactorTable!$B$2:$Y$301, MATCH(ROUND(MIN(300,MAX(1,D1174)),0), FactorTable!$A$2:$A$301,0), Skills!M16+1)</f>
        <v/>
      </c>
      <c r="F1174">
        <f>IF(Skills!N16=TRUE,(Skills!L16/10)*(E1174/1000),Skills!L16/10)+Skills!O16</f>
        <v/>
      </c>
      <c r="G1174">
        <f>Skills!G16*IF(Skills!H16&gt;0,Skills!I16/Skills!H16,1)</f>
        <v/>
      </c>
      <c r="H1174">
        <f>1-(1-Skills!J16/100)^Skills!K16</f>
        <v/>
      </c>
      <c r="I1174" t="inlineStr">
        <is>
          <t>1</t>
        </is>
      </c>
      <c r="J1174" t="inlineStr"/>
      <c r="K1174" t="inlineStr"/>
      <c r="L1174" t="inlineStr"/>
      <c r="M1174" t="inlineStr"/>
      <c r="N1174" t="inlineStr"/>
      <c r="O1174">
        <f>(1-Summary!$B$55)*T1174+Summary!$B$55*V1174</f>
        <v/>
      </c>
      <c r="P1174">
        <f>IF(B1200=0,0,O1174/B1200)</f>
        <v/>
      </c>
      <c r="Q1174">
        <f>IFERROR(1/IF(Inputs!$B$38="pvp",15,MAX(0.1,Skills!D16-IF(Skills!E16=TRUE,Inputs!$B$32,0))),0)</f>
        <v/>
      </c>
      <c r="R1174">
        <f>IF(AND(Inputs!$B$38&lt;&gt;"pvp",Inputs!$B$43&gt;0),IF(Inputs!$B$43&lt;=0,0,(INT(Inputs!$B$43/IF(Inputs!$B$38="pvp",15,MAX(0.1,Skills!D16-IF(Skills!E16=TRUE,Inputs!$B$32,0))))+1)),0)</f>
        <v/>
      </c>
      <c r="S1174" t="n">
        <v>0</v>
      </c>
      <c r="T1174" t="n">
        <v>0</v>
      </c>
      <c r="V1174" t="n">
        <v>0</v>
      </c>
    </row>
    <row r="1175">
      <c r="A1175">
        <f>Skills!A17</f>
        <v/>
      </c>
      <c r="B1175">
        <f>Skills!B17</f>
        <v/>
      </c>
      <c r="C1175">
        <f>Inputs!$B$3&gt;=72</f>
        <v/>
      </c>
      <c r="D1175">
        <f>IF(Skills!C17=1,60+Inputs!$B$25+Inputs!$B$29,IF(Skills!C17=2,90+Inputs!$B$26+Inputs!$B$29,IF(Skills!C17=3,120+Inputs!$B$27+Inputs!$B$29,MAX(0,(Inputs!$B$3-100)*3)+Inputs!$B$28+Inputs!$B$29)))</f>
        <v/>
      </c>
      <c r="E1175">
        <f>INDEX(FactorTable!$B$2:$Y$301, MATCH(ROUND(MIN(300,MAX(1,D1175)),0), FactorTable!$A$2:$A$301,0), Skills!M17+1)</f>
        <v/>
      </c>
      <c r="F1175">
        <f>IF(Skills!N17=TRUE,(Skills!L17/10)*(E1175/1000),Skills!L17/10)+Skills!O17</f>
        <v/>
      </c>
      <c r="G1175">
        <f>Skills!G17*IF(Skills!H17&gt;0,Skills!I17/Skills!H17,1)</f>
        <v/>
      </c>
      <c r="H1175">
        <f>1-(1-Skills!J17/100)^Skills!K17</f>
        <v/>
      </c>
      <c r="I1175" t="inlineStr">
        <is>
          <t>1</t>
        </is>
      </c>
      <c r="J1175" t="inlineStr"/>
      <c r="K1175" t="inlineStr"/>
      <c r="L1175" t="inlineStr"/>
      <c r="M1175" t="inlineStr"/>
      <c r="N1175" t="inlineStr"/>
      <c r="O1175">
        <f>(1-Summary!$B$55)*T1175+Summary!$B$55*V1175</f>
        <v/>
      </c>
      <c r="P1175">
        <f>IF(B1200=0,0,O1175/B1200)</f>
        <v/>
      </c>
      <c r="Q1175" t="n">
        <v>0</v>
      </c>
      <c r="R1175" t="n">
        <v>0</v>
      </c>
      <c r="S1175" t="n">
        <v>0</v>
      </c>
      <c r="T1175" t="n">
        <v>0</v>
      </c>
      <c r="V1175" t="n">
        <v>0</v>
      </c>
    </row>
    <row r="1176">
      <c r="A1176">
        <f>Skills!A18</f>
        <v/>
      </c>
      <c r="B1176">
        <f>Skills!B18</f>
        <v/>
      </c>
      <c r="C1176">
        <f>TRUE</f>
        <v/>
      </c>
      <c r="D1176">
        <f>IF(Skills!C18=1,60+Inputs!$B$25+Inputs!$B$29,IF(Skills!C18=2,90+Inputs!$B$26+Inputs!$B$29,IF(Skills!C18=3,120+Inputs!$B$27+Inputs!$B$29,MAX(0,(Inputs!$B$3-100)*3)+Inputs!$B$28+Inputs!$B$29)))</f>
        <v/>
      </c>
      <c r="E1176">
        <f>INDEX(FactorTable!$B$2:$Y$301, MATCH(ROUND(MIN(300,MAX(1,D1176)),0), FactorTable!$A$2:$A$301,0), Skills!M18+1)</f>
        <v/>
      </c>
      <c r="F1176">
        <f>IF(Skills!N18=TRUE,(Skills!L18/10)*(E1176/1000),Skills!L18/10)+Skills!O18</f>
        <v/>
      </c>
      <c r="G1176">
        <f>Skills!G18*IF(Skills!H18&gt;0,Skills!I18/Skills!H18,1)</f>
        <v/>
      </c>
      <c r="H1176">
        <f>1-(1-Skills!J18/100)^Skills!K18</f>
        <v/>
      </c>
      <c r="I1176" t="inlineStr">
        <is>
          <t>1</t>
        </is>
      </c>
      <c r="J1176" t="inlineStr"/>
      <c r="K1176" t="inlineStr"/>
      <c r="L1176" t="inlineStr"/>
      <c r="M1176" t="inlineStr"/>
      <c r="N1176" t="inlineStr"/>
      <c r="O1176">
        <f>(1-Summary!$B$55)*T1176+Summary!$B$55*V1176</f>
        <v/>
      </c>
      <c r="P1176">
        <f>IF(B1200=0,0,O1176/B1200)</f>
        <v/>
      </c>
      <c r="Q1176">
        <f>IFERROR(1/IF(Inputs!$B$38="pvp",15,MAX(0.1,Skills!D18-IF(Skills!E18=TRUE,Inputs!$B$32,0))),0)</f>
        <v/>
      </c>
      <c r="R1176">
        <f>IF(AND(Inputs!$B$38&lt;&gt;"pvp",Inputs!$B$43&gt;0),IF(Inputs!$B$43&lt;=0,0,(INT(Inputs!$B$43/IF(Inputs!$B$38="pvp",15,MAX(0.1,Skills!D18-IF(Skills!E18=TRUE,Inputs!$B$32,0))))+1)),0)</f>
        <v/>
      </c>
      <c r="S1176" t="n">
        <v>0</v>
      </c>
      <c r="T1176" t="n">
        <v>0</v>
      </c>
      <c r="V1176" t="n">
        <v>0</v>
      </c>
    </row>
    <row r="1177">
      <c r="A1177">
        <f>Skills!A19</f>
        <v/>
      </c>
      <c r="B1177">
        <f>Skills!B19</f>
        <v/>
      </c>
      <c r="C1177">
        <f>Inputs!$B$3&gt;=15</f>
        <v/>
      </c>
      <c r="D1177">
        <f>IF(Skills!C19=1,60+Inputs!$B$25+Inputs!$B$29,IF(Skills!C19=2,90+Inputs!$B$26+Inputs!$B$29,IF(Skills!C19=3,120+Inputs!$B$27+Inputs!$B$29,MAX(0,(Inputs!$B$3-100)*3)+Inputs!$B$28+Inputs!$B$29)))</f>
        <v/>
      </c>
      <c r="E1177">
        <f>INDEX(FactorTable!$B$2:$Y$301, MATCH(ROUND(MIN(300,MAX(1,D1177)),0), FactorTable!$A$2:$A$301,0), Skills!M19+1)</f>
        <v/>
      </c>
      <c r="F1177">
        <f>IF(Skills!N19=TRUE,(Skills!L19/10)*(E1177/1000),Skills!L19/10)+Skills!O19</f>
        <v/>
      </c>
      <c r="G1177">
        <f>Skills!G19*IF(Skills!H19&gt;0,Skills!I19/Skills!H19,1)</f>
        <v/>
      </c>
      <c r="H1177">
        <f>1-(1-Skills!J19/100)^Skills!K19</f>
        <v/>
      </c>
      <c r="I1177" t="inlineStr">
        <is>
          <t>1</t>
        </is>
      </c>
      <c r="J1177" t="inlineStr"/>
      <c r="K1177" t="inlineStr"/>
      <c r="L1177" t="inlineStr"/>
      <c r="M1177" t="inlineStr"/>
      <c r="N1177" t="inlineStr"/>
      <c r="O1177">
        <f>(1-Summary!$B$55)*T1177+Summary!$B$55*V1177</f>
        <v/>
      </c>
      <c r="P1177">
        <f>IF(B1200=0,0,O1177/B1200)</f>
        <v/>
      </c>
      <c r="Q1177" t="n">
        <v>0</v>
      </c>
      <c r="R1177" t="n">
        <v>0</v>
      </c>
      <c r="S1177" t="n">
        <v>0</v>
      </c>
      <c r="T1177" t="n">
        <v>0</v>
      </c>
      <c r="V1177" t="n">
        <v>0</v>
      </c>
    </row>
    <row r="1178">
      <c r="A1178">
        <f>Skills!A20</f>
        <v/>
      </c>
      <c r="B1178">
        <f>Skills!B20</f>
        <v/>
      </c>
      <c r="C1178">
        <f>Inputs!$B$3&gt;=10</f>
        <v/>
      </c>
      <c r="D1178">
        <f>IF(Skills!C20=1,60+Inputs!$B$25+Inputs!$B$29,IF(Skills!C20=2,90+Inputs!$B$26+Inputs!$B$29,IF(Skills!C20=3,120+Inputs!$B$27+Inputs!$B$29,MAX(0,(Inputs!$B$3-100)*3)+Inputs!$B$28+Inputs!$B$29)))</f>
        <v/>
      </c>
      <c r="E1178">
        <f>INDEX(FactorTable!$B$2:$Y$301, MATCH(ROUND(MIN(300,MAX(1,D1178)),0), FactorTable!$A$2:$A$301,0), Skills!M20+1)</f>
        <v/>
      </c>
      <c r="F1178">
        <f>IF(Skills!N20=TRUE,(Skills!L20/10)*(E1178/1000),Skills!L20/10)+Skills!O20</f>
        <v/>
      </c>
      <c r="G1178">
        <f>Skills!G20*IF(Skills!H20&gt;0,Skills!I20/Skills!H20,1)</f>
        <v/>
      </c>
      <c r="H1178">
        <f>1-(1-Skills!J20/100)^Skills!K20</f>
        <v/>
      </c>
      <c r="I1178" t="inlineStr">
        <is>
          <t>1</t>
        </is>
      </c>
      <c r="J1178" t="inlineStr"/>
      <c r="K1178" t="inlineStr"/>
      <c r="L1178" t="inlineStr"/>
      <c r="M1178" t="inlineStr"/>
      <c r="N1178" t="inlineStr"/>
      <c r="O1178">
        <f>(1-Summary!$B$55)*T1178+Summary!$B$55*V1178</f>
        <v/>
      </c>
      <c r="P1178">
        <f>IF(B1200=0,0,O1178/B1200)</f>
        <v/>
      </c>
      <c r="Q1178" t="n">
        <v>0</v>
      </c>
      <c r="R1178" t="n">
        <v>0</v>
      </c>
      <c r="S1178" t="n">
        <v>0</v>
      </c>
      <c r="T1178" t="n">
        <v>0</v>
      </c>
      <c r="V1178" t="n">
        <v>0</v>
      </c>
    </row>
    <row r="1179">
      <c r="A1179">
        <f>Skills!A21</f>
        <v/>
      </c>
      <c r="B1179">
        <f>Skills!B21</f>
        <v/>
      </c>
      <c r="C1179">
        <f>Inputs!$B$3&gt;=33</f>
        <v/>
      </c>
      <c r="D1179">
        <f>IF(Skills!C21=1,60+Inputs!$B$25+Inputs!$B$29,IF(Skills!C21=2,90+Inputs!$B$26+Inputs!$B$29,IF(Skills!C21=3,120+Inputs!$B$27+Inputs!$B$29,MAX(0,(Inputs!$B$3-100)*3)+Inputs!$B$28+Inputs!$B$29)))</f>
        <v/>
      </c>
      <c r="E1179">
        <f>INDEX(FactorTable!$B$2:$Y$301, MATCH(ROUND(MIN(300,MAX(1,D1179)),0), FactorTable!$A$2:$A$301,0), Skills!M21+1)</f>
        <v/>
      </c>
      <c r="F1179">
        <f>IF(Skills!N21=TRUE,(Skills!L21/10)*(E1179/1000),Skills!L21/10)+Skills!O21</f>
        <v/>
      </c>
      <c r="G1179">
        <f>Skills!G21*IF(Skills!H21&gt;0,Skills!I21/Skills!H21,1)</f>
        <v/>
      </c>
      <c r="H1179">
        <f>1-(1-Skills!J21/100)^Skills!K21</f>
        <v/>
      </c>
      <c r="I1179" t="inlineStr">
        <is>
          <t>1</t>
        </is>
      </c>
      <c r="J1179" t="inlineStr"/>
      <c r="K1179" t="inlineStr"/>
      <c r="L1179" t="inlineStr"/>
      <c r="M1179" t="inlineStr"/>
      <c r="N1179" t="inlineStr"/>
      <c r="O1179">
        <f>(1-Summary!$B$55)*T1179+Summary!$B$55*V1179</f>
        <v/>
      </c>
      <c r="P1179">
        <f>IF(B1200=0,0,O1179/B1200)</f>
        <v/>
      </c>
      <c r="Q1179" t="n">
        <v>0</v>
      </c>
      <c r="R1179" t="n">
        <v>0</v>
      </c>
      <c r="S1179" t="n">
        <v>0</v>
      </c>
      <c r="T1179" t="n">
        <v>0</v>
      </c>
      <c r="V1179" t="n">
        <v>0</v>
      </c>
    </row>
    <row r="1180">
      <c r="A1180">
        <f>Skills!A22</f>
        <v/>
      </c>
      <c r="B1180">
        <f>Skills!B22</f>
        <v/>
      </c>
      <c r="C1180">
        <f>Inputs!$B$3&gt;=38</f>
        <v/>
      </c>
      <c r="D1180">
        <f>IF(Skills!C22=1,60+Inputs!$B$25+Inputs!$B$29,IF(Skills!C22=2,90+Inputs!$B$26+Inputs!$B$29,IF(Skills!C22=3,120+Inputs!$B$27+Inputs!$B$29,MAX(0,(Inputs!$B$3-100)*3)+Inputs!$B$28+Inputs!$B$29)))</f>
        <v/>
      </c>
      <c r="E1180">
        <f>INDEX(FactorTable!$B$2:$Y$301, MATCH(ROUND(MIN(300,MAX(1,D1180)),0), FactorTable!$A$2:$A$301,0), Skills!M22+1)</f>
        <v/>
      </c>
      <c r="F1180">
        <f>IF(Skills!N22=TRUE,(Skills!L22/10)*(E1180/1000),Skills!L22/10)+Skills!O22</f>
        <v/>
      </c>
      <c r="G1180">
        <f>Skills!G22*IF(Skills!H22&gt;0,Skills!I22/Skills!H22,1)</f>
        <v/>
      </c>
      <c r="H1180">
        <f>1-(1-Skills!J22/100)^Skills!K22</f>
        <v/>
      </c>
      <c r="I1180" t="inlineStr">
        <is>
          <t>1</t>
        </is>
      </c>
      <c r="J1180" t="inlineStr"/>
      <c r="K1180" t="inlineStr"/>
      <c r="L1180" t="inlineStr"/>
      <c r="M1180" t="inlineStr"/>
      <c r="N1180" t="inlineStr"/>
      <c r="O1180">
        <f>(1-Summary!$B$55)*T1180+Summary!$B$55*V1180</f>
        <v/>
      </c>
      <c r="P1180">
        <f>IF(B1200=0,0,O1180/B1200)</f>
        <v/>
      </c>
      <c r="Q1180" t="n">
        <v>0</v>
      </c>
      <c r="R1180" t="n">
        <v>0</v>
      </c>
      <c r="S1180" t="n">
        <v>0</v>
      </c>
      <c r="T1180" t="n">
        <v>0</v>
      </c>
      <c r="V1180" t="n">
        <v>0</v>
      </c>
    </row>
    <row r="1181">
      <c r="A1181">
        <f>Skills!A23</f>
        <v/>
      </c>
      <c r="B1181">
        <f>Skills!B23</f>
        <v/>
      </c>
      <c r="C1181">
        <f>Inputs!$B$3&gt;=43</f>
        <v/>
      </c>
      <c r="D1181">
        <f>IF(Skills!C23=1,60+Inputs!$B$25+Inputs!$B$29,IF(Skills!C23=2,90+Inputs!$B$26+Inputs!$B$29,IF(Skills!C23=3,120+Inputs!$B$27+Inputs!$B$29,MAX(0,(Inputs!$B$3-100)*3)+Inputs!$B$28+Inputs!$B$29)))</f>
        <v/>
      </c>
      <c r="E1181">
        <f>INDEX(FactorTable!$B$2:$Y$301, MATCH(ROUND(MIN(300,MAX(1,D1181)),0), FactorTable!$A$2:$A$301,0), Skills!M23+1)</f>
        <v/>
      </c>
      <c r="F1181">
        <f>IF(Skills!N23=TRUE,(Skills!L23/10)*(E1181/1000),Skills!L23/10)+Skills!O23</f>
        <v/>
      </c>
      <c r="G1181">
        <f>Skills!G23*IF(Skills!H23&gt;0,Skills!I23/Skills!H23,1)</f>
        <v/>
      </c>
      <c r="H1181">
        <f>1-(1-Skills!J23/100)^Skills!K23</f>
        <v/>
      </c>
      <c r="I1181" t="inlineStr">
        <is>
          <t>1</t>
        </is>
      </c>
      <c r="J1181" t="inlineStr"/>
      <c r="K1181" t="inlineStr"/>
      <c r="L1181" t="inlineStr"/>
      <c r="M1181" t="inlineStr"/>
      <c r="N1181" t="inlineStr"/>
      <c r="O1181">
        <f>(1-Summary!$B$55)*T1181+Summary!$B$55*V1181</f>
        <v/>
      </c>
      <c r="P1181">
        <f>IF(B1200=0,0,O1181/B1200)</f>
        <v/>
      </c>
      <c r="Q1181" t="n">
        <v>0</v>
      </c>
      <c r="R1181" t="n">
        <v>0</v>
      </c>
      <c r="S1181" t="n">
        <v>0</v>
      </c>
      <c r="T1181" t="n">
        <v>0</v>
      </c>
      <c r="V1181" t="n">
        <v>0</v>
      </c>
    </row>
    <row r="1182">
      <c r="A1182">
        <f>Skills!A24</f>
        <v/>
      </c>
      <c r="B1182">
        <f>Skills!B24</f>
        <v/>
      </c>
      <c r="C1182">
        <f>Inputs!$B$3&gt;=75</f>
        <v/>
      </c>
      <c r="D1182">
        <f>IF(Skills!C24=1,60+Inputs!$B$25+Inputs!$B$29,IF(Skills!C24=2,90+Inputs!$B$26+Inputs!$B$29,IF(Skills!C24=3,120+Inputs!$B$27+Inputs!$B$29,MAX(0,(Inputs!$B$3-100)*3)+Inputs!$B$28+Inputs!$B$29)))</f>
        <v/>
      </c>
      <c r="E1182">
        <f>INDEX(FactorTable!$B$2:$Y$301, MATCH(ROUND(MIN(300,MAX(1,D1182)),0), FactorTable!$A$2:$A$301,0), Skills!M24+1)</f>
        <v/>
      </c>
      <c r="F1182">
        <f>IF(Skills!N24=TRUE,(Skills!L24/10)*(E1182/1000),Skills!L24/10)+Skills!O24</f>
        <v/>
      </c>
      <c r="G1182">
        <f>Skills!G24*IF(Skills!H24&gt;0,Skills!I24/Skills!H24,1)</f>
        <v/>
      </c>
      <c r="H1182">
        <f>1-(1-Skills!J24/100)^Skills!K24</f>
        <v/>
      </c>
      <c r="I1182" t="inlineStr">
        <is>
          <t>1</t>
        </is>
      </c>
      <c r="J1182" t="inlineStr"/>
      <c r="K1182" t="inlineStr"/>
      <c r="L1182" t="inlineStr"/>
      <c r="M1182" t="inlineStr"/>
      <c r="N1182" t="inlineStr"/>
      <c r="O1182">
        <f>(1-Summary!$B$55)*T1182+Summary!$B$55*V1182</f>
        <v/>
      </c>
      <c r="P1182">
        <f>IF(B1200=0,0,O1182/B1200)</f>
        <v/>
      </c>
      <c r="Q1182" t="n">
        <v>0</v>
      </c>
      <c r="R1182" t="n">
        <v>0</v>
      </c>
      <c r="S1182" t="n">
        <v>0</v>
      </c>
      <c r="T1182" t="n">
        <v>0</v>
      </c>
      <c r="V1182" t="n">
        <v>0</v>
      </c>
    </row>
    <row r="1183">
      <c r="A1183">
        <f>Skills!A25</f>
        <v/>
      </c>
      <c r="B1183">
        <f>Skills!B25</f>
        <v/>
      </c>
      <c r="C1183">
        <f>Inputs!$B$3&gt;=125</f>
        <v/>
      </c>
      <c r="D1183">
        <f>IF(Skills!C25=1,60+Inputs!$B$25+Inputs!$B$29,IF(Skills!C25=2,90+Inputs!$B$26+Inputs!$B$29,IF(Skills!C25=3,120+Inputs!$B$27+Inputs!$B$29,MAX(0,(Inputs!$B$3-100)*3)+Inputs!$B$28+Inputs!$B$29)))</f>
        <v/>
      </c>
      <c r="E1183">
        <f>INDEX(FactorTable!$B$2:$Y$301, MATCH(ROUND(MIN(300,MAX(1,D1183)),0), FactorTable!$A$2:$A$301,0), Skills!M25+1)</f>
        <v/>
      </c>
      <c r="F1183">
        <f>IF(Skills!N25=TRUE,(Skills!L25/10)*(E1183/1000),Skills!L25/10)+Skills!O25</f>
        <v/>
      </c>
      <c r="G1183">
        <f>Skills!G25*IF(Skills!H25&gt;0,Skills!I25/Skills!H25,1)</f>
        <v/>
      </c>
      <c r="H1183">
        <f>1-(1-Skills!J25/100)^Skills!K25</f>
        <v/>
      </c>
      <c r="I1183" t="inlineStr">
        <is>
          <t>1</t>
        </is>
      </c>
      <c r="J1183" t="inlineStr"/>
      <c r="K1183" t="inlineStr"/>
      <c r="L1183" t="inlineStr"/>
      <c r="M1183" t="inlineStr"/>
      <c r="N1183" t="inlineStr"/>
      <c r="O1183">
        <f>(1-Summary!$B$55)*T1183+Summary!$B$55*V1183</f>
        <v/>
      </c>
      <c r="P1183">
        <f>IF(B1200=0,0,O1183/B1200)</f>
        <v/>
      </c>
      <c r="Q1183" t="n">
        <v>0</v>
      </c>
      <c r="R1183" t="n">
        <v>0</v>
      </c>
      <c r="S1183" t="n">
        <v>0</v>
      </c>
      <c r="T1183" t="n">
        <v>0</v>
      </c>
      <c r="V1183" t="n">
        <v>0</v>
      </c>
    </row>
    <row r="1184">
      <c r="A1184">
        <f>Skills!A26</f>
        <v/>
      </c>
      <c r="B1184">
        <f>Skills!B26</f>
        <v/>
      </c>
      <c r="C1184">
        <f>Inputs!$B$3&gt;=125</f>
        <v/>
      </c>
      <c r="D1184">
        <f>IF(Skills!C26=1,60+Inputs!$B$25+Inputs!$B$29,IF(Skills!C26=2,90+Inputs!$B$26+Inputs!$B$29,IF(Skills!C26=3,120+Inputs!$B$27+Inputs!$B$29,MAX(0,(Inputs!$B$3-100)*3)+Inputs!$B$28+Inputs!$B$29)))</f>
        <v/>
      </c>
      <c r="E1184">
        <f>INDEX(FactorTable!$B$2:$Y$301, MATCH(ROUND(MIN(300,MAX(1,D1184)),0), FactorTable!$A$2:$A$301,0), Skills!M26+1)</f>
        <v/>
      </c>
      <c r="F1184">
        <f>IF(Skills!N26=TRUE,(Skills!L26/10)*(E1184/1000),Skills!L26/10)+Skills!O26</f>
        <v/>
      </c>
      <c r="G1184">
        <f>Skills!G26*IF(Skills!H26&gt;0,Skills!I26/Skills!H26,1)</f>
        <v/>
      </c>
      <c r="H1184">
        <f>1-(1-Skills!J26/100)^Skills!K26</f>
        <v/>
      </c>
      <c r="I1184" t="inlineStr">
        <is>
          <t>1</t>
        </is>
      </c>
      <c r="J1184" t="inlineStr"/>
      <c r="K1184" t="inlineStr"/>
      <c r="L1184" t="inlineStr"/>
      <c r="M1184" t="inlineStr"/>
      <c r="N1184" t="inlineStr"/>
      <c r="O1184">
        <f>(1-Summary!$B$55)*T1184+Summary!$B$55*V1184</f>
        <v/>
      </c>
      <c r="P1184">
        <f>IF(B1200=0,0,O1184/B1200)</f>
        <v/>
      </c>
      <c r="Q1184" t="n">
        <v>0</v>
      </c>
      <c r="R1184" t="n">
        <v>0</v>
      </c>
      <c r="S1184" t="n">
        <v>0</v>
      </c>
      <c r="T1184" t="n">
        <v>0</v>
      </c>
      <c r="V1184" t="n">
        <v>0</v>
      </c>
    </row>
    <row r="1185">
      <c r="A1185">
        <f>Skills!A27</f>
        <v/>
      </c>
      <c r="B1185">
        <f>Skills!B27</f>
        <v/>
      </c>
      <c r="C1185">
        <f>Inputs!$B$3&gt;=120</f>
        <v/>
      </c>
      <c r="D1185">
        <f>IF(Skills!C27=1,60+Inputs!$B$25+Inputs!$B$29,IF(Skills!C27=2,90+Inputs!$B$26+Inputs!$B$29,IF(Skills!C27=3,120+Inputs!$B$27+Inputs!$B$29,MAX(0,(Inputs!$B$3-100)*3)+Inputs!$B$28+Inputs!$B$29)))</f>
        <v/>
      </c>
      <c r="E1185">
        <f>INDEX(FactorTable!$B$2:$Y$301, MATCH(ROUND(MIN(300,MAX(1,D1185)),0), FactorTable!$A$2:$A$301,0), Skills!M27+1)</f>
        <v/>
      </c>
      <c r="F1185">
        <f>IF(Skills!N27=TRUE,(Skills!L27/10)*(E1185/1000),Skills!L27/10)+Skills!O27</f>
        <v/>
      </c>
      <c r="G1185">
        <f>Skills!G27*IF(Skills!H27&gt;0,Skills!I27/Skills!H27,1)</f>
        <v/>
      </c>
      <c r="H1185">
        <f>1-(1-Skills!J27/100)^Skills!K27</f>
        <v/>
      </c>
      <c r="I1185" t="inlineStr">
        <is>
          <t>1</t>
        </is>
      </c>
      <c r="J1185" t="inlineStr"/>
      <c r="K1185" t="inlineStr"/>
      <c r="L1185" t="inlineStr"/>
      <c r="M1185" t="inlineStr"/>
      <c r="N1185" t="inlineStr"/>
      <c r="O1185">
        <f>(1-Summary!$B$55)*T1185+Summary!$B$55*V1185</f>
        <v/>
      </c>
      <c r="P1185">
        <f>IF(B1200=0,0,O1185/B1200)</f>
        <v/>
      </c>
      <c r="Q1185" t="n">
        <v>0</v>
      </c>
      <c r="R1185" t="n">
        <v>0</v>
      </c>
      <c r="S1185" t="n">
        <v>0</v>
      </c>
      <c r="T1185" t="n">
        <v>0</v>
      </c>
      <c r="V1185" t="n">
        <v>0</v>
      </c>
    </row>
    <row r="1186">
      <c r="A1186">
        <f>Skills!A28</f>
        <v/>
      </c>
      <c r="B1186">
        <f>Skills!B28</f>
        <v/>
      </c>
      <c r="C1186">
        <f>Inputs!$B$3&gt;=120</f>
        <v/>
      </c>
      <c r="D1186">
        <f>IF(Skills!C28=1,60+Inputs!$B$25+Inputs!$B$29,IF(Skills!C28=2,90+Inputs!$B$26+Inputs!$B$29,IF(Skills!C28=3,120+Inputs!$B$27+Inputs!$B$29,MAX(0,(Inputs!$B$3-100)*3)+Inputs!$B$28+Inputs!$B$29)))</f>
        <v/>
      </c>
      <c r="E1186">
        <f>INDEX(FactorTable!$B$2:$Y$301, MATCH(ROUND(MIN(300,MAX(1,D1186)),0), FactorTable!$A$2:$A$301,0), Skills!M28+1)</f>
        <v/>
      </c>
      <c r="F1186">
        <f>IF(Skills!N28=TRUE,(Skills!L28/10)*(E1186/1000),Skills!L28/10)+Skills!O28</f>
        <v/>
      </c>
      <c r="G1186">
        <f>Skills!G28*IF(Skills!H28&gt;0,Skills!I28/Skills!H28,1)</f>
        <v/>
      </c>
      <c r="H1186">
        <f>1-(1-Skills!J28/100)^Skills!K28</f>
        <v/>
      </c>
      <c r="I1186" t="inlineStr">
        <is>
          <t>1</t>
        </is>
      </c>
      <c r="J1186" t="inlineStr"/>
      <c r="K1186" t="inlineStr"/>
      <c r="L1186" t="inlineStr"/>
      <c r="M1186" t="inlineStr"/>
      <c r="N1186" t="inlineStr"/>
      <c r="O1186">
        <f>(1-Summary!$B$55)*T1186+Summary!$B$55*V1186</f>
        <v/>
      </c>
      <c r="P1186">
        <f>IF(B1200=0,0,O1186/B1200)</f>
        <v/>
      </c>
      <c r="Q1186" t="n">
        <v>0</v>
      </c>
      <c r="R1186" t="n">
        <v>0</v>
      </c>
      <c r="S1186" t="n">
        <v>0</v>
      </c>
      <c r="T1186" t="n">
        <v>0</v>
      </c>
      <c r="V1186" t="n">
        <v>0</v>
      </c>
    </row>
    <row r="1187">
      <c r="A1187">
        <f>Skills!A29</f>
        <v/>
      </c>
      <c r="B1187">
        <f>Skills!B29</f>
        <v/>
      </c>
      <c r="C1187">
        <f>Inputs!$B$3&gt;=45</f>
        <v/>
      </c>
      <c r="D1187">
        <f>IF(Skills!C29=1,60+Inputs!$B$25+Inputs!$B$29,IF(Skills!C29=2,90+Inputs!$B$26+Inputs!$B$29,IF(Skills!C29=3,120+Inputs!$B$27+Inputs!$B$29,MAX(0,(Inputs!$B$3-100)*3)+Inputs!$B$28+Inputs!$B$29)))</f>
        <v/>
      </c>
      <c r="E1187">
        <f>INDEX(FactorTable!$B$2:$Y$301, MATCH(ROUND(MIN(300,MAX(1,D1187)),0), FactorTable!$A$2:$A$301,0), Skills!M29+1)</f>
        <v/>
      </c>
      <c r="F1187">
        <f>IF(Skills!N29=TRUE,(Skills!L29/10)*(E1187/1000),Skills!L29/10)+Skills!O29</f>
        <v/>
      </c>
      <c r="G1187">
        <f>Skills!G29*IF(Skills!H29&gt;0,Skills!I29/Skills!H29,1)</f>
        <v/>
      </c>
      <c r="H1187">
        <f>1-(1-Skills!J29/100)^Skills!K29</f>
        <v/>
      </c>
      <c r="I1187" t="inlineStr">
        <is>
          <t>1</t>
        </is>
      </c>
      <c r="J1187" t="inlineStr"/>
      <c r="K1187" t="inlineStr"/>
      <c r="L1187" t="inlineStr"/>
      <c r="M1187" t="inlineStr"/>
      <c r="N1187" t="inlineStr"/>
      <c r="O1187">
        <f>(1-Summary!$B$55)*T1187+Summary!$B$55*V1187</f>
        <v/>
      </c>
      <c r="P1187">
        <f>IF(B1200=0,0,O1187/B1200)</f>
        <v/>
      </c>
      <c r="Q1187" t="n">
        <v>0</v>
      </c>
      <c r="R1187" t="n">
        <v>0</v>
      </c>
      <c r="S1187" t="n">
        <v>0</v>
      </c>
      <c r="T1187" t="n">
        <v>0</v>
      </c>
      <c r="V1187" t="n">
        <v>0</v>
      </c>
    </row>
    <row r="1189">
      <c r="A1189" t="inlineStr">
        <is>
          <t>Attack% Bucket Multiplier</t>
        </is>
      </c>
      <c r="B1189">
        <f>(1+(((C1171=TRUE)*F1171)+((C1172=TRUE)*IF(Inputs!$B$38="pvp",F1172,(1-Summary!$B$55)*(F1172)+Summary!$B$55*(0)))+((C1173=TRUE)*F1173*IF(AND(Inputs!$B$38&lt;&gt;"pvp",Inputs!$B$43&gt;0),(((R1173-1)*(Skills!T15*(1+(Inputs!$B$34+1)/100))+MIN((Skills!T15*(1+(Inputs!$B$34+1)/100)),MAX(0,Inputs!$B$43-((R1173-1)*Skills!D15))))/Inputs!$B$43),IF(Inputs!$B$38="pvp",MIN((Skills!T15*(1+(Inputs!$B$34+1)/100)),15)/15,(Skills!T15*(1+(Inputs!$B$34+1)/100))/Skills!D15)))+((C1170=TRUE)*F1170)+((C1187=TRUE)*(F1187-Calc!F29)))/100)</f>
        <v/>
      </c>
    </row>
    <row r="1190">
      <c r="A1190" t="inlineStr">
        <is>
          <t>Global Crit Rate Bonus %</t>
        </is>
      </c>
      <c r="B1190">
        <f>(C1174=TRUE)*20*IF(AND(Inputs!$B$38&lt;&gt;"pvp",Inputs!$B$43&gt;0),(((R1174-1)*(Skills!T16*(1+(Inputs!$B$34+1)/100))+MIN((Skills!T16*(1+(Inputs!$B$34+1)/100)),MAX(0,Inputs!$B$43-((R1174-1)*Skills!D16))))/Inputs!$B$43),IF(Inputs!$B$38="pvp",MIN((Skills!T16*(1+(Inputs!$B$34+1)/100)),15)/15,(Skills!T16*(1+(Inputs!$B$34+1)/100))/Skills!D16))</f>
        <v/>
      </c>
    </row>
    <row r="1191">
      <c r="A1191" t="inlineStr">
        <is>
          <t>Attack Speed Buff Bonus %</t>
        </is>
      </c>
      <c r="B1191">
        <f>((C1176=TRUE)*F1176*IF(AND(Inputs!$B$38&lt;&gt;"pvp",Inputs!$B$43&gt;0),(((R1176-1)*(Skills!T18*(1+(Inputs!$B$34+1)/100))+MIN((Skills!T18*(1+(Inputs!$B$34+1)/100)),MAX(0,Inputs!$B$43-((R1176-1)*Skills!D18))))/Inputs!$B$43),IF(Inputs!$B$38="pvp",MIN((Skills!T18*(1+(Inputs!$B$34+1)/100)),15)/15,(Skills!T18*(1+(Inputs!$B$34+1)/100))/Skills!D18)))</f>
        <v/>
      </c>
    </row>
    <row r="1192">
      <c r="A1192" t="inlineStr">
        <is>
          <t>Actions Per Second</t>
        </is>
      </c>
      <c r="B1192">
        <f>1+MIN(150,150*(1-(1-(Inputs!$B$11+((C1178=TRUE)*(F1178-Calc!F20))+((C1179=TRUE)*(F1179-Calc!F21)))/150)*(1-B1191/150)))/100</f>
        <v/>
      </c>
    </row>
    <row r="1193">
      <c r="A1193" t="inlineStr">
        <is>
          <t>Skill + Buff Cast Rate</t>
        </is>
      </c>
      <c r="B1193">
        <f>IF(AND(Inputs!$B$38&lt;&gt;"pvp",Inputs!$B$43&gt;0),SUMPRODUCT((Skills!E2:E29=TRUE)*(C1160:C1187=TRUE)*R1160:R1187*Skills!F2:F29)/Inputs!$B$43,SUMPRODUCT((Skills!E2:E29=TRUE)*(C1160:C1187=TRUE)*Q1160:Q1187*Skills!F2:F29))</f>
        <v/>
      </c>
    </row>
    <row r="1194">
      <c r="A1194" t="inlineStr">
        <is>
          <t>Empowered Piercing Arrow Casts Per Second</t>
        </is>
      </c>
      <c r="B1194">
        <f>MAX(0,B1192-B1193)</f>
        <v/>
      </c>
    </row>
    <row r="1195">
      <c r="A1195" t="inlineStr">
        <is>
          <t>Global Critical Damage Bonus % (Sharp Eyes)</t>
        </is>
      </c>
      <c r="B1195">
        <f>(C1174=TRUE)*F1174*IF(AND(Inputs!$B$38&lt;&gt;"pvp",Inputs!$B$43&gt;0),(((R1174-1)*(Skills!T16*(1+(Inputs!$B$34+1)/100))+MIN((Skills!T16*(1+(Inputs!$B$34+1)/100)),MAX(0,Inputs!$B$43-((R1174-1)*Skills!D16))))/Inputs!$B$43),IF(Inputs!$B$38="pvp",MIN((Skills!T16*(1+(Inputs!$B$34+1)/100)),15)/15,(Skills!T16*(1+(Inputs!$B$34+1)/100))/Skills!D16))</f>
        <v/>
      </c>
    </row>
    <row r="1196">
      <c r="A1196" t="inlineStr">
        <is>
          <t>Global Final Damage Bonus % (Mortal Blow + Last Man Standing conditional half)</t>
        </is>
      </c>
      <c r="B1196">
        <f>(C1175=TRUE)*F1175+((C1184=TRUE)*IF(Inputs!$B$38="pvp",F1184,(1-Summary!$B$55)*(F1184)+Summary!$B$55*(0)))</f>
        <v/>
      </c>
    </row>
    <row r="1197">
      <c r="A1197" t="inlineStr">
        <is>
          <t>Buff-Casting Startup Delay (s, fixed-duration only)</t>
        </is>
      </c>
      <c r="B1197">
        <f>IF(AND(Inputs!$B$38&lt;&gt;"pvp",Inputs!$B$43&gt;0),SUMPRODUCT((Skills!T2:T29&gt;0)*(Skills!E2:E29=TRUE)*(C1160:C1187=TRUE))/B1192,0)</f>
        <v/>
      </c>
    </row>
    <row r="1198">
      <c r="A1198" t="inlineStr">
        <is>
          <t>Boss-Only Total DPS (this block's swept value)</t>
        </is>
      </c>
      <c r="B1198">
        <f>SUM(T1160:T1187)</f>
        <v/>
      </c>
    </row>
    <row r="1199">
      <c r="A1199" t="inlineStr">
        <is>
          <t>Normal-Only Total DPS (this block's swept value)</t>
        </is>
      </c>
      <c r="B1199">
        <f>SUM(V1160:V1187)</f>
        <v/>
      </c>
    </row>
    <row r="1200">
      <c r="A1200" s="5" t="inlineStr">
        <is>
          <t>TOTAL DPS</t>
        </is>
      </c>
      <c r="B1200" s="5">
        <f>SUM(O1160:O1187)</f>
        <v/>
      </c>
    </row>
    <row r="1203">
      <c r="A1203" s="7" t="inlineStr">
        <is>
          <t>Cooldown Reduction Milestone Sweep (absolute CDR seconds, fixed-duration content only)</t>
        </is>
      </c>
    </row>
    <row r="1204">
      <c r="A1204" s="9" t="inlineStr">
        <is>
          <t>CDR (s)</t>
        </is>
      </c>
      <c r="B1204" s="9" t="inlineStr">
        <is>
          <t>Total DPS</t>
        </is>
      </c>
      <c r="C1204" s="9" t="inlineStr">
        <is>
          <t>DPS Gain (vs prior step)</t>
        </is>
      </c>
      <c r="D1204" s="9" t="inlineStr">
        <is>
          <t>% Gain (vs current CDR)</t>
        </is>
      </c>
    </row>
    <row r="1205">
      <c r="A1205" t="n">
        <v>0.5</v>
      </c>
      <c r="B1205">
        <f>B1259</f>
        <v/>
      </c>
      <c r="C1205" t="n">
        <v>0</v>
      </c>
      <c r="D1205">
        <f>IF(Summary!$B$3=0,0,(B1205-Summary!$B$3)/Summary!$B$3*100)</f>
        <v/>
      </c>
    </row>
    <row r="1206">
      <c r="A1206" t="n">
        <v>1</v>
      </c>
      <c r="B1206">
        <f>B1304</f>
        <v/>
      </c>
      <c r="C1206">
        <f>B1206-B1205</f>
        <v/>
      </c>
      <c r="D1206">
        <f>IF(Summary!$B$3=0,0,(B1206-Summary!$B$3)/Summary!$B$3*100)</f>
        <v/>
      </c>
    </row>
    <row r="1207">
      <c r="A1207" t="n">
        <v>1.5</v>
      </c>
      <c r="B1207">
        <f>B1349</f>
        <v/>
      </c>
      <c r="C1207">
        <f>B1207-B1206</f>
        <v/>
      </c>
      <c r="D1207">
        <f>IF(Summary!$B$3=0,0,(B1207-Summary!$B$3)/Summary!$B$3*100)</f>
        <v/>
      </c>
    </row>
    <row r="1208">
      <c r="A1208" t="n">
        <v>2</v>
      </c>
      <c r="B1208">
        <f>B1394</f>
        <v/>
      </c>
      <c r="C1208">
        <f>B1208-B1207</f>
        <v/>
      </c>
      <c r="D1208">
        <f>IF(Summary!$B$3=0,0,(B1208-Summary!$B$3)/Summary!$B$3*100)</f>
        <v/>
      </c>
    </row>
    <row r="1209">
      <c r="A1209" t="n">
        <v>2.5</v>
      </c>
      <c r="B1209">
        <f>B1439</f>
        <v/>
      </c>
      <c r="C1209">
        <f>B1209-B1208</f>
        <v/>
      </c>
      <c r="D1209">
        <f>IF(Summary!$B$3=0,0,(B1209-Summary!$B$3)/Summary!$B$3*100)</f>
        <v/>
      </c>
    </row>
    <row r="1210">
      <c r="A1210" t="n">
        <v>3</v>
      </c>
      <c r="B1210">
        <f>B1484</f>
        <v/>
      </c>
      <c r="C1210">
        <f>B1210-B1209</f>
        <v/>
      </c>
      <c r="D1210">
        <f>IF(Summary!$B$3=0,0,(B1210-Summary!$B$3)/Summary!$B$3*100)</f>
        <v/>
      </c>
    </row>
    <row r="1211">
      <c r="A1211" t="n">
        <v>3.5</v>
      </c>
      <c r="B1211">
        <f>B1529</f>
        <v/>
      </c>
      <c r="C1211">
        <f>B1211-B1210</f>
        <v/>
      </c>
      <c r="D1211">
        <f>IF(Summary!$B$3=0,0,(B1211-Summary!$B$3)/Summary!$B$3*100)</f>
        <v/>
      </c>
    </row>
    <row r="1212">
      <c r="A1212" t="n">
        <v>4</v>
      </c>
      <c r="B1212">
        <f>B1574</f>
        <v/>
      </c>
      <c r="C1212">
        <f>B1212-B1211</f>
        <v/>
      </c>
      <c r="D1212">
        <f>IF(Summary!$B$3=0,0,(B1212-Summary!$B$3)/Summary!$B$3*100)</f>
        <v/>
      </c>
    </row>
    <row r="1213">
      <c r="A1213" t="n">
        <v>4.5</v>
      </c>
      <c r="B1213">
        <f>B1619</f>
        <v/>
      </c>
      <c r="C1213">
        <f>B1213-B1212</f>
        <v/>
      </c>
      <c r="D1213">
        <f>IF(Summary!$B$3=0,0,(B1213-Summary!$B$3)/Summary!$B$3*100)</f>
        <v/>
      </c>
    </row>
    <row r="1214">
      <c r="A1214" t="n">
        <v>5</v>
      </c>
      <c r="B1214">
        <f>B1664</f>
        <v/>
      </c>
      <c r="C1214">
        <f>B1214-B1213</f>
        <v/>
      </c>
      <c r="D1214">
        <f>IF(Summary!$B$3=0,0,(B1214-Summary!$B$3)/Summary!$B$3*100)</f>
        <v/>
      </c>
    </row>
    <row r="1217">
      <c r="A1217" s="5" t="inlineStr">
        <is>
          <t>Stat: CDR = 0.5s</t>
        </is>
      </c>
    </row>
    <row r="1218">
      <c r="A1218" s="9" t="inlineStr">
        <is>
          <t>Key</t>
        </is>
      </c>
      <c r="B1218" s="9" t="inlineStr">
        <is>
          <t>Name</t>
        </is>
      </c>
      <c r="C1218" s="9" t="inlineStr">
        <is>
          <t>Unlocked</t>
        </is>
      </c>
      <c r="D1218" s="9" t="inlineStr">
        <is>
          <t>InputLevel</t>
        </is>
      </c>
      <c r="E1218" s="9" t="inlineStr">
        <is>
          <t>Factor</t>
        </is>
      </c>
      <c r="F1218" s="9" t="inlineStr">
        <is>
          <t>CoefficientPercent</t>
        </is>
      </c>
      <c r="G1218" s="9" t="inlineStr">
        <is>
          <t>EffectiveHits</t>
        </is>
      </c>
      <c r="H1218" s="9" t="inlineStr">
        <is>
          <t>ProcProbability</t>
        </is>
      </c>
      <c r="I1218" s="9" t="inlineStr">
        <is>
          <t>MapleHeroMultiplier</t>
        </is>
      </c>
      <c r="J1218" s="9" t="inlineStr">
        <is>
          <t>BaseDamage</t>
        </is>
      </c>
      <c r="K1218" s="9" t="inlineStr">
        <is>
          <t>BaseHitDamage</t>
        </is>
      </c>
      <c r="L1218" s="9" t="inlineStr">
        <is>
          <t>NonCritAvg</t>
        </is>
      </c>
      <c r="M1218" s="9" t="inlineStr">
        <is>
          <t>CritAvg</t>
        </is>
      </c>
      <c r="N1218" s="9" t="inlineStr">
        <is>
          <t>ExpectedDamage(perHit)</t>
        </is>
      </c>
      <c r="O1218" s="9" t="inlineStr">
        <is>
          <t>DPS</t>
        </is>
      </c>
      <c r="P1218" s="9" t="inlineStr">
        <is>
          <t>% of Total</t>
        </is>
      </c>
      <c r="Q1218" s="9" t="inlineStr">
        <is>
          <t>InvCooldown</t>
        </is>
      </c>
      <c r="R1218" s="9" t="inlineStr">
        <is>
          <t>CastsInFight</t>
        </is>
      </c>
      <c r="S1218" s="9" t="inlineStr">
        <is>
          <t>HitRate(perSec)</t>
        </is>
      </c>
      <c r="U1218" t="inlineStr">
        <is>
          <t>helpers</t>
        </is>
      </c>
    </row>
    <row r="1219">
      <c r="A1219">
        <f>Skills!A2</f>
        <v/>
      </c>
      <c r="B1219">
        <f>Skills!B2</f>
        <v/>
      </c>
      <c r="C1219">
        <f>Inputs!$B$3&gt;=100</f>
        <v/>
      </c>
      <c r="D1219" t="inlineStr"/>
      <c r="E1219" t="inlineStr"/>
      <c r="F1219">
        <f>U1221+Skills!O2</f>
        <v/>
      </c>
      <c r="G1219">
        <f>Skills!G2*IF(Skills!H2&gt;0,Skills!I2/Skills!H2,1)</f>
        <v/>
      </c>
      <c r="H1219">
        <f>1-(1-Skills!J2/100)^Skills!K2</f>
        <v/>
      </c>
      <c r="I1219" t="inlineStr">
        <is>
          <t>1</t>
        </is>
      </c>
      <c r="J1219">
        <f>((Inputs!$B$6*(1+Inputs!$B$7/100))+(((Inputs!$B$12*(1+Inputs!$B$13/100))-(Inputs!$B$12*(1+Inputs!$B$13/100)))+0.25*(Inputs!$B$14-Inputs!$B$14))*(1+Inputs!$B$7/100))*(F1219/100)</f>
        <v/>
      </c>
      <c r="K1219">
        <f>J1219*(1+((Inputs!$B$12*(1+Inputs!$B$13/100))*0.01+Inputs!$B$14*0.0025)/100)*(1+Inputs!$B$15/100)*(1+Inputs!$B$16/100)*(5000/(6000+Inputs!$B$42*(1-(Inputs!$B$19+0)/100)))*(1+(Inputs!$B$24+((C1241=TRUE)*(F1241-Calc!F24))+((C1242=TRUE)*(F1242-Calc!F25))+B1255)/100)*(1+(IF(Skills!A2="EMPOWERED_PIERCING_ARROW",Inputs!$B$17+((C1239=TRUE)*(F1239-Calc!F22)),Inputs!$B$18+((C1244=TRUE)*(F1244-Calc!F27))))/100)*((1+(((C1230=TRUE)*F1230)+((C1231=TRUE)*IF(Inputs!$B$38="pvp",F1231,(1-Summary!$B$55)*(F1231)+Summary!$B$55*(0)))+((C1232=TRUE)*F1232*IF(AND(Inputs!$B$38&lt;&gt;"pvp",Inputs!$B$43&gt;0),(((R1232-1)*(Skills!T15*(1+Inputs!$B$34/100))+MIN((Skills!T15*(1+Inputs!$B$34/100)),MAX(0,Inputs!$B$43-((R1232-1)*Skills!D15))))/Inputs!$B$43),IF(Inputs!$B$38="pvp",MIN((Skills!T15*(1+Inputs!$B$34/100)),15)/15,(Skills!T15*(1+Inputs!$B$34/100))/Skills!D15)))+((C1229=TRUE)*F1229)+((C1246=TRUE)*(F1246-Calc!F29)))/100)*I1219)</f>
        <v/>
      </c>
      <c r="L1219">
        <f>K1219*(MIN(Inputs!$B$22+((C1240=TRUE)*(F1240-Calc!F23)),Inputs!$B$23+((C1245=TRUE)*(F1245-Calc!F28)))/100+(Inputs!$B$23+((C1245=TRUE)*(F1245-Calc!F28)))/100)/2</f>
        <v/>
      </c>
      <c r="M1219">
        <f>L1219*(1+(Inputs!$B$10+0+B1254)/100)</f>
        <v/>
      </c>
      <c r="N1219">
        <f>L1219*(1-MIN((Inputs!$B$9+((C1236=TRUE)*(F1236-Calc!F19))+B1249),100)/100)+M1219*(MIN((Inputs!$B$9+((C1236=TRUE)*(F1236-Calc!F19))+B1249),100)/100)</f>
        <v/>
      </c>
      <c r="O1219">
        <f>(1-Summary!$B$55)*T1219+Summary!$B$55*V1219</f>
        <v/>
      </c>
      <c r="P1219">
        <f>IF(B1259=0,0,O1219/B1259)</f>
        <v/>
      </c>
      <c r="Q1219" t="n">
        <v>0</v>
      </c>
      <c r="R1219" t="n">
        <v>0</v>
      </c>
      <c r="S1219">
        <f>IFERROR((Skills!G2*N1219*B1253)/N1219*IF(Inputs!$B$38="pvp",1,(1-Summary!$B$55)*1+Summary!$B$55*(MIN((6+Inputs!$B$33),Inputs!$B$37))),0)</f>
        <v/>
      </c>
      <c r="T1219">
        <f>IF(C1219,(Skills!G2*N1219*B1253)*IF(Inputs!$B$38="pvp",1,1+(Inputs!$B$20+0+Skills!P2)/100),0)</f>
        <v/>
      </c>
      <c r="U1219">
        <f>MAX(0,(Inputs!$B$3-100)*3)+Inputs!$B$28+Inputs!$B$29</f>
        <v/>
      </c>
      <c r="V1219">
        <f>IF(C1219,(Skills!G2*N1219*B1253)*IF(Inputs!$B$38="pvp",1,(1+(Inputs!$B$21+Skills!Q2)/100)*(MIN((6+Inputs!$B$33),Inputs!$B$37))),0)</f>
        <v/>
      </c>
    </row>
    <row r="1220">
      <c r="A1220">
        <f>Skills!A3</f>
        <v/>
      </c>
      <c r="B1220">
        <f>Skills!B3</f>
        <v/>
      </c>
      <c r="C1220">
        <f>Inputs!$B$3&gt;=50</f>
        <v/>
      </c>
      <c r="D1220">
        <f>IF(Skills!C3=1,60+Inputs!$B$25+Inputs!$B$29,IF(Skills!C3=2,90+Inputs!$B$26+Inputs!$B$29,IF(Skills!C3=3,120+Inputs!$B$27+Inputs!$B$29,MAX(0,(Inputs!$B$3-100)*3)+Inputs!$B$28+Inputs!$B$29)))</f>
        <v/>
      </c>
      <c r="E1220">
        <f>INDEX(FactorTable!$B$2:$Y$301, MATCH(ROUND(MIN(300,MAX(1,D1220)),0), FactorTable!$A$2:$A$301,0), Skills!M3+1)</f>
        <v/>
      </c>
      <c r="F1220">
        <f>IF(Skills!N3=TRUE,(Skills!L3/10)*(E1220/1000),Skills!L3/10)+Skills!O3</f>
        <v/>
      </c>
      <c r="G1220" t="inlineStr"/>
      <c r="H1220" t="inlineStr"/>
      <c r="I1220" t="inlineStr">
        <is>
          <t>1</t>
        </is>
      </c>
      <c r="J1220" t="inlineStr"/>
      <c r="K1220" t="inlineStr"/>
      <c r="L1220" t="inlineStr"/>
      <c r="M1220" t="inlineStr"/>
      <c r="N1220" t="inlineStr"/>
      <c r="O1220" t="inlineStr"/>
      <c r="P1220" t="inlineStr"/>
      <c r="Q1220" t="inlineStr"/>
      <c r="R1220" t="inlineStr"/>
      <c r="S1220" t="inlineStr"/>
      <c r="T1220" t="inlineStr"/>
      <c r="U1220">
        <f>INDEX(FactorTable!$B$2:$Y$301, MATCH(ROUND(MIN(300,MAX(1,U1219)),0), FactorTable!$A$2:$A$301,0), 22)</f>
        <v/>
      </c>
      <c r="V1220" t="inlineStr"/>
    </row>
    <row r="1221">
      <c r="A1221">
        <f>Skills!A4</f>
        <v/>
      </c>
      <c r="B1221">
        <f>Skills!B4</f>
        <v/>
      </c>
      <c r="C1221">
        <f>Inputs!$B$3&gt;=105</f>
        <v/>
      </c>
      <c r="D1221">
        <f>IF(Skills!C4=1,60+Inputs!$B$25+Inputs!$B$29,IF(Skills!C4=2,90+Inputs!$B$26+Inputs!$B$29,IF(Skills!C4=3,120+Inputs!$B$27+Inputs!$B$29,MAX(0,(Inputs!$B$3-100)*3)+Inputs!$B$28+Inputs!$B$29)))</f>
        <v/>
      </c>
      <c r="E1221">
        <f>INDEX(FactorTable!$B$2:$Y$301, MATCH(ROUND(MIN(300,MAX(1,D1221)),0), FactorTable!$A$2:$A$301,0), Skills!M4+1)</f>
        <v/>
      </c>
      <c r="F1221">
        <f>IF(Skills!N4=TRUE,(Skills!L4/10)*(E1221/1000),Skills!L4/10)+Skills!O4</f>
        <v/>
      </c>
      <c r="G1221" t="inlineStr"/>
      <c r="H1221" t="inlineStr"/>
      <c r="I1221" t="inlineStr">
        <is>
          <t>1</t>
        </is>
      </c>
      <c r="J1221" t="inlineStr"/>
      <c r="K1221" t="inlineStr"/>
      <c r="L1221" t="inlineStr"/>
      <c r="M1221" t="inlineStr"/>
      <c r="N1221" t="inlineStr"/>
      <c r="O1221" t="inlineStr"/>
      <c r="P1221" t="inlineStr"/>
      <c r="Q1221" t="inlineStr"/>
      <c r="R1221" t="inlineStr"/>
      <c r="S1221" t="inlineStr"/>
      <c r="T1221" t="inlineStr"/>
      <c r="U1221">
        <f>290*U1220/1000</f>
        <v/>
      </c>
      <c r="V1221" t="inlineStr"/>
    </row>
    <row r="1222">
      <c r="A1222">
        <f>Skills!A5</f>
        <v/>
      </c>
      <c r="B1222">
        <f>Skills!B5</f>
        <v/>
      </c>
      <c r="C1222">
        <f>Inputs!$B$3&gt;=35</f>
        <v/>
      </c>
      <c r="D1222">
        <f>IF(Skills!C5=1,60+Inputs!$B$25+Inputs!$B$29,IF(Skills!C5=2,90+Inputs!$B$26+Inputs!$B$29,IF(Skills!C5=3,120+Inputs!$B$27+Inputs!$B$29,MAX(0,(Inputs!$B$3-100)*3)+Inputs!$B$28+Inputs!$B$29)))</f>
        <v/>
      </c>
      <c r="E1222">
        <f>INDEX(FactorTable!$B$2:$Y$301, MATCH(ROUND(MIN(300,MAX(1,D1222)),0), FactorTable!$A$2:$A$301,0), Skills!M5+1)</f>
        <v/>
      </c>
      <c r="F1222">
        <f>IF(Skills!N5=TRUE,(Skills!L5/10)*(E1222/1000),Skills!L5/10)+Skills!O5</f>
        <v/>
      </c>
      <c r="G1222">
        <f>Skills!G5*IF(Skills!H5&gt;0,Skills!I5/Skills!H5,1)</f>
        <v/>
      </c>
      <c r="H1222">
        <f>1-(1-Skills!J5/100)^Skills!K5</f>
        <v/>
      </c>
      <c r="I1222" t="inlineStr">
        <is>
          <t>1</t>
        </is>
      </c>
      <c r="J1222">
        <f>((Inputs!$B$6*(1+Inputs!$B$7/100))+(((Inputs!$B$12*(1+Inputs!$B$13/100))-(Inputs!$B$12*(1+Inputs!$B$13/100)))+0.25*(Inputs!$B$14-Inputs!$B$14))*(1+Inputs!$B$7/100))*(F1222/100)</f>
        <v/>
      </c>
      <c r="K1222">
        <f>J1222*(1+((Inputs!$B$12*(1+Inputs!$B$13/100))*0.01+Inputs!$B$14*0.0025)/100)*(1+Inputs!$B$15/100)*(1+Inputs!$B$16/100)*(5000/(6000+Inputs!$B$42*(1-(Inputs!$B$19+0)/100)))*(1+(Inputs!$B$24+((C1241=TRUE)*(F1241-Calc!F24))+((C1242=TRUE)*(F1242-Calc!F25))+B1255)/100)*(1+4.0*IF(C1225=TRUE,F1225,0)/100)*(1+(IF(Skills!A5="EMPOWERED_PIERCING_ARROW",Inputs!$B$17+((C1239=TRUE)*(F1239-Calc!F22)),Inputs!$B$18+((C1244=TRUE)*(F1244-Calc!F27))))/100)*((1+(((C1230=TRUE)*F1230)+((C1231=TRUE)*IF(Inputs!$B$38="pvp",F1231,(1-Summary!$B$55)*(F1231)+Summary!$B$55*(0)))+((C1232=TRUE)*F1232*IF(AND(Inputs!$B$38&lt;&gt;"pvp",Inputs!$B$43&gt;0),(((R1232-1)*(Skills!T15*(1+Inputs!$B$34/100))+MIN((Skills!T15*(1+Inputs!$B$34/100)),MAX(0,Inputs!$B$43-((R1232-1)*Skills!D15))))/Inputs!$B$43),IF(Inputs!$B$38="pvp",MIN((Skills!T15*(1+Inputs!$B$34/100)),15)/15,(Skills!T15*(1+Inputs!$B$34/100))/Skills!D15)))+((C1229=TRUE)*F1229)+((C1246=TRUE)*(F1246-Calc!F29)))/100)*I1222)</f>
        <v/>
      </c>
      <c r="L1222">
        <f>K1222*(MIN(Inputs!$B$22+((C1240=TRUE)*(F1240-Calc!F23)),Inputs!$B$23+((C1245=TRUE)*(F1245-Calc!F28)))/100+(Inputs!$B$23+((C1245=TRUE)*(F1245-Calc!F28)))/100)/2</f>
        <v/>
      </c>
      <c r="M1222">
        <f>L1222*(1+(Inputs!$B$10+0+B1254)/100)</f>
        <v/>
      </c>
      <c r="N1222">
        <f>L1222*(1-MIN((Inputs!$B$9+((C1236=TRUE)*(F1236-Calc!F19))+B1249),100)/100)+M1222*(MIN((Inputs!$B$9+((C1236=TRUE)*(F1236-Calc!F19))+B1249),100)/100)</f>
        <v/>
      </c>
      <c r="O1222">
        <f>(1-Summary!$B$55)*T1222+Summary!$B$55*V1222</f>
        <v/>
      </c>
      <c r="P1222">
        <f>IF(B1259=0,0,O1222/B1259)</f>
        <v/>
      </c>
      <c r="Q1222">
        <f>IFERROR(1/IF(Inputs!$B$38="pvp",15,MAX(0.1,Skills!D5-IF(Skills!E5=TRUE,0.5,0))),0)</f>
        <v/>
      </c>
      <c r="R1222">
        <f>IF(AND(Inputs!$B$38&lt;&gt;"pvp",Inputs!$B$43&gt;0),IF(MAX(0,Inputs!$B$43-B1256)&lt;=0,0,(INT(MAX(0,Inputs!$B$43-B1256)/IF(Inputs!$B$38="pvp",15,MAX(0.1,Skills!D5-IF(Skills!E5=TRUE,0.5,0))))+1)),0)</f>
        <v/>
      </c>
      <c r="S1222">
        <f>IFERROR((H1222*N1222*IF(AND(Inputs!$B$38&lt;&gt;"pvp",Inputs!$B$43&gt;0),((Skills!G5*((R1222-1)*IF(Skills!H5&gt;0,Skills!I5/Skills!H5,1)+IF(Skills!H5&gt;0,MIN(Skills!I5,MAX(0,MAX(0,Inputs!$B$43-B1256)-((R1222-1)*IF(Inputs!$B$38="pvp",15,MAX(0.1,Skills!D5-IF(Skills!E5=TRUE,0.5,0))))))/Skills!H5,1)))/Inputs!$B$43),G1222*Q1222))/N1222*IF(Inputs!$B$38="pvp",1,(1-Summary!$B$55)*1+Summary!$B$55*(MIN(Skills!R5,Inputs!$B$37))),0)</f>
        <v/>
      </c>
      <c r="T1222">
        <f>IF(C1222,(H1222*N1222*IF(AND(Inputs!$B$38&lt;&gt;"pvp",Inputs!$B$43&gt;0),((Skills!G5*((R1222-1)*IF(Skills!H5&gt;0,Skills!I5/Skills!H5,1)+IF(Skills!H5&gt;0,MIN(Skills!I5,MAX(0,MAX(0,Inputs!$B$43-B1256)-((R1222-1)*IF(Inputs!$B$38="pvp",15,MAX(0.1,Skills!D5-IF(Skills!E5=TRUE,0.5,0))))))/Skills!H5,1)))/Inputs!$B$43),G1222*Q1222))*IF(Inputs!$B$38="pvp",1,1+(Inputs!$B$20+0+Skills!P5)/100),0)</f>
        <v/>
      </c>
      <c r="V1222">
        <f>IF(C1222,(H1222*N1222*IF(AND(Inputs!$B$38&lt;&gt;"pvp",Inputs!$B$43&gt;0),((Skills!G5*((R1222-1)*IF(Skills!H5&gt;0,Skills!I5/Skills!H5,1)+IF(Skills!H5&gt;0,MIN(Skills!I5,MAX(0,MAX(0,Inputs!$B$43-B1256)-((R1222-1)*IF(Inputs!$B$38="pvp",15,MAX(0.1,Skills!D5-IF(Skills!E5=TRUE,0.5,0))))))/Skills!H5,1)))/Inputs!$B$43),G1222*Q1222))*IF(Inputs!$B$38="pvp",1,(1+(Inputs!$B$21+Skills!Q5)/100)*(MIN(Skills!R5,Inputs!$B$37))),0)</f>
        <v/>
      </c>
    </row>
    <row r="1223">
      <c r="A1223">
        <f>Skills!A6</f>
        <v/>
      </c>
      <c r="B1223">
        <f>Skills!B6</f>
        <v/>
      </c>
      <c r="C1223">
        <f>Inputs!$B$3&gt;=63</f>
        <v/>
      </c>
      <c r="D1223">
        <f>IF(Skills!C6=1,60+Inputs!$B$25+Inputs!$B$29,IF(Skills!C6=2,90+Inputs!$B$26+Inputs!$B$29,IF(Skills!C6=3,120+Inputs!$B$27+Inputs!$B$29,MAX(0,(Inputs!$B$3-100)*3)+Inputs!$B$28+Inputs!$B$29)))</f>
        <v/>
      </c>
      <c r="E1223">
        <f>INDEX(FactorTable!$B$2:$Y$301, MATCH(ROUND(MIN(300,MAX(1,D1223)),0), FactorTable!$A$2:$A$301,0), Skills!M6+1)</f>
        <v/>
      </c>
      <c r="F1223">
        <f>IF(Skills!N6=TRUE,(Skills!L6/10)*(E1223/1000),Skills!L6/10)+Skills!O6</f>
        <v/>
      </c>
      <c r="G1223">
        <f>Skills!G6*IF(Skills!H6&gt;0,Skills!I6/Skills!H6,1)</f>
        <v/>
      </c>
      <c r="H1223">
        <f>1-(1-Skills!J6/100)^Skills!K6</f>
        <v/>
      </c>
      <c r="I1223" t="inlineStr">
        <is>
          <t>1</t>
        </is>
      </c>
      <c r="J1223">
        <f>((Inputs!$B$6*(1+Inputs!$B$7/100))+(((Inputs!$B$12*(1+Inputs!$B$13/100))-(Inputs!$B$12*(1+Inputs!$B$13/100)))+0.25*(Inputs!$B$14-Inputs!$B$14))*(1+Inputs!$B$7/100))*(F1223/100)</f>
        <v/>
      </c>
      <c r="K1223">
        <f>J1223*(1+((Inputs!$B$12*(1+Inputs!$B$13/100))*0.01+Inputs!$B$14*0.0025)/100)*(1+Inputs!$B$15/100)*(1+Inputs!$B$16/100)*(5000/(6000+Inputs!$B$42*(1-(Inputs!$B$19+0)/100)))*(1+(Inputs!$B$24+((C1241=TRUE)*(F1241-Calc!F24))+((C1242=TRUE)*(F1242-Calc!F25))+B1255)/100)*(1+1.0*IF(C1225=TRUE,F1225,0)/100)*(1+(IF(Skills!A6="EMPOWERED_PIERCING_ARROW",Inputs!$B$17+((C1239=TRUE)*(F1239-Calc!F22)),Inputs!$B$18+((C1244=TRUE)*(F1244-Calc!F27))))/100)*((1+(((C1230=TRUE)*F1230)+((C1231=TRUE)*IF(Inputs!$B$38="pvp",F1231,(1-Summary!$B$55)*(F1231)+Summary!$B$55*(0)))+((C1232=TRUE)*F1232*IF(AND(Inputs!$B$38&lt;&gt;"pvp",Inputs!$B$43&gt;0),(((R1232-1)*(Skills!T15*(1+Inputs!$B$34/100))+MIN((Skills!T15*(1+Inputs!$B$34/100)),MAX(0,Inputs!$B$43-((R1232-1)*Skills!D15))))/Inputs!$B$43),IF(Inputs!$B$38="pvp",MIN((Skills!T15*(1+Inputs!$B$34/100)),15)/15,(Skills!T15*(1+Inputs!$B$34/100))/Skills!D15)))+((C1229=TRUE)*F1229)+((C1246=TRUE)*(F1246-Calc!F29)))/100)*I1223)</f>
        <v/>
      </c>
      <c r="L1223">
        <f>K1223*(MIN(Inputs!$B$22+((C1240=TRUE)*(F1240-Calc!F23)),Inputs!$B$23+((C1245=TRUE)*(F1245-Calc!F28)))/100+(Inputs!$B$23+((C1245=TRUE)*(F1245-Calc!F28)))/100)/2</f>
        <v/>
      </c>
      <c r="M1223">
        <f>L1223*(1+(Inputs!$B$10+0+B1254)/100)</f>
        <v/>
      </c>
      <c r="N1223">
        <f>L1223*(1-MIN((Inputs!$B$9+((C1236=TRUE)*(F1236-Calc!F19))+B1249),100)/100)+M1223*(MIN((Inputs!$B$9+((C1236=TRUE)*(F1236-Calc!F19))+B1249),100)/100)</f>
        <v/>
      </c>
      <c r="O1223">
        <f>(1-Summary!$B$55)*T1223+Summary!$B$55*V1223</f>
        <v/>
      </c>
      <c r="P1223">
        <f>IF(B1259=0,0,O1223/B1259)</f>
        <v/>
      </c>
      <c r="Q1223">
        <f>IFERROR(1/IF(Inputs!$B$38="pvp",15,MAX(0.1,Skills!D6-IF(Skills!E6=TRUE,0.5,0))),0)</f>
        <v/>
      </c>
      <c r="R1223">
        <f>IF(AND(Inputs!$B$38&lt;&gt;"pvp",Inputs!$B$43&gt;0),IF(MAX(0,Inputs!$B$43-B1256)&lt;=0,0,(INT(MAX(0,Inputs!$B$43-B1256)/IF(Inputs!$B$38="pvp",15,MAX(0.1,Skills!D6-IF(Skills!E6=TRUE,0.5,0))))+1)),0)</f>
        <v/>
      </c>
      <c r="S1223">
        <f>IFERROR((H1223*N1223*IF(AND(Inputs!$B$38&lt;&gt;"pvp",Inputs!$B$43&gt;0),((Skills!G6*((R1223-1)*IF(Skills!H6&gt;0,Skills!I6/Skills!H6,1)+IF(Skills!H6&gt;0,MIN(Skills!I6,MAX(0,MAX(0,Inputs!$B$43-B1256)-((R1223-1)*IF(Inputs!$B$38="pvp",15,MAX(0.1,Skills!D6-IF(Skills!E6=TRUE,0.5,0))))))/Skills!H6,1)))/Inputs!$B$43),G1223*Q1223))/N1223*IF(Inputs!$B$38="pvp",1,(1-Summary!$B$55)*1+Summary!$B$55*(MIN(Skills!R6,Inputs!$B$37))),0)</f>
        <v/>
      </c>
      <c r="T1223">
        <f>IF(C1223,(H1223*N1223*IF(AND(Inputs!$B$38&lt;&gt;"pvp",Inputs!$B$43&gt;0),((Skills!G6*((R1223-1)*IF(Skills!H6&gt;0,Skills!I6/Skills!H6,1)+IF(Skills!H6&gt;0,MIN(Skills!I6,MAX(0,MAX(0,Inputs!$B$43-B1256)-((R1223-1)*IF(Inputs!$B$38="pvp",15,MAX(0.1,Skills!D6-IF(Skills!E6=TRUE,0.5,0))))))/Skills!H6,1)))/Inputs!$B$43),G1223*Q1223))*IF(Inputs!$B$38="pvp",1,1+(Inputs!$B$20+0+Skills!P6)/100),0)</f>
        <v/>
      </c>
      <c r="V1223">
        <f>IF(C1223,(H1223*N1223*IF(AND(Inputs!$B$38&lt;&gt;"pvp",Inputs!$B$43&gt;0),((Skills!G6*((R1223-1)*IF(Skills!H6&gt;0,Skills!I6/Skills!H6,1)+IF(Skills!H6&gt;0,MIN(Skills!I6,MAX(0,MAX(0,Inputs!$B$43-B1256)-((R1223-1)*IF(Inputs!$B$38="pvp",15,MAX(0.1,Skills!D6-IF(Skills!E6=TRUE,0.5,0))))))/Skills!H6,1)))/Inputs!$B$43),G1223*Q1223))*IF(Inputs!$B$38="pvp",1,(1+(Inputs!$B$21+Skills!Q6)/100)*(MIN(Skills!R6,Inputs!$B$37))),0)</f>
        <v/>
      </c>
    </row>
    <row r="1224">
      <c r="A1224">
        <f>Skills!A7</f>
        <v/>
      </c>
      <c r="B1224">
        <f>Skills!B7</f>
        <v/>
      </c>
      <c r="C1224">
        <f>Inputs!$B$3&gt;=69</f>
        <v/>
      </c>
      <c r="D1224">
        <f>IF(Skills!C7=1,60+Inputs!$B$25+Inputs!$B$29,IF(Skills!C7=2,90+Inputs!$B$26+Inputs!$B$29,IF(Skills!C7=3,120+Inputs!$B$27+Inputs!$B$29,MAX(0,(Inputs!$B$3-100)*3)+Inputs!$B$28+Inputs!$B$29)))</f>
        <v/>
      </c>
      <c r="E1224">
        <f>INDEX(FactorTable!$B$2:$Y$301, MATCH(ROUND(MIN(300,MAX(1,D1224)),0), FactorTable!$A$2:$A$301,0), Skills!M7+1)</f>
        <v/>
      </c>
      <c r="F1224">
        <f>IF(Skills!N7=TRUE,(Skills!L7/10)*(E1224/1000),Skills!L7/10)+Skills!O7</f>
        <v/>
      </c>
      <c r="G1224">
        <f>Skills!G7*IF(Skills!H7&gt;0,Skills!I7/Skills!H7,1)</f>
        <v/>
      </c>
      <c r="H1224">
        <f>1-(1-Skills!J7/100)^Skills!K7</f>
        <v/>
      </c>
      <c r="I1224" t="inlineStr">
        <is>
          <t>1</t>
        </is>
      </c>
      <c r="J1224">
        <f>((Inputs!$B$6*(1+Inputs!$B$7/100))+(((Inputs!$B$12*(1+Inputs!$B$13/100))-(Inputs!$B$12*(1+Inputs!$B$13/100)))+0.25*(Inputs!$B$14-Inputs!$B$14))*(1+Inputs!$B$7/100))*(F1224/100)</f>
        <v/>
      </c>
      <c r="K1224">
        <f>J1224*(1+((Inputs!$B$12*(1+Inputs!$B$13/100))*0.01+Inputs!$B$14*0.0025)/100)*(1+Inputs!$B$15/100)*(1+Inputs!$B$16/100)*(5000/(6000+Inputs!$B$42*(1-(Inputs!$B$19+0)/100)))*(1+(Inputs!$B$24+((C1241=TRUE)*(F1241-Calc!F24))+((C1242=TRUE)*(F1242-Calc!F25))+B1255)/100)*(1+1.2*IF(C1225=TRUE,F1225,0)/100)*(1+(IF(Skills!A7="EMPOWERED_PIERCING_ARROW",Inputs!$B$17+((C1239=TRUE)*(F1239-Calc!F22)),Inputs!$B$18+((C1244=TRUE)*(F1244-Calc!F27))))/100)*((1+(((C1230=TRUE)*F1230)+((C1231=TRUE)*IF(Inputs!$B$38="pvp",F1231,(1-Summary!$B$55)*(F1231)+Summary!$B$55*(0)))+((C1232=TRUE)*F1232*IF(AND(Inputs!$B$38&lt;&gt;"pvp",Inputs!$B$43&gt;0),(((R1232-1)*(Skills!T15*(1+Inputs!$B$34/100))+MIN((Skills!T15*(1+Inputs!$B$34/100)),MAX(0,Inputs!$B$43-((R1232-1)*Skills!D15))))/Inputs!$B$43),IF(Inputs!$B$38="pvp",MIN((Skills!T15*(1+Inputs!$B$34/100)),15)/15,(Skills!T15*(1+Inputs!$B$34/100))/Skills!D15)))+((C1229=TRUE)*F1229)+((C1246=TRUE)*(F1246-Calc!F29)))/100)*I1224)</f>
        <v/>
      </c>
      <c r="L1224">
        <f>K1224*(MIN(Inputs!$B$22+((C1240=TRUE)*(F1240-Calc!F23)),Inputs!$B$23+((C1245=TRUE)*(F1245-Calc!F28)))/100+(Inputs!$B$23+((C1245=TRUE)*(F1245-Calc!F28)))/100)/2</f>
        <v/>
      </c>
      <c r="M1224">
        <f>L1224*(1+(Inputs!$B$10+0+B1254)/100)</f>
        <v/>
      </c>
      <c r="N1224">
        <f>L1224*(1-MIN((Inputs!$B$9+((C1236=TRUE)*(F1236-Calc!F19))+B1249),100)/100)+M1224*(MIN((Inputs!$B$9+((C1236=TRUE)*(F1236-Calc!F19))+B1249),100)/100)</f>
        <v/>
      </c>
      <c r="O1224">
        <f>(1-Summary!$B$55)*T1224+Summary!$B$55*V1224</f>
        <v/>
      </c>
      <c r="P1224">
        <f>IF(B1259=0,0,O1224/B1259)</f>
        <v/>
      </c>
      <c r="Q1224">
        <f>IFERROR(1/IF(Inputs!$B$38="pvp",15,MAX(0.1,Skills!D7-IF(Skills!E7=TRUE,0.5,0))),0)</f>
        <v/>
      </c>
      <c r="R1224">
        <f>IF(AND(Inputs!$B$38&lt;&gt;"pvp",Inputs!$B$43&gt;0),IF(MAX(0,Inputs!$B$43-B1256)&lt;=0,0,(INT(MAX(0,Inputs!$B$43-B1256)/IF(Inputs!$B$38="pvp",15,MAX(0.1,Skills!D7-IF(Skills!E7=TRUE,0.5,0))))+1)),0)</f>
        <v/>
      </c>
      <c r="S1224">
        <f>IFERROR((H1224*N1224*IF(AND(Inputs!$B$38&lt;&gt;"pvp",Inputs!$B$43&gt;0),((Skills!G7*((R1224-1)*IF(Skills!H7&gt;0,Skills!I7/Skills!H7,1)+IF(Skills!H7&gt;0,MIN(Skills!I7,MAX(0,MAX(0,Inputs!$B$43-B1256)-((R1224-1)*IF(Inputs!$B$38="pvp",15,MAX(0.1,Skills!D7-IF(Skills!E7=TRUE,0.5,0))))))/Skills!H7,1)))/Inputs!$B$43),G1224*Q1224))/N1224*IF(Inputs!$B$38="pvp",1,(1-Summary!$B$55)*1+Summary!$B$55*(MIN(Skills!R7,Inputs!$B$37))),0)</f>
        <v/>
      </c>
      <c r="T1224">
        <f>IF(C1224,(H1224*N1224*IF(AND(Inputs!$B$38&lt;&gt;"pvp",Inputs!$B$43&gt;0),((Skills!G7*((R1224-1)*IF(Skills!H7&gt;0,Skills!I7/Skills!H7,1)+IF(Skills!H7&gt;0,MIN(Skills!I7,MAX(0,MAX(0,Inputs!$B$43-B1256)-((R1224-1)*IF(Inputs!$B$38="pvp",15,MAX(0.1,Skills!D7-IF(Skills!E7=TRUE,0.5,0))))))/Skills!H7,1)))/Inputs!$B$43),G1224*Q1224))*IF(Inputs!$B$38="pvp",1,1+(Inputs!$B$20+0+Skills!P7)/100),0)</f>
        <v/>
      </c>
      <c r="V1224">
        <f>IF(C1224,(H1224*N1224*IF(AND(Inputs!$B$38&lt;&gt;"pvp",Inputs!$B$43&gt;0),((Skills!G7*((R1224-1)*IF(Skills!H7&gt;0,Skills!I7/Skills!H7,1)+IF(Skills!H7&gt;0,MIN(Skills!I7,MAX(0,MAX(0,Inputs!$B$43-B1256)-((R1224-1)*IF(Inputs!$B$38="pvp",15,MAX(0.1,Skills!D7-IF(Skills!E7=TRUE,0.5,0))))))/Skills!H7,1)))/Inputs!$B$43),G1224*Q1224))*IF(Inputs!$B$38="pvp",1,(1+(Inputs!$B$21+Skills!Q7)/100)*(MIN(Skills!R7,Inputs!$B$37))),0)</f>
        <v/>
      </c>
    </row>
    <row r="1225">
      <c r="A1225">
        <f>Skills!A8</f>
        <v/>
      </c>
      <c r="B1225">
        <f>Skills!B8</f>
        <v/>
      </c>
      <c r="C1225">
        <f>Inputs!$B$3&gt;=100</f>
        <v/>
      </c>
      <c r="D1225">
        <f>IF(Skills!C8=1,60+Inputs!$B$25+Inputs!$B$29,IF(Skills!C8=2,90+Inputs!$B$26+Inputs!$B$29,IF(Skills!C8=3,120+Inputs!$B$27+Inputs!$B$29,MAX(0,(Inputs!$B$3-100)*3)+Inputs!$B$28+Inputs!$B$29)))</f>
        <v/>
      </c>
      <c r="E1225">
        <f>INDEX(FactorTable!$B$2:$Y$301, MATCH(ROUND(MIN(300,MAX(1,D1225)),0), FactorTable!$A$2:$A$301,0), Skills!M8+1)</f>
        <v/>
      </c>
      <c r="F1225">
        <f>IF(Skills!N8=TRUE,(Skills!L8/10)*(E1225/1000),Skills!L8/10)+Skills!O8</f>
        <v/>
      </c>
      <c r="G1225" t="inlineStr"/>
      <c r="H1225" t="inlineStr"/>
      <c r="I1225" t="inlineStr">
        <is>
          <t>1</t>
        </is>
      </c>
      <c r="J1225" t="inlineStr"/>
      <c r="K1225" t="inlineStr"/>
      <c r="L1225" t="inlineStr"/>
      <c r="M1225" t="inlineStr"/>
      <c r="N1225" t="inlineStr"/>
      <c r="O1225" t="inlineStr"/>
      <c r="P1225" t="inlineStr"/>
      <c r="Q1225" t="inlineStr"/>
      <c r="R1225" t="inlineStr"/>
      <c r="S1225" t="inlineStr"/>
      <c r="T1225" t="inlineStr"/>
      <c r="V1225" t="inlineStr"/>
    </row>
    <row r="1226">
      <c r="A1226">
        <f>Skills!A9</f>
        <v/>
      </c>
      <c r="B1226">
        <f>Skills!B9</f>
        <v/>
      </c>
      <c r="C1226">
        <f>Inputs!$B$3&gt;=103</f>
        <v/>
      </c>
      <c r="D1226">
        <f>IF(Skills!C9=1,60+Inputs!$B$25+Inputs!$B$29,IF(Skills!C9=2,90+Inputs!$B$26+Inputs!$B$29,IF(Skills!C9=3,120+Inputs!$B$27+Inputs!$B$29,MAX(0,(Inputs!$B$3-100)*3)+Inputs!$B$28+Inputs!$B$29)))</f>
        <v/>
      </c>
      <c r="E1226">
        <f>INDEX(FactorTable!$B$2:$Y$301, MATCH(ROUND(MIN(300,MAX(1,D1226)),0), FactorTable!$A$2:$A$301,0), Skills!M9+1)</f>
        <v/>
      </c>
      <c r="F1226">
        <f>IF(Skills!N9=TRUE,(Skills!L9/10)*(E1226/1000),Skills!L9/10)+Skills!O9</f>
        <v/>
      </c>
      <c r="G1226">
        <f>Skills!G9*IF(Skills!H9&gt;0,Skills!I9/Skills!H9,1)</f>
        <v/>
      </c>
      <c r="H1226">
        <f>1-(1-Skills!J9/100)^Skills!K9</f>
        <v/>
      </c>
      <c r="I1226" t="inlineStr">
        <is>
          <t>1</t>
        </is>
      </c>
      <c r="J1226">
        <f>((Inputs!$B$6*(1+Inputs!$B$7/100))+(((Inputs!$B$12*(1+Inputs!$B$13/100))-(Inputs!$B$12*(1+Inputs!$B$13/100)))+0.25*(Inputs!$B$14-Inputs!$B$14))*(1+Inputs!$B$7/100))*(F1226/100)</f>
        <v/>
      </c>
      <c r="K1226">
        <f>J1226*(1+((Inputs!$B$12*(1+Inputs!$B$13/100))*0.01+Inputs!$B$14*0.0025)/100)*(1+Inputs!$B$15/100)*(1+Inputs!$B$16/100)*(5000/(6000+Inputs!$B$42*(1-(Inputs!$B$19+0)/100)))*(1+(Inputs!$B$24+((C1241=TRUE)*(F1241-Calc!F24))+((C1242=TRUE)*(F1242-Calc!F25))+B1255)/100)*(1+(IF(Skills!A9="EMPOWERED_PIERCING_ARROW",Inputs!$B$17+((C1239=TRUE)*(F1239-Calc!F22)),Inputs!$B$18+((C1244=TRUE)*(F1244-Calc!F27))))/100)*((1+(((C1230=TRUE)*F1230)+((C1231=TRUE)*IF(Inputs!$B$38="pvp",F1231,(1-Summary!$B$55)*(F1231)+Summary!$B$55*(0)))+((C1232=TRUE)*F1232*IF(AND(Inputs!$B$38&lt;&gt;"pvp",Inputs!$B$43&gt;0),(((R1232-1)*(Skills!T15*(1+Inputs!$B$34/100))+MIN((Skills!T15*(1+Inputs!$B$34/100)),MAX(0,Inputs!$B$43-((R1232-1)*Skills!D15))))/Inputs!$B$43),IF(Inputs!$B$38="pvp",MIN((Skills!T15*(1+Inputs!$B$34/100)),15)/15,(Skills!T15*(1+Inputs!$B$34/100))/Skills!D15)))+((C1229=TRUE)*F1229)+((C1246=TRUE)*(F1246-Calc!F29)))/100)*I1226)</f>
        <v/>
      </c>
      <c r="L1226">
        <f>K1226*(MIN(Inputs!$B$22+((C1240=TRUE)*(F1240-Calc!F23)),Inputs!$B$23+((C1245=TRUE)*(F1245-Calc!F28)))/100+(Inputs!$B$23+((C1245=TRUE)*(F1245-Calc!F28)))/100)/2</f>
        <v/>
      </c>
      <c r="M1226">
        <f>L1226*(1+(Inputs!$B$10+0+B1254)/100)</f>
        <v/>
      </c>
      <c r="N1226">
        <f>L1226*(1-MIN((Inputs!$B$9+((C1236=TRUE)*(F1236-Calc!F19))+B1249),100)/100)+M1226*(MIN((Inputs!$B$9+((C1236=TRUE)*(F1236-Calc!F19))+B1249),100)/100)</f>
        <v/>
      </c>
      <c r="O1226">
        <f>(1-Summary!$B$55)*T1226+Summary!$B$55*V1226</f>
        <v/>
      </c>
      <c r="P1226">
        <f>IF(B1259=0,0,O1226/B1259)</f>
        <v/>
      </c>
      <c r="Q1226">
        <f>IFERROR(1/IF(Inputs!$B$38="pvp",15,MAX(0.1,Skills!D9-IF(Skills!E9=TRUE,0.5,0))),0)</f>
        <v/>
      </c>
      <c r="R1226">
        <f>IF(AND(Inputs!$B$38&lt;&gt;"pvp",Inputs!$B$43&gt;0),IF(MAX(0,Inputs!$B$43-B1256)&lt;=0,0,(INT(MAX(0,Inputs!$B$43-B1256)/IF(Inputs!$B$38="pvp",15,MAX(0.1,Skills!D9-IF(Skills!E9=TRUE,0.5,0))))+1)),0)</f>
        <v/>
      </c>
      <c r="S1226">
        <f>IFERROR((H1226*N1226*IF(AND(Inputs!$B$38&lt;&gt;"pvp",Inputs!$B$43&gt;0),((Skills!G9*((R1226-1)*IF(Skills!H9&gt;0,Skills!I9/Skills!H9,1)+IF(Skills!H9&gt;0,MIN(Skills!I9,MAX(0,MAX(0,Inputs!$B$43-B1256)-((R1226-1)*IF(Inputs!$B$38="pvp",15,MAX(0.1,Skills!D9-IF(Skills!E9=TRUE,0.5,0))))))/Skills!H9,1)))/Inputs!$B$43),G1226*Q1226))/N1226*IF(Inputs!$B$38="pvp",1,(1-Summary!$B$55)*1+Summary!$B$55*(MIN(Skills!R9,Inputs!$B$37))),0)</f>
        <v/>
      </c>
      <c r="T1226">
        <f>IF(C1226,(H1226*N1226*IF(AND(Inputs!$B$38&lt;&gt;"pvp",Inputs!$B$43&gt;0),((Skills!G9*((R1226-1)*IF(Skills!H9&gt;0,Skills!I9/Skills!H9,1)+IF(Skills!H9&gt;0,MIN(Skills!I9,MAX(0,MAX(0,Inputs!$B$43-B1256)-((R1226-1)*IF(Inputs!$B$38="pvp",15,MAX(0.1,Skills!D9-IF(Skills!E9=TRUE,0.5,0))))))/Skills!H9,1)))/Inputs!$B$43),G1226*Q1226))*IF(Inputs!$B$38="pvp",1,1+(Inputs!$B$20+0+Skills!P9)/100),0)</f>
        <v/>
      </c>
      <c r="V1226">
        <f>IF(C1226,(H1226*N1226*IF(AND(Inputs!$B$38&lt;&gt;"pvp",Inputs!$B$43&gt;0),((Skills!G9*((R1226-1)*IF(Skills!H9&gt;0,Skills!I9/Skills!H9,1)+IF(Skills!H9&gt;0,MIN(Skills!I9,MAX(0,MAX(0,Inputs!$B$43-B1256)-((R1226-1)*IF(Inputs!$B$38="pvp",15,MAX(0.1,Skills!D9-IF(Skills!E9=TRUE,0.5,0))))))/Skills!H9,1)))/Inputs!$B$43),G1226*Q1226))*IF(Inputs!$B$38="pvp",1,(1+(Inputs!$B$21+Skills!Q9)/100)*(MIN(Skills!R9,Inputs!$B$37))),0)</f>
        <v/>
      </c>
    </row>
    <row r="1227">
      <c r="A1227">
        <f>Skills!A10</f>
        <v/>
      </c>
      <c r="B1227">
        <f>Skills!B10</f>
        <v/>
      </c>
      <c r="C1227">
        <f>Inputs!$B$3&gt;=107</f>
        <v/>
      </c>
      <c r="D1227">
        <f>IF(Skills!C10=1,60+Inputs!$B$25+Inputs!$B$29,IF(Skills!C10=2,90+Inputs!$B$26+Inputs!$B$29,IF(Skills!C10=3,120+Inputs!$B$27+Inputs!$B$29,MAX(0,(Inputs!$B$3-100)*3)+Inputs!$B$28+Inputs!$B$29)))</f>
        <v/>
      </c>
      <c r="E1227">
        <f>INDEX(FactorTable!$B$2:$Y$301, MATCH(ROUND(MIN(300,MAX(1,D1227)),0), FactorTable!$A$2:$A$301,0), Skills!M10+1)</f>
        <v/>
      </c>
      <c r="F1227">
        <f>IF(Skills!N10=TRUE,(Skills!L10/10)*(E1227/1000),Skills!L10/10)+Skills!O10</f>
        <v/>
      </c>
      <c r="G1227">
        <f>Skills!G10*IF(Skills!H10&gt;0,Skills!I10/Skills!H10,1)</f>
        <v/>
      </c>
      <c r="H1227">
        <f>1-(1-Skills!J10/100)^Skills!K10</f>
        <v/>
      </c>
      <c r="I1227" t="inlineStr">
        <is>
          <t>1</t>
        </is>
      </c>
      <c r="J1227">
        <f>((Inputs!$B$6*(1+Inputs!$B$7/100))+(((Inputs!$B$12*(1+Inputs!$B$13/100))-(Inputs!$B$12*(1+Inputs!$B$13/100)))+0.25*(Inputs!$B$14-Inputs!$B$14))*(1+Inputs!$B$7/100))*(F1227/100)</f>
        <v/>
      </c>
      <c r="K1227">
        <f>J1227*(1+((Inputs!$B$12*(1+Inputs!$B$13/100))*0.01+Inputs!$B$14*0.0025)/100)*(1+Inputs!$B$15/100)*(1+Inputs!$B$16/100)*(5000/(6000+Inputs!$B$42*(1-(Inputs!$B$19+0)/100)))*(1+(Inputs!$B$24+((C1241=TRUE)*(F1241-Calc!F24))+((C1242=TRUE)*(F1242-Calc!F25))+B1255)/100)*(1+(IF(Skills!A10="EMPOWERED_PIERCING_ARROW",Inputs!$B$17+((C1239=TRUE)*(F1239-Calc!F22)),Inputs!$B$18+((C1244=TRUE)*(F1244-Calc!F27))))/100)*((1+(((C1230=TRUE)*F1230)+((C1231=TRUE)*IF(Inputs!$B$38="pvp",F1231,(1-Summary!$B$55)*(F1231)+Summary!$B$55*(0)))+((C1232=TRUE)*F1232*IF(AND(Inputs!$B$38&lt;&gt;"pvp",Inputs!$B$43&gt;0),(((R1232-1)*(Skills!T15*(1+Inputs!$B$34/100))+MIN((Skills!T15*(1+Inputs!$B$34/100)),MAX(0,Inputs!$B$43-((R1232-1)*Skills!D15))))/Inputs!$B$43),IF(Inputs!$B$38="pvp",MIN((Skills!T15*(1+Inputs!$B$34/100)),15)/15,(Skills!T15*(1+Inputs!$B$34/100))/Skills!D15)))+((C1229=TRUE)*F1229)+((C1246=TRUE)*(F1246-Calc!F29)))/100)*I1227)</f>
        <v/>
      </c>
      <c r="L1227">
        <f>K1227*(MIN(Inputs!$B$22+((C1240=TRUE)*(F1240-Calc!F23)),Inputs!$B$23+((C1245=TRUE)*(F1245-Calc!F28)))/100+(Inputs!$B$23+((C1245=TRUE)*(F1245-Calc!F28)))/100)/2</f>
        <v/>
      </c>
      <c r="M1227">
        <f>L1227*(1+(Inputs!$B$10+0+B1254)/100)</f>
        <v/>
      </c>
      <c r="N1227">
        <f>L1227*(1-MIN((Inputs!$B$9+((C1236=TRUE)*(F1236-Calc!F19))+B1249),100)/100)+M1227*(MIN((Inputs!$B$9+((C1236=TRUE)*(F1236-Calc!F19))+B1249),100)/100)</f>
        <v/>
      </c>
      <c r="O1227">
        <f>(1-Summary!$B$55)*T1227+Summary!$B$55*V1227</f>
        <v/>
      </c>
      <c r="P1227">
        <f>IF(B1259=0,0,O1227/B1259)</f>
        <v/>
      </c>
      <c r="Q1227" t="n">
        <v>0</v>
      </c>
      <c r="R1227" t="n">
        <v>0</v>
      </c>
      <c r="S1227" t="n">
        <v>0</v>
      </c>
      <c r="T1227">
        <f>IF(C1227,(0.15*SUMPRODUCT((Skills!U2:U29=TRUE)*(C1219:C1246=TRUE)*S1219:S1246)*Skills!G10*N1227)*IF(Inputs!$B$38="pvp",1,1+(Inputs!$B$20+0+Skills!P10)/100),0)</f>
        <v/>
      </c>
      <c r="V1227">
        <f>IF(C1227,(0.15*SUMPRODUCT((Skills!U2:U29=TRUE)*(C1219:C1246=TRUE)*S1219:S1246)*Skills!G10*N1227)*IF(Inputs!$B$38="pvp",1,(1+(Inputs!$B$21+Skills!Q10)/100)*(MIN(Skills!R10,Inputs!$B$37))),0)</f>
        <v/>
      </c>
    </row>
    <row r="1228">
      <c r="A1228">
        <f>Skills!A11</f>
        <v/>
      </c>
      <c r="B1228">
        <f>Skills!B11</f>
        <v/>
      </c>
      <c r="C1228">
        <f>Inputs!$B$3&gt;=110</f>
        <v/>
      </c>
      <c r="D1228">
        <f>IF(Skills!C11=1,60+Inputs!$B$25+Inputs!$B$29,IF(Skills!C11=2,90+Inputs!$B$26+Inputs!$B$29,IF(Skills!C11=3,120+Inputs!$B$27+Inputs!$B$29,MAX(0,(Inputs!$B$3-100)*3)+Inputs!$B$28+Inputs!$B$29)))</f>
        <v/>
      </c>
      <c r="E1228">
        <f>INDEX(FactorTable!$B$2:$Y$301, MATCH(ROUND(MIN(300,MAX(1,D1228)),0), FactorTable!$A$2:$A$301,0), Skills!M11+1)</f>
        <v/>
      </c>
      <c r="F1228">
        <f>IF(Skills!N11=TRUE,(Skills!L11/10)*(E1228/1000),Skills!L11/10)+Skills!O11</f>
        <v/>
      </c>
      <c r="G1228">
        <f>Skills!G11*IF(Skills!H11&gt;0,Skills!I11/Skills!H11,1)</f>
        <v/>
      </c>
      <c r="H1228">
        <f>1-(1-Skills!J11/100)^Skills!K11</f>
        <v/>
      </c>
      <c r="I1228" t="inlineStr">
        <is>
          <t>1</t>
        </is>
      </c>
      <c r="J1228">
        <f>((Inputs!$B$6*(1+Inputs!$B$7/100))+(((Inputs!$B$12*(1+Inputs!$B$13/100))-(Inputs!$B$12*(1+Inputs!$B$13/100)))+0.25*(Inputs!$B$14-Inputs!$B$14))*(1+Inputs!$B$7/100))*(F1228/100)</f>
        <v/>
      </c>
      <c r="K1228">
        <f>J1228*(1+((Inputs!$B$12*(1+Inputs!$B$13/100))*0.01+Inputs!$B$14*0.0025)/100)*(1+Inputs!$B$15/100)*(1+Inputs!$B$16/100)*(5000/(6000+Inputs!$B$42*(1-(Inputs!$B$19+0)/100)))*(1+(Inputs!$B$24+((C1241=TRUE)*(F1241-Calc!F24))+((C1242=TRUE)*(F1242-Calc!F25))+B1255)/100)*(1+(IF(Skills!A11="EMPOWERED_PIERCING_ARROW",Inputs!$B$17+((C1239=TRUE)*(F1239-Calc!F22)),Inputs!$B$18+((C1244=TRUE)*(F1244-Calc!F27))))/100)*((1+(((C1230=TRUE)*F1230)+((C1231=TRUE)*IF(Inputs!$B$38="pvp",F1231,(1-Summary!$B$55)*(F1231)+Summary!$B$55*(0)))+((C1232=TRUE)*F1232*IF(AND(Inputs!$B$38&lt;&gt;"pvp",Inputs!$B$43&gt;0),(((R1232-1)*(Skills!T15*(1+Inputs!$B$34/100))+MIN((Skills!T15*(1+Inputs!$B$34/100)),MAX(0,Inputs!$B$43-((R1232-1)*Skills!D15))))/Inputs!$B$43),IF(Inputs!$B$38="pvp",MIN((Skills!T15*(1+Inputs!$B$34/100)),15)/15,(Skills!T15*(1+Inputs!$B$34/100))/Skills!D15)))+((C1229=TRUE)*F1229)+((C1246=TRUE)*(F1246-Calc!F29)))/100)*I1228)</f>
        <v/>
      </c>
      <c r="L1228">
        <f>K1228*(MIN(Inputs!$B$22+((C1240=TRUE)*(F1240-Calc!F23)),Inputs!$B$23+((C1245=TRUE)*(F1245-Calc!F28)))/100+(Inputs!$B$23+((C1245=TRUE)*(F1245-Calc!F28)))/100)/2</f>
        <v/>
      </c>
      <c r="M1228">
        <f>L1228*(1+(Inputs!$B$10+0+B1254)/100)</f>
        <v/>
      </c>
      <c r="N1228">
        <f>L1228*(1-MIN((Inputs!$B$9+((C1236=TRUE)*(F1236-Calc!F19))+B1249),100)/100)+M1228*(MIN((Inputs!$B$9+((C1236=TRUE)*(F1236-Calc!F19))+B1249),100)/100)</f>
        <v/>
      </c>
      <c r="O1228">
        <f>(1-Summary!$B$55)*T1228+Summary!$B$55*V1228</f>
        <v/>
      </c>
      <c r="P1228">
        <f>IF(B1259=0,0,O1228/B1259)</f>
        <v/>
      </c>
      <c r="Q1228">
        <f>IFERROR(1/IF(Inputs!$B$38="pvp",15,MAX(0.1,Skills!D11-IF(Skills!E11=TRUE,0.5,0))),0)</f>
        <v/>
      </c>
      <c r="R1228">
        <f>IF(AND(Inputs!$B$38&lt;&gt;"pvp",Inputs!$B$43&gt;0),IF(MAX(0,Inputs!$B$43-B1256)&lt;=0,0,(INT(MAX(0,Inputs!$B$43-B1256)/IF(Inputs!$B$38="pvp",15,MAX(0.1,Skills!D11-IF(Skills!E11=TRUE,0.5,0))))+1)),0)</f>
        <v/>
      </c>
      <c r="S1228">
        <f>IFERROR((H1228*N1228*IF(AND(Inputs!$B$38&lt;&gt;"pvp",Inputs!$B$43&gt;0),((Skills!G11*((R1228-1)*IF(Skills!H11&gt;0,Skills!I11/Skills!H11,1)+IF(Skills!H11&gt;0,MIN(Skills!I11,MAX(0,MAX(0,Inputs!$B$43-B1256)-((R1228-1)*IF(Inputs!$B$38="pvp",15,MAX(0.1,Skills!D11-IF(Skills!E11=TRUE,0.5,0))))))/Skills!H11,1)))/Inputs!$B$43),G1228*Q1228))/N1228*IF(Inputs!$B$38="pvp",1,(1-Summary!$B$55)*1+Summary!$B$55*(MIN(Skills!R11,Inputs!$B$37))),0)</f>
        <v/>
      </c>
      <c r="T1228">
        <f>IF(C1228,(H1228*N1228*IF(AND(Inputs!$B$38&lt;&gt;"pvp",Inputs!$B$43&gt;0),((Skills!G11*((R1228-1)*IF(Skills!H11&gt;0,Skills!I11/Skills!H11,1)+IF(Skills!H11&gt;0,MIN(Skills!I11,MAX(0,MAX(0,Inputs!$B$43-B1256)-((R1228-1)*IF(Inputs!$B$38="pvp",15,MAX(0.1,Skills!D11-IF(Skills!E11=TRUE,0.5,0))))))/Skills!H11,1)))/Inputs!$B$43),G1228*Q1228))*IF(Inputs!$B$38="pvp",1,1+(Inputs!$B$20+0+Skills!P11)/100),0)</f>
        <v/>
      </c>
      <c r="V1228">
        <f>IF(C1228,(H1228*N1228*IF(AND(Inputs!$B$38&lt;&gt;"pvp",Inputs!$B$43&gt;0),((Skills!G11*((R1228-1)*IF(Skills!H11&gt;0,Skills!I11/Skills!H11,1)+IF(Skills!H11&gt;0,MIN(Skills!I11,MAX(0,MAX(0,Inputs!$B$43-B1256)-((R1228-1)*IF(Inputs!$B$38="pvp",15,MAX(0.1,Skills!D11-IF(Skills!E11=TRUE,0.5,0))))))/Skills!H11,1)))/Inputs!$B$43),G1228*Q1228))*IF(Inputs!$B$38="pvp",1,(1+(Inputs!$B$21+Skills!Q11)/100)*(MIN(Skills!R11,Inputs!$B$37))),0)</f>
        <v/>
      </c>
    </row>
    <row r="1229">
      <c r="A1229">
        <f>Skills!A12</f>
        <v/>
      </c>
      <c r="B1229">
        <f>Skills!B12</f>
        <v/>
      </c>
      <c r="C1229">
        <f>Inputs!$B$3&gt;=60</f>
        <v/>
      </c>
      <c r="D1229">
        <f>IF(Skills!C12=1,60+Inputs!$B$25+Inputs!$B$29,IF(Skills!C12=2,90+Inputs!$B$26+Inputs!$B$29,IF(Skills!C12=3,120+Inputs!$B$27+Inputs!$B$29,MAX(0,(Inputs!$B$3-100)*3)+Inputs!$B$28+Inputs!$B$29)))</f>
        <v/>
      </c>
      <c r="E1229">
        <f>INDEX(FactorTable!$B$2:$Y$301, MATCH(ROUND(MIN(300,MAX(1,D1229)),0), FactorTable!$A$2:$A$301,0), Skills!M12+1)</f>
        <v/>
      </c>
      <c r="F1229">
        <f>IF(Skills!N12=TRUE,(Skills!L12/10)*(E1229/1000),Skills!L12/10)+Skills!O12</f>
        <v/>
      </c>
      <c r="G1229">
        <f>Skills!G12*IF(Skills!H12&gt;0,Skills!I12/Skills!H12,1)</f>
        <v/>
      </c>
      <c r="H1229">
        <f>1-(1-Skills!J12/100)^Skills!K12</f>
        <v/>
      </c>
      <c r="I1229" t="inlineStr">
        <is>
          <t>1</t>
        </is>
      </c>
      <c r="J1229" t="inlineStr"/>
      <c r="K1229" t="inlineStr"/>
      <c r="L1229" t="inlineStr"/>
      <c r="M1229" t="inlineStr"/>
      <c r="N1229" t="inlineStr"/>
      <c r="O1229">
        <f>(1-Summary!$B$55)*T1229+Summary!$B$55*V1229</f>
        <v/>
      </c>
      <c r="P1229">
        <f>IF(B1259=0,0,O1229/B1259)</f>
        <v/>
      </c>
      <c r="Q1229" t="n">
        <v>0</v>
      </c>
      <c r="R1229" t="n">
        <v>0</v>
      </c>
      <c r="S1229" t="n">
        <v>0</v>
      </c>
      <c r="T1229" t="n">
        <v>0</v>
      </c>
      <c r="V1229" t="n">
        <v>0</v>
      </c>
    </row>
    <row r="1230">
      <c r="A1230">
        <f>Skills!A13</f>
        <v/>
      </c>
      <c r="B1230">
        <f>Skills!B13</f>
        <v/>
      </c>
      <c r="C1230">
        <f>Inputs!$B$3&gt;=74</f>
        <v/>
      </c>
      <c r="D1230">
        <f>IF(Skills!C13=1,60+Inputs!$B$25+Inputs!$B$29,IF(Skills!C13=2,90+Inputs!$B$26+Inputs!$B$29,IF(Skills!C13=3,120+Inputs!$B$27+Inputs!$B$29,MAX(0,(Inputs!$B$3-100)*3)+Inputs!$B$28+Inputs!$B$29)))</f>
        <v/>
      </c>
      <c r="E1230">
        <f>INDEX(FactorTable!$B$2:$Y$301, MATCH(ROUND(MIN(300,MAX(1,D1230)),0), FactorTable!$A$2:$A$301,0), Skills!M13+1)</f>
        <v/>
      </c>
      <c r="F1230">
        <f>IF(Skills!N13=TRUE,(Skills!L13/10)*(E1230/1000),Skills!L13/10)+Skills!O13</f>
        <v/>
      </c>
      <c r="G1230">
        <f>Skills!G13*IF(Skills!H13&gt;0,Skills!I13/Skills!H13,1)</f>
        <v/>
      </c>
      <c r="H1230">
        <f>1-(1-Skills!J13/100)^Skills!K13</f>
        <v/>
      </c>
      <c r="I1230" t="inlineStr">
        <is>
          <t>1</t>
        </is>
      </c>
      <c r="J1230" t="inlineStr"/>
      <c r="K1230" t="inlineStr"/>
      <c r="L1230" t="inlineStr"/>
      <c r="M1230" t="inlineStr"/>
      <c r="N1230" t="inlineStr"/>
      <c r="O1230">
        <f>(1-Summary!$B$55)*T1230+Summary!$B$55*V1230</f>
        <v/>
      </c>
      <c r="P1230">
        <f>IF(B1259=0,0,O1230/B1259)</f>
        <v/>
      </c>
      <c r="Q1230" t="n">
        <v>0</v>
      </c>
      <c r="R1230" t="n">
        <v>0</v>
      </c>
      <c r="S1230" t="n">
        <v>0</v>
      </c>
      <c r="T1230" t="n">
        <v>0</v>
      </c>
      <c r="V1230" t="n">
        <v>0</v>
      </c>
    </row>
    <row r="1231">
      <c r="A1231">
        <f>Skills!A14</f>
        <v/>
      </c>
      <c r="B1231">
        <f>Skills!B14</f>
        <v/>
      </c>
      <c r="C1231">
        <f>Inputs!$B$3&gt;=74</f>
        <v/>
      </c>
      <c r="D1231">
        <f>IF(Skills!C14=1,60+Inputs!$B$25+Inputs!$B$29,IF(Skills!C14=2,90+Inputs!$B$26+Inputs!$B$29,IF(Skills!C14=3,120+Inputs!$B$27+Inputs!$B$29,MAX(0,(Inputs!$B$3-100)*3)+Inputs!$B$28+Inputs!$B$29)))</f>
        <v/>
      </c>
      <c r="E1231">
        <f>INDEX(FactorTable!$B$2:$Y$301, MATCH(ROUND(MIN(300,MAX(1,D1231)),0), FactorTable!$A$2:$A$301,0), Skills!M14+1)</f>
        <v/>
      </c>
      <c r="F1231">
        <f>IF(Skills!N14=TRUE,(Skills!L14/10)*(E1231/1000),Skills!L14/10)+Skills!O14</f>
        <v/>
      </c>
      <c r="G1231">
        <f>Skills!G14*IF(Skills!H14&gt;0,Skills!I14/Skills!H14,1)</f>
        <v/>
      </c>
      <c r="H1231">
        <f>1-(1-Skills!J14/100)^Skills!K14</f>
        <v/>
      </c>
      <c r="I1231" t="inlineStr">
        <is>
          <t>1</t>
        </is>
      </c>
      <c r="J1231" t="inlineStr"/>
      <c r="K1231" t="inlineStr"/>
      <c r="L1231" t="inlineStr"/>
      <c r="M1231" t="inlineStr"/>
      <c r="N1231" t="inlineStr"/>
      <c r="O1231">
        <f>(1-Summary!$B$55)*T1231+Summary!$B$55*V1231</f>
        <v/>
      </c>
      <c r="P1231">
        <f>IF(B1259=0,0,O1231/B1259)</f>
        <v/>
      </c>
      <c r="Q1231" t="n">
        <v>0</v>
      </c>
      <c r="R1231" t="n">
        <v>0</v>
      </c>
      <c r="S1231" t="n">
        <v>0</v>
      </c>
      <c r="T1231" t="n">
        <v>0</v>
      </c>
      <c r="V1231" t="n">
        <v>0</v>
      </c>
    </row>
    <row r="1232">
      <c r="A1232">
        <f>Skills!A15</f>
        <v/>
      </c>
      <c r="B1232">
        <f>Skills!B15</f>
        <v/>
      </c>
      <c r="C1232">
        <f>Inputs!$B$3&gt;=117</f>
        <v/>
      </c>
      <c r="D1232">
        <f>IF(Skills!C15=1,60+Inputs!$B$25+Inputs!$B$29,IF(Skills!C15=2,90+Inputs!$B$26+Inputs!$B$29,IF(Skills!C15=3,120+Inputs!$B$27+Inputs!$B$29,MAX(0,(Inputs!$B$3-100)*3)+Inputs!$B$28+Inputs!$B$29)))</f>
        <v/>
      </c>
      <c r="E1232">
        <f>INDEX(FactorTable!$B$2:$Y$301, MATCH(ROUND(MIN(300,MAX(1,D1232)),0), FactorTable!$A$2:$A$301,0), Skills!M15+1)</f>
        <v/>
      </c>
      <c r="F1232">
        <f>IF(Skills!N15=TRUE,(Skills!L15/10)*(E1232/1000),Skills!L15/10)+Skills!O15</f>
        <v/>
      </c>
      <c r="G1232">
        <f>Skills!G15*IF(Skills!H15&gt;0,Skills!I15/Skills!H15,1)</f>
        <v/>
      </c>
      <c r="H1232">
        <f>1-(1-Skills!J15/100)^Skills!K15</f>
        <v/>
      </c>
      <c r="I1232" t="inlineStr">
        <is>
          <t>1</t>
        </is>
      </c>
      <c r="J1232" t="inlineStr"/>
      <c r="K1232" t="inlineStr"/>
      <c r="L1232" t="inlineStr"/>
      <c r="M1232" t="inlineStr"/>
      <c r="N1232" t="inlineStr"/>
      <c r="O1232">
        <f>(1-Summary!$B$55)*T1232+Summary!$B$55*V1232</f>
        <v/>
      </c>
      <c r="P1232">
        <f>IF(B1259=0,0,O1232/B1259)</f>
        <v/>
      </c>
      <c r="Q1232">
        <f>IFERROR(1/IF(Inputs!$B$38="pvp",15,MAX(0.1,Skills!D15-IF(Skills!E15=TRUE,0.5,0))),0)</f>
        <v/>
      </c>
      <c r="R1232">
        <f>IF(AND(Inputs!$B$38&lt;&gt;"pvp",Inputs!$B$43&gt;0),IF(Inputs!$B$43&lt;=0,0,(INT(Inputs!$B$43/IF(Inputs!$B$38="pvp",15,MAX(0.1,Skills!D15-IF(Skills!E15=TRUE,0.5,0))))+1)),0)</f>
        <v/>
      </c>
      <c r="S1232" t="n">
        <v>0</v>
      </c>
      <c r="T1232" t="n">
        <v>0</v>
      </c>
      <c r="V1232" t="n">
        <v>0</v>
      </c>
    </row>
    <row r="1233">
      <c r="A1233">
        <f>Skills!A16</f>
        <v/>
      </c>
      <c r="B1233">
        <f>Skills!B16</f>
        <v/>
      </c>
      <c r="C1233">
        <f>Inputs!$B$3&gt;=115</f>
        <v/>
      </c>
      <c r="D1233">
        <f>IF(Skills!C16=1,60+Inputs!$B$25+Inputs!$B$29,IF(Skills!C16=2,90+Inputs!$B$26+Inputs!$B$29,IF(Skills!C16=3,120+Inputs!$B$27+Inputs!$B$29,MAX(0,(Inputs!$B$3-100)*3)+Inputs!$B$28+Inputs!$B$29)))</f>
        <v/>
      </c>
      <c r="E1233">
        <f>INDEX(FactorTable!$B$2:$Y$301, MATCH(ROUND(MIN(300,MAX(1,D1233)),0), FactorTable!$A$2:$A$301,0), Skills!M16+1)</f>
        <v/>
      </c>
      <c r="F1233">
        <f>IF(Skills!N16=TRUE,(Skills!L16/10)*(E1233/1000),Skills!L16/10)+Skills!O16</f>
        <v/>
      </c>
      <c r="G1233">
        <f>Skills!G16*IF(Skills!H16&gt;0,Skills!I16/Skills!H16,1)</f>
        <v/>
      </c>
      <c r="H1233">
        <f>1-(1-Skills!J16/100)^Skills!K16</f>
        <v/>
      </c>
      <c r="I1233" t="inlineStr">
        <is>
          <t>1</t>
        </is>
      </c>
      <c r="J1233" t="inlineStr"/>
      <c r="K1233" t="inlineStr"/>
      <c r="L1233" t="inlineStr"/>
      <c r="M1233" t="inlineStr"/>
      <c r="N1233" t="inlineStr"/>
      <c r="O1233">
        <f>(1-Summary!$B$55)*T1233+Summary!$B$55*V1233</f>
        <v/>
      </c>
      <c r="P1233">
        <f>IF(B1259=0,0,O1233/B1259)</f>
        <v/>
      </c>
      <c r="Q1233">
        <f>IFERROR(1/IF(Inputs!$B$38="pvp",15,MAX(0.1,Skills!D16-IF(Skills!E16=TRUE,0.5,0))),0)</f>
        <v/>
      </c>
      <c r="R1233">
        <f>IF(AND(Inputs!$B$38&lt;&gt;"pvp",Inputs!$B$43&gt;0),IF(Inputs!$B$43&lt;=0,0,(INT(Inputs!$B$43/IF(Inputs!$B$38="pvp",15,MAX(0.1,Skills!D16-IF(Skills!E16=TRUE,0.5,0))))+1)),0)</f>
        <v/>
      </c>
      <c r="S1233" t="n">
        <v>0</v>
      </c>
      <c r="T1233" t="n">
        <v>0</v>
      </c>
      <c r="V1233" t="n">
        <v>0</v>
      </c>
    </row>
    <row r="1234">
      <c r="A1234">
        <f>Skills!A17</f>
        <v/>
      </c>
      <c r="B1234">
        <f>Skills!B17</f>
        <v/>
      </c>
      <c r="C1234">
        <f>Inputs!$B$3&gt;=72</f>
        <v/>
      </c>
      <c r="D1234">
        <f>IF(Skills!C17=1,60+Inputs!$B$25+Inputs!$B$29,IF(Skills!C17=2,90+Inputs!$B$26+Inputs!$B$29,IF(Skills!C17=3,120+Inputs!$B$27+Inputs!$B$29,MAX(0,(Inputs!$B$3-100)*3)+Inputs!$B$28+Inputs!$B$29)))</f>
        <v/>
      </c>
      <c r="E1234">
        <f>INDEX(FactorTable!$B$2:$Y$301, MATCH(ROUND(MIN(300,MAX(1,D1234)),0), FactorTable!$A$2:$A$301,0), Skills!M17+1)</f>
        <v/>
      </c>
      <c r="F1234">
        <f>IF(Skills!N17=TRUE,(Skills!L17/10)*(E1234/1000),Skills!L17/10)+Skills!O17</f>
        <v/>
      </c>
      <c r="G1234">
        <f>Skills!G17*IF(Skills!H17&gt;0,Skills!I17/Skills!H17,1)</f>
        <v/>
      </c>
      <c r="H1234">
        <f>1-(1-Skills!J17/100)^Skills!K17</f>
        <v/>
      </c>
      <c r="I1234" t="inlineStr">
        <is>
          <t>1</t>
        </is>
      </c>
      <c r="J1234" t="inlineStr"/>
      <c r="K1234" t="inlineStr"/>
      <c r="L1234" t="inlineStr"/>
      <c r="M1234" t="inlineStr"/>
      <c r="N1234" t="inlineStr"/>
      <c r="O1234">
        <f>(1-Summary!$B$55)*T1234+Summary!$B$55*V1234</f>
        <v/>
      </c>
      <c r="P1234">
        <f>IF(B1259=0,0,O1234/B1259)</f>
        <v/>
      </c>
      <c r="Q1234" t="n">
        <v>0</v>
      </c>
      <c r="R1234" t="n">
        <v>0</v>
      </c>
      <c r="S1234" t="n">
        <v>0</v>
      </c>
      <c r="T1234" t="n">
        <v>0</v>
      </c>
      <c r="V1234" t="n">
        <v>0</v>
      </c>
    </row>
    <row r="1235">
      <c r="A1235">
        <f>Skills!A18</f>
        <v/>
      </c>
      <c r="B1235">
        <f>Skills!B18</f>
        <v/>
      </c>
      <c r="C1235">
        <f>TRUE</f>
        <v/>
      </c>
      <c r="D1235">
        <f>IF(Skills!C18=1,60+Inputs!$B$25+Inputs!$B$29,IF(Skills!C18=2,90+Inputs!$B$26+Inputs!$B$29,IF(Skills!C18=3,120+Inputs!$B$27+Inputs!$B$29,MAX(0,(Inputs!$B$3-100)*3)+Inputs!$B$28+Inputs!$B$29)))</f>
        <v/>
      </c>
      <c r="E1235">
        <f>INDEX(FactorTable!$B$2:$Y$301, MATCH(ROUND(MIN(300,MAX(1,D1235)),0), FactorTable!$A$2:$A$301,0), Skills!M18+1)</f>
        <v/>
      </c>
      <c r="F1235">
        <f>IF(Skills!N18=TRUE,(Skills!L18/10)*(E1235/1000),Skills!L18/10)+Skills!O18</f>
        <v/>
      </c>
      <c r="G1235">
        <f>Skills!G18*IF(Skills!H18&gt;0,Skills!I18/Skills!H18,1)</f>
        <v/>
      </c>
      <c r="H1235">
        <f>1-(1-Skills!J18/100)^Skills!K18</f>
        <v/>
      </c>
      <c r="I1235" t="inlineStr">
        <is>
          <t>1</t>
        </is>
      </c>
      <c r="J1235" t="inlineStr"/>
      <c r="K1235" t="inlineStr"/>
      <c r="L1235" t="inlineStr"/>
      <c r="M1235" t="inlineStr"/>
      <c r="N1235" t="inlineStr"/>
      <c r="O1235">
        <f>(1-Summary!$B$55)*T1235+Summary!$B$55*V1235</f>
        <v/>
      </c>
      <c r="P1235">
        <f>IF(B1259=0,0,O1235/B1259)</f>
        <v/>
      </c>
      <c r="Q1235">
        <f>IFERROR(1/IF(Inputs!$B$38="pvp",15,MAX(0.1,Skills!D18-IF(Skills!E18=TRUE,0.5,0))),0)</f>
        <v/>
      </c>
      <c r="R1235">
        <f>IF(AND(Inputs!$B$38&lt;&gt;"pvp",Inputs!$B$43&gt;0),IF(Inputs!$B$43&lt;=0,0,(INT(Inputs!$B$43/IF(Inputs!$B$38="pvp",15,MAX(0.1,Skills!D18-IF(Skills!E18=TRUE,0.5,0))))+1)),0)</f>
        <v/>
      </c>
      <c r="S1235" t="n">
        <v>0</v>
      </c>
      <c r="T1235" t="n">
        <v>0</v>
      </c>
      <c r="V1235" t="n">
        <v>0</v>
      </c>
    </row>
    <row r="1236">
      <c r="A1236">
        <f>Skills!A19</f>
        <v/>
      </c>
      <c r="B1236">
        <f>Skills!B19</f>
        <v/>
      </c>
      <c r="C1236">
        <f>Inputs!$B$3&gt;=15</f>
        <v/>
      </c>
      <c r="D1236">
        <f>IF(Skills!C19=1,60+Inputs!$B$25+Inputs!$B$29,IF(Skills!C19=2,90+Inputs!$B$26+Inputs!$B$29,IF(Skills!C19=3,120+Inputs!$B$27+Inputs!$B$29,MAX(0,(Inputs!$B$3-100)*3)+Inputs!$B$28+Inputs!$B$29)))</f>
        <v/>
      </c>
      <c r="E1236">
        <f>INDEX(FactorTable!$B$2:$Y$301, MATCH(ROUND(MIN(300,MAX(1,D1236)),0), FactorTable!$A$2:$A$301,0), Skills!M19+1)</f>
        <v/>
      </c>
      <c r="F1236">
        <f>IF(Skills!N19=TRUE,(Skills!L19/10)*(E1236/1000),Skills!L19/10)+Skills!O19</f>
        <v/>
      </c>
      <c r="G1236">
        <f>Skills!G19*IF(Skills!H19&gt;0,Skills!I19/Skills!H19,1)</f>
        <v/>
      </c>
      <c r="H1236">
        <f>1-(1-Skills!J19/100)^Skills!K19</f>
        <v/>
      </c>
      <c r="I1236" t="inlineStr">
        <is>
          <t>1</t>
        </is>
      </c>
      <c r="J1236" t="inlineStr"/>
      <c r="K1236" t="inlineStr"/>
      <c r="L1236" t="inlineStr"/>
      <c r="M1236" t="inlineStr"/>
      <c r="N1236" t="inlineStr"/>
      <c r="O1236">
        <f>(1-Summary!$B$55)*T1236+Summary!$B$55*V1236</f>
        <v/>
      </c>
      <c r="P1236">
        <f>IF(B1259=0,0,O1236/B1259)</f>
        <v/>
      </c>
      <c r="Q1236" t="n">
        <v>0</v>
      </c>
      <c r="R1236" t="n">
        <v>0</v>
      </c>
      <c r="S1236" t="n">
        <v>0</v>
      </c>
      <c r="T1236" t="n">
        <v>0</v>
      </c>
      <c r="V1236" t="n">
        <v>0</v>
      </c>
    </row>
    <row r="1237">
      <c r="A1237">
        <f>Skills!A20</f>
        <v/>
      </c>
      <c r="B1237">
        <f>Skills!B20</f>
        <v/>
      </c>
      <c r="C1237">
        <f>Inputs!$B$3&gt;=10</f>
        <v/>
      </c>
      <c r="D1237">
        <f>IF(Skills!C20=1,60+Inputs!$B$25+Inputs!$B$29,IF(Skills!C20=2,90+Inputs!$B$26+Inputs!$B$29,IF(Skills!C20=3,120+Inputs!$B$27+Inputs!$B$29,MAX(0,(Inputs!$B$3-100)*3)+Inputs!$B$28+Inputs!$B$29)))</f>
        <v/>
      </c>
      <c r="E1237">
        <f>INDEX(FactorTable!$B$2:$Y$301, MATCH(ROUND(MIN(300,MAX(1,D1237)),0), FactorTable!$A$2:$A$301,0), Skills!M20+1)</f>
        <v/>
      </c>
      <c r="F1237">
        <f>IF(Skills!N20=TRUE,(Skills!L20/10)*(E1237/1000),Skills!L20/10)+Skills!O20</f>
        <v/>
      </c>
      <c r="G1237">
        <f>Skills!G20*IF(Skills!H20&gt;0,Skills!I20/Skills!H20,1)</f>
        <v/>
      </c>
      <c r="H1237">
        <f>1-(1-Skills!J20/100)^Skills!K20</f>
        <v/>
      </c>
      <c r="I1237" t="inlineStr">
        <is>
          <t>1</t>
        </is>
      </c>
      <c r="J1237" t="inlineStr"/>
      <c r="K1237" t="inlineStr"/>
      <c r="L1237" t="inlineStr"/>
      <c r="M1237" t="inlineStr"/>
      <c r="N1237" t="inlineStr"/>
      <c r="O1237">
        <f>(1-Summary!$B$55)*T1237+Summary!$B$55*V1237</f>
        <v/>
      </c>
      <c r="P1237">
        <f>IF(B1259=0,0,O1237/B1259)</f>
        <v/>
      </c>
      <c r="Q1237" t="n">
        <v>0</v>
      </c>
      <c r="R1237" t="n">
        <v>0</v>
      </c>
      <c r="S1237" t="n">
        <v>0</v>
      </c>
      <c r="T1237" t="n">
        <v>0</v>
      </c>
      <c r="V1237" t="n">
        <v>0</v>
      </c>
    </row>
    <row r="1238">
      <c r="A1238">
        <f>Skills!A21</f>
        <v/>
      </c>
      <c r="B1238">
        <f>Skills!B21</f>
        <v/>
      </c>
      <c r="C1238">
        <f>Inputs!$B$3&gt;=33</f>
        <v/>
      </c>
      <c r="D1238">
        <f>IF(Skills!C21=1,60+Inputs!$B$25+Inputs!$B$29,IF(Skills!C21=2,90+Inputs!$B$26+Inputs!$B$29,IF(Skills!C21=3,120+Inputs!$B$27+Inputs!$B$29,MAX(0,(Inputs!$B$3-100)*3)+Inputs!$B$28+Inputs!$B$29)))</f>
        <v/>
      </c>
      <c r="E1238">
        <f>INDEX(FactorTable!$B$2:$Y$301, MATCH(ROUND(MIN(300,MAX(1,D1238)),0), FactorTable!$A$2:$A$301,0), Skills!M21+1)</f>
        <v/>
      </c>
      <c r="F1238">
        <f>IF(Skills!N21=TRUE,(Skills!L21/10)*(E1238/1000),Skills!L21/10)+Skills!O21</f>
        <v/>
      </c>
      <c r="G1238">
        <f>Skills!G21*IF(Skills!H21&gt;0,Skills!I21/Skills!H21,1)</f>
        <v/>
      </c>
      <c r="H1238">
        <f>1-(1-Skills!J21/100)^Skills!K21</f>
        <v/>
      </c>
      <c r="I1238" t="inlineStr">
        <is>
          <t>1</t>
        </is>
      </c>
      <c r="J1238" t="inlineStr"/>
      <c r="K1238" t="inlineStr"/>
      <c r="L1238" t="inlineStr"/>
      <c r="M1238" t="inlineStr"/>
      <c r="N1238" t="inlineStr"/>
      <c r="O1238">
        <f>(1-Summary!$B$55)*T1238+Summary!$B$55*V1238</f>
        <v/>
      </c>
      <c r="P1238">
        <f>IF(B1259=0,0,O1238/B1259)</f>
        <v/>
      </c>
      <c r="Q1238" t="n">
        <v>0</v>
      </c>
      <c r="R1238" t="n">
        <v>0</v>
      </c>
      <c r="S1238" t="n">
        <v>0</v>
      </c>
      <c r="T1238" t="n">
        <v>0</v>
      </c>
      <c r="V1238" t="n">
        <v>0</v>
      </c>
    </row>
    <row r="1239">
      <c r="A1239">
        <f>Skills!A22</f>
        <v/>
      </c>
      <c r="B1239">
        <f>Skills!B22</f>
        <v/>
      </c>
      <c r="C1239">
        <f>Inputs!$B$3&gt;=38</f>
        <v/>
      </c>
      <c r="D1239">
        <f>IF(Skills!C22=1,60+Inputs!$B$25+Inputs!$B$29,IF(Skills!C22=2,90+Inputs!$B$26+Inputs!$B$29,IF(Skills!C22=3,120+Inputs!$B$27+Inputs!$B$29,MAX(0,(Inputs!$B$3-100)*3)+Inputs!$B$28+Inputs!$B$29)))</f>
        <v/>
      </c>
      <c r="E1239">
        <f>INDEX(FactorTable!$B$2:$Y$301, MATCH(ROUND(MIN(300,MAX(1,D1239)),0), FactorTable!$A$2:$A$301,0), Skills!M22+1)</f>
        <v/>
      </c>
      <c r="F1239">
        <f>IF(Skills!N22=TRUE,(Skills!L22/10)*(E1239/1000),Skills!L22/10)+Skills!O22</f>
        <v/>
      </c>
      <c r="G1239">
        <f>Skills!G22*IF(Skills!H22&gt;0,Skills!I22/Skills!H22,1)</f>
        <v/>
      </c>
      <c r="H1239">
        <f>1-(1-Skills!J22/100)^Skills!K22</f>
        <v/>
      </c>
      <c r="I1239" t="inlineStr">
        <is>
          <t>1</t>
        </is>
      </c>
      <c r="J1239" t="inlineStr"/>
      <c r="K1239" t="inlineStr"/>
      <c r="L1239" t="inlineStr"/>
      <c r="M1239" t="inlineStr"/>
      <c r="N1239" t="inlineStr"/>
      <c r="O1239">
        <f>(1-Summary!$B$55)*T1239+Summary!$B$55*V1239</f>
        <v/>
      </c>
      <c r="P1239">
        <f>IF(B1259=0,0,O1239/B1259)</f>
        <v/>
      </c>
      <c r="Q1239" t="n">
        <v>0</v>
      </c>
      <c r="R1239" t="n">
        <v>0</v>
      </c>
      <c r="S1239" t="n">
        <v>0</v>
      </c>
      <c r="T1239" t="n">
        <v>0</v>
      </c>
      <c r="V1239" t="n">
        <v>0</v>
      </c>
    </row>
    <row r="1240">
      <c r="A1240">
        <f>Skills!A23</f>
        <v/>
      </c>
      <c r="B1240">
        <f>Skills!B23</f>
        <v/>
      </c>
      <c r="C1240">
        <f>Inputs!$B$3&gt;=43</f>
        <v/>
      </c>
      <c r="D1240">
        <f>IF(Skills!C23=1,60+Inputs!$B$25+Inputs!$B$29,IF(Skills!C23=2,90+Inputs!$B$26+Inputs!$B$29,IF(Skills!C23=3,120+Inputs!$B$27+Inputs!$B$29,MAX(0,(Inputs!$B$3-100)*3)+Inputs!$B$28+Inputs!$B$29)))</f>
        <v/>
      </c>
      <c r="E1240">
        <f>INDEX(FactorTable!$B$2:$Y$301, MATCH(ROUND(MIN(300,MAX(1,D1240)),0), FactorTable!$A$2:$A$301,0), Skills!M23+1)</f>
        <v/>
      </c>
      <c r="F1240">
        <f>IF(Skills!N23=TRUE,(Skills!L23/10)*(E1240/1000),Skills!L23/10)+Skills!O23</f>
        <v/>
      </c>
      <c r="G1240">
        <f>Skills!G23*IF(Skills!H23&gt;0,Skills!I23/Skills!H23,1)</f>
        <v/>
      </c>
      <c r="H1240">
        <f>1-(1-Skills!J23/100)^Skills!K23</f>
        <v/>
      </c>
      <c r="I1240" t="inlineStr">
        <is>
          <t>1</t>
        </is>
      </c>
      <c r="J1240" t="inlineStr"/>
      <c r="K1240" t="inlineStr"/>
      <c r="L1240" t="inlineStr"/>
      <c r="M1240" t="inlineStr"/>
      <c r="N1240" t="inlineStr"/>
      <c r="O1240">
        <f>(1-Summary!$B$55)*T1240+Summary!$B$55*V1240</f>
        <v/>
      </c>
      <c r="P1240">
        <f>IF(B1259=0,0,O1240/B1259)</f>
        <v/>
      </c>
      <c r="Q1240" t="n">
        <v>0</v>
      </c>
      <c r="R1240" t="n">
        <v>0</v>
      </c>
      <c r="S1240" t="n">
        <v>0</v>
      </c>
      <c r="T1240" t="n">
        <v>0</v>
      </c>
      <c r="V1240" t="n">
        <v>0</v>
      </c>
    </row>
    <row r="1241">
      <c r="A1241">
        <f>Skills!A24</f>
        <v/>
      </c>
      <c r="B1241">
        <f>Skills!B24</f>
        <v/>
      </c>
      <c r="C1241">
        <f>Inputs!$B$3&gt;=75</f>
        <v/>
      </c>
      <c r="D1241">
        <f>IF(Skills!C24=1,60+Inputs!$B$25+Inputs!$B$29,IF(Skills!C24=2,90+Inputs!$B$26+Inputs!$B$29,IF(Skills!C24=3,120+Inputs!$B$27+Inputs!$B$29,MAX(0,(Inputs!$B$3-100)*3)+Inputs!$B$28+Inputs!$B$29)))</f>
        <v/>
      </c>
      <c r="E1241">
        <f>INDEX(FactorTable!$B$2:$Y$301, MATCH(ROUND(MIN(300,MAX(1,D1241)),0), FactorTable!$A$2:$A$301,0), Skills!M24+1)</f>
        <v/>
      </c>
      <c r="F1241">
        <f>IF(Skills!N24=TRUE,(Skills!L24/10)*(E1241/1000),Skills!L24/10)+Skills!O24</f>
        <v/>
      </c>
      <c r="G1241">
        <f>Skills!G24*IF(Skills!H24&gt;0,Skills!I24/Skills!H24,1)</f>
        <v/>
      </c>
      <c r="H1241">
        <f>1-(1-Skills!J24/100)^Skills!K24</f>
        <v/>
      </c>
      <c r="I1241" t="inlineStr">
        <is>
          <t>1</t>
        </is>
      </c>
      <c r="J1241" t="inlineStr"/>
      <c r="K1241" t="inlineStr"/>
      <c r="L1241" t="inlineStr"/>
      <c r="M1241" t="inlineStr"/>
      <c r="N1241" t="inlineStr"/>
      <c r="O1241">
        <f>(1-Summary!$B$55)*T1241+Summary!$B$55*V1241</f>
        <v/>
      </c>
      <c r="P1241">
        <f>IF(B1259=0,0,O1241/B1259)</f>
        <v/>
      </c>
      <c r="Q1241" t="n">
        <v>0</v>
      </c>
      <c r="R1241" t="n">
        <v>0</v>
      </c>
      <c r="S1241" t="n">
        <v>0</v>
      </c>
      <c r="T1241" t="n">
        <v>0</v>
      </c>
      <c r="V1241" t="n">
        <v>0</v>
      </c>
    </row>
    <row r="1242">
      <c r="A1242">
        <f>Skills!A25</f>
        <v/>
      </c>
      <c r="B1242">
        <f>Skills!B25</f>
        <v/>
      </c>
      <c r="C1242">
        <f>Inputs!$B$3&gt;=125</f>
        <v/>
      </c>
      <c r="D1242">
        <f>IF(Skills!C25=1,60+Inputs!$B$25+Inputs!$B$29,IF(Skills!C25=2,90+Inputs!$B$26+Inputs!$B$29,IF(Skills!C25=3,120+Inputs!$B$27+Inputs!$B$29,MAX(0,(Inputs!$B$3-100)*3)+Inputs!$B$28+Inputs!$B$29)))</f>
        <v/>
      </c>
      <c r="E1242">
        <f>INDEX(FactorTable!$B$2:$Y$301, MATCH(ROUND(MIN(300,MAX(1,D1242)),0), FactorTable!$A$2:$A$301,0), Skills!M25+1)</f>
        <v/>
      </c>
      <c r="F1242">
        <f>IF(Skills!N25=TRUE,(Skills!L25/10)*(E1242/1000),Skills!L25/10)+Skills!O25</f>
        <v/>
      </c>
      <c r="G1242">
        <f>Skills!G25*IF(Skills!H25&gt;0,Skills!I25/Skills!H25,1)</f>
        <v/>
      </c>
      <c r="H1242">
        <f>1-(1-Skills!J25/100)^Skills!K25</f>
        <v/>
      </c>
      <c r="I1242" t="inlineStr">
        <is>
          <t>1</t>
        </is>
      </c>
      <c r="J1242" t="inlineStr"/>
      <c r="K1242" t="inlineStr"/>
      <c r="L1242" t="inlineStr"/>
      <c r="M1242" t="inlineStr"/>
      <c r="N1242" t="inlineStr"/>
      <c r="O1242">
        <f>(1-Summary!$B$55)*T1242+Summary!$B$55*V1242</f>
        <v/>
      </c>
      <c r="P1242">
        <f>IF(B1259=0,0,O1242/B1259)</f>
        <v/>
      </c>
      <c r="Q1242" t="n">
        <v>0</v>
      </c>
      <c r="R1242" t="n">
        <v>0</v>
      </c>
      <c r="S1242" t="n">
        <v>0</v>
      </c>
      <c r="T1242" t="n">
        <v>0</v>
      </c>
      <c r="V1242" t="n">
        <v>0</v>
      </c>
    </row>
    <row r="1243">
      <c r="A1243">
        <f>Skills!A26</f>
        <v/>
      </c>
      <c r="B1243">
        <f>Skills!B26</f>
        <v/>
      </c>
      <c r="C1243">
        <f>Inputs!$B$3&gt;=125</f>
        <v/>
      </c>
      <c r="D1243">
        <f>IF(Skills!C26=1,60+Inputs!$B$25+Inputs!$B$29,IF(Skills!C26=2,90+Inputs!$B$26+Inputs!$B$29,IF(Skills!C26=3,120+Inputs!$B$27+Inputs!$B$29,MAX(0,(Inputs!$B$3-100)*3)+Inputs!$B$28+Inputs!$B$29)))</f>
        <v/>
      </c>
      <c r="E1243">
        <f>INDEX(FactorTable!$B$2:$Y$301, MATCH(ROUND(MIN(300,MAX(1,D1243)),0), FactorTable!$A$2:$A$301,0), Skills!M26+1)</f>
        <v/>
      </c>
      <c r="F1243">
        <f>IF(Skills!N26=TRUE,(Skills!L26/10)*(E1243/1000),Skills!L26/10)+Skills!O26</f>
        <v/>
      </c>
      <c r="G1243">
        <f>Skills!G26*IF(Skills!H26&gt;0,Skills!I26/Skills!H26,1)</f>
        <v/>
      </c>
      <c r="H1243">
        <f>1-(1-Skills!J26/100)^Skills!K26</f>
        <v/>
      </c>
      <c r="I1243" t="inlineStr">
        <is>
          <t>1</t>
        </is>
      </c>
      <c r="J1243" t="inlineStr"/>
      <c r="K1243" t="inlineStr"/>
      <c r="L1243" t="inlineStr"/>
      <c r="M1243" t="inlineStr"/>
      <c r="N1243" t="inlineStr"/>
      <c r="O1243">
        <f>(1-Summary!$B$55)*T1243+Summary!$B$55*V1243</f>
        <v/>
      </c>
      <c r="P1243">
        <f>IF(B1259=0,0,O1243/B1259)</f>
        <v/>
      </c>
      <c r="Q1243" t="n">
        <v>0</v>
      </c>
      <c r="R1243" t="n">
        <v>0</v>
      </c>
      <c r="S1243" t="n">
        <v>0</v>
      </c>
      <c r="T1243" t="n">
        <v>0</v>
      </c>
      <c r="V1243" t="n">
        <v>0</v>
      </c>
    </row>
    <row r="1244">
      <c r="A1244">
        <f>Skills!A27</f>
        <v/>
      </c>
      <c r="B1244">
        <f>Skills!B27</f>
        <v/>
      </c>
      <c r="C1244">
        <f>Inputs!$B$3&gt;=120</f>
        <v/>
      </c>
      <c r="D1244">
        <f>IF(Skills!C27=1,60+Inputs!$B$25+Inputs!$B$29,IF(Skills!C27=2,90+Inputs!$B$26+Inputs!$B$29,IF(Skills!C27=3,120+Inputs!$B$27+Inputs!$B$29,MAX(0,(Inputs!$B$3-100)*3)+Inputs!$B$28+Inputs!$B$29)))</f>
        <v/>
      </c>
      <c r="E1244">
        <f>INDEX(FactorTable!$B$2:$Y$301, MATCH(ROUND(MIN(300,MAX(1,D1244)),0), FactorTable!$A$2:$A$301,0), Skills!M27+1)</f>
        <v/>
      </c>
      <c r="F1244">
        <f>IF(Skills!N27=TRUE,(Skills!L27/10)*(E1244/1000),Skills!L27/10)+Skills!O27</f>
        <v/>
      </c>
      <c r="G1244">
        <f>Skills!G27*IF(Skills!H27&gt;0,Skills!I27/Skills!H27,1)</f>
        <v/>
      </c>
      <c r="H1244">
        <f>1-(1-Skills!J27/100)^Skills!K27</f>
        <v/>
      </c>
      <c r="I1244" t="inlineStr">
        <is>
          <t>1</t>
        </is>
      </c>
      <c r="J1244" t="inlineStr"/>
      <c r="K1244" t="inlineStr"/>
      <c r="L1244" t="inlineStr"/>
      <c r="M1244" t="inlineStr"/>
      <c r="N1244" t="inlineStr"/>
      <c r="O1244">
        <f>(1-Summary!$B$55)*T1244+Summary!$B$55*V1244</f>
        <v/>
      </c>
      <c r="P1244">
        <f>IF(B1259=0,0,O1244/B1259)</f>
        <v/>
      </c>
      <c r="Q1244" t="n">
        <v>0</v>
      </c>
      <c r="R1244" t="n">
        <v>0</v>
      </c>
      <c r="S1244" t="n">
        <v>0</v>
      </c>
      <c r="T1244" t="n">
        <v>0</v>
      </c>
      <c r="V1244" t="n">
        <v>0</v>
      </c>
    </row>
    <row r="1245">
      <c r="A1245">
        <f>Skills!A28</f>
        <v/>
      </c>
      <c r="B1245">
        <f>Skills!B28</f>
        <v/>
      </c>
      <c r="C1245">
        <f>Inputs!$B$3&gt;=120</f>
        <v/>
      </c>
      <c r="D1245">
        <f>IF(Skills!C28=1,60+Inputs!$B$25+Inputs!$B$29,IF(Skills!C28=2,90+Inputs!$B$26+Inputs!$B$29,IF(Skills!C28=3,120+Inputs!$B$27+Inputs!$B$29,MAX(0,(Inputs!$B$3-100)*3)+Inputs!$B$28+Inputs!$B$29)))</f>
        <v/>
      </c>
      <c r="E1245">
        <f>INDEX(FactorTable!$B$2:$Y$301, MATCH(ROUND(MIN(300,MAX(1,D1245)),0), FactorTable!$A$2:$A$301,0), Skills!M28+1)</f>
        <v/>
      </c>
      <c r="F1245">
        <f>IF(Skills!N28=TRUE,(Skills!L28/10)*(E1245/1000),Skills!L28/10)+Skills!O28</f>
        <v/>
      </c>
      <c r="G1245">
        <f>Skills!G28*IF(Skills!H28&gt;0,Skills!I28/Skills!H28,1)</f>
        <v/>
      </c>
      <c r="H1245">
        <f>1-(1-Skills!J28/100)^Skills!K28</f>
        <v/>
      </c>
      <c r="I1245" t="inlineStr">
        <is>
          <t>1</t>
        </is>
      </c>
      <c r="J1245" t="inlineStr"/>
      <c r="K1245" t="inlineStr"/>
      <c r="L1245" t="inlineStr"/>
      <c r="M1245" t="inlineStr"/>
      <c r="N1245" t="inlineStr"/>
      <c r="O1245">
        <f>(1-Summary!$B$55)*T1245+Summary!$B$55*V1245</f>
        <v/>
      </c>
      <c r="P1245">
        <f>IF(B1259=0,0,O1245/B1259)</f>
        <v/>
      </c>
      <c r="Q1245" t="n">
        <v>0</v>
      </c>
      <c r="R1245" t="n">
        <v>0</v>
      </c>
      <c r="S1245" t="n">
        <v>0</v>
      </c>
      <c r="T1245" t="n">
        <v>0</v>
      </c>
      <c r="V1245" t="n">
        <v>0</v>
      </c>
    </row>
    <row r="1246">
      <c r="A1246">
        <f>Skills!A29</f>
        <v/>
      </c>
      <c r="B1246">
        <f>Skills!B29</f>
        <v/>
      </c>
      <c r="C1246">
        <f>Inputs!$B$3&gt;=45</f>
        <v/>
      </c>
      <c r="D1246">
        <f>IF(Skills!C29=1,60+Inputs!$B$25+Inputs!$B$29,IF(Skills!C29=2,90+Inputs!$B$26+Inputs!$B$29,IF(Skills!C29=3,120+Inputs!$B$27+Inputs!$B$29,MAX(0,(Inputs!$B$3-100)*3)+Inputs!$B$28+Inputs!$B$29)))</f>
        <v/>
      </c>
      <c r="E1246">
        <f>INDEX(FactorTable!$B$2:$Y$301, MATCH(ROUND(MIN(300,MAX(1,D1246)),0), FactorTable!$A$2:$A$301,0), Skills!M29+1)</f>
        <v/>
      </c>
      <c r="F1246">
        <f>IF(Skills!N29=TRUE,(Skills!L29/10)*(E1246/1000),Skills!L29/10)+Skills!O29</f>
        <v/>
      </c>
      <c r="G1246">
        <f>Skills!G29*IF(Skills!H29&gt;0,Skills!I29/Skills!H29,1)</f>
        <v/>
      </c>
      <c r="H1246">
        <f>1-(1-Skills!J29/100)^Skills!K29</f>
        <v/>
      </c>
      <c r="I1246" t="inlineStr">
        <is>
          <t>1</t>
        </is>
      </c>
      <c r="J1246" t="inlineStr"/>
      <c r="K1246" t="inlineStr"/>
      <c r="L1246" t="inlineStr"/>
      <c r="M1246" t="inlineStr"/>
      <c r="N1246" t="inlineStr"/>
      <c r="O1246">
        <f>(1-Summary!$B$55)*T1246+Summary!$B$55*V1246</f>
        <v/>
      </c>
      <c r="P1246">
        <f>IF(B1259=0,0,O1246/B1259)</f>
        <v/>
      </c>
      <c r="Q1246" t="n">
        <v>0</v>
      </c>
      <c r="R1246" t="n">
        <v>0</v>
      </c>
      <c r="S1246" t="n">
        <v>0</v>
      </c>
      <c r="T1246" t="n">
        <v>0</v>
      </c>
      <c r="V1246" t="n">
        <v>0</v>
      </c>
    </row>
    <row r="1248">
      <c r="A1248" t="inlineStr">
        <is>
          <t>Attack% Bucket Multiplier</t>
        </is>
      </c>
      <c r="B1248">
        <f>(1+(((C1230=TRUE)*F1230)+((C1231=TRUE)*IF(Inputs!$B$38="pvp",F1231,(1-Summary!$B$55)*(F1231)+Summary!$B$55*(0)))+((C1232=TRUE)*F1232*IF(AND(Inputs!$B$38&lt;&gt;"pvp",Inputs!$B$43&gt;0),(((R1232-1)*(Skills!T15*(1+Inputs!$B$34/100))+MIN((Skills!T15*(1+Inputs!$B$34/100)),MAX(0,Inputs!$B$43-((R1232-1)*Skills!D15))))/Inputs!$B$43),IF(Inputs!$B$38="pvp",MIN((Skills!T15*(1+Inputs!$B$34/100)),15)/15,(Skills!T15*(1+Inputs!$B$34/100))/Skills!D15)))+((C1229=TRUE)*F1229)+((C1246=TRUE)*(F1246-Calc!F29)))/100)</f>
        <v/>
      </c>
    </row>
    <row r="1249">
      <c r="A1249" t="inlineStr">
        <is>
          <t>Global Crit Rate Bonus %</t>
        </is>
      </c>
      <c r="B1249">
        <f>(C1233=TRUE)*20*IF(AND(Inputs!$B$38&lt;&gt;"pvp",Inputs!$B$43&gt;0),(((R1233-1)*(Skills!T16*(1+Inputs!$B$34/100))+MIN((Skills!T16*(1+Inputs!$B$34/100)),MAX(0,Inputs!$B$43-((R1233-1)*Skills!D16))))/Inputs!$B$43),IF(Inputs!$B$38="pvp",MIN((Skills!T16*(1+Inputs!$B$34/100)),15)/15,(Skills!T16*(1+Inputs!$B$34/100))/Skills!D16))</f>
        <v/>
      </c>
    </row>
    <row r="1250">
      <c r="A1250" t="inlineStr">
        <is>
          <t>Attack Speed Buff Bonus %</t>
        </is>
      </c>
      <c r="B1250">
        <f>((C1235=TRUE)*F1235*IF(AND(Inputs!$B$38&lt;&gt;"pvp",Inputs!$B$43&gt;0),(((R1235-1)*(Skills!T18*(1+Inputs!$B$34/100))+MIN((Skills!T18*(1+Inputs!$B$34/100)),MAX(0,Inputs!$B$43-((R1235-1)*Skills!D18))))/Inputs!$B$43),IF(Inputs!$B$38="pvp",MIN((Skills!T18*(1+Inputs!$B$34/100)),15)/15,(Skills!T18*(1+Inputs!$B$34/100))/Skills!D18)))</f>
        <v/>
      </c>
    </row>
    <row r="1251">
      <c r="A1251" t="inlineStr">
        <is>
          <t>Actions Per Second</t>
        </is>
      </c>
      <c r="B1251">
        <f>1+MIN(150,150*(1-(1-(Inputs!$B$11+((C1237=TRUE)*(F1237-Calc!F20))+((C1238=TRUE)*(F1238-Calc!F21)))/150)*(1-B1250/150)))/100</f>
        <v/>
      </c>
    </row>
    <row r="1252">
      <c r="A1252" t="inlineStr">
        <is>
          <t>Skill + Buff Cast Rate</t>
        </is>
      </c>
      <c r="B1252">
        <f>IF(AND(Inputs!$B$38&lt;&gt;"pvp",Inputs!$B$43&gt;0),SUMPRODUCT((Skills!E2:E29=TRUE)*(C1219:C1246=TRUE)*R1219:R1246*Skills!F2:F29)/Inputs!$B$43,SUMPRODUCT((Skills!E2:E29=TRUE)*(C1219:C1246=TRUE)*Q1219:Q1246*Skills!F2:F29))</f>
        <v/>
      </c>
    </row>
    <row r="1253">
      <c r="A1253" t="inlineStr">
        <is>
          <t>Empowered Piercing Arrow Casts Per Second</t>
        </is>
      </c>
      <c r="B1253">
        <f>MAX(0,B1251-B1252)</f>
        <v/>
      </c>
    </row>
    <row r="1254">
      <c r="A1254" t="inlineStr">
        <is>
          <t>Global Critical Damage Bonus % (Sharp Eyes)</t>
        </is>
      </c>
      <c r="B1254">
        <f>(C1233=TRUE)*F1233*IF(AND(Inputs!$B$38&lt;&gt;"pvp",Inputs!$B$43&gt;0),(((R1233-1)*(Skills!T16*(1+Inputs!$B$34/100))+MIN((Skills!T16*(1+Inputs!$B$34/100)),MAX(0,Inputs!$B$43-((R1233-1)*Skills!D16))))/Inputs!$B$43),IF(Inputs!$B$38="pvp",MIN((Skills!T16*(1+Inputs!$B$34/100)),15)/15,(Skills!T16*(1+Inputs!$B$34/100))/Skills!D16))</f>
        <v/>
      </c>
    </row>
    <row r="1255">
      <c r="A1255" t="inlineStr">
        <is>
          <t>Global Final Damage Bonus % (Mortal Blow + Last Man Standing conditional half)</t>
        </is>
      </c>
      <c r="B1255">
        <f>(C1234=TRUE)*F1234+((C1243=TRUE)*IF(Inputs!$B$38="pvp",F1243,(1-Summary!$B$55)*(F1243)+Summary!$B$55*(0)))</f>
        <v/>
      </c>
    </row>
    <row r="1256">
      <c r="A1256" t="inlineStr">
        <is>
          <t>Buff-Casting Startup Delay (s, fixed-duration only)</t>
        </is>
      </c>
      <c r="B1256">
        <f>IF(AND(Inputs!$B$38&lt;&gt;"pvp",Inputs!$B$43&gt;0),SUMPRODUCT((Skills!T2:T29&gt;0)*(Skills!E2:E29=TRUE)*(C1219:C1246=TRUE))/B1251,0)</f>
        <v/>
      </c>
    </row>
    <row r="1257">
      <c r="A1257" t="inlineStr">
        <is>
          <t>Boss-Only Total DPS (this block's swept value)</t>
        </is>
      </c>
      <c r="B1257">
        <f>SUM(T1219:T1246)</f>
        <v/>
      </c>
    </row>
    <row r="1258">
      <c r="A1258" t="inlineStr">
        <is>
          <t>Normal-Only Total DPS (this block's swept value)</t>
        </is>
      </c>
      <c r="B1258">
        <f>SUM(V1219:V1246)</f>
        <v/>
      </c>
    </row>
    <row r="1259">
      <c r="A1259" s="5" t="inlineStr">
        <is>
          <t>TOTAL DPS</t>
        </is>
      </c>
      <c r="B1259" s="5">
        <f>SUM(O1219:O1246)</f>
        <v/>
      </c>
    </row>
    <row r="1262">
      <c r="A1262" s="5" t="inlineStr">
        <is>
          <t>Stat: CDR = 1.0s</t>
        </is>
      </c>
    </row>
    <row r="1263">
      <c r="A1263" s="9" t="inlineStr">
        <is>
          <t>Key</t>
        </is>
      </c>
      <c r="B1263" s="9" t="inlineStr">
        <is>
          <t>Name</t>
        </is>
      </c>
      <c r="C1263" s="9" t="inlineStr">
        <is>
          <t>Unlocked</t>
        </is>
      </c>
      <c r="D1263" s="9" t="inlineStr">
        <is>
          <t>InputLevel</t>
        </is>
      </c>
      <c r="E1263" s="9" t="inlineStr">
        <is>
          <t>Factor</t>
        </is>
      </c>
      <c r="F1263" s="9" t="inlineStr">
        <is>
          <t>CoefficientPercent</t>
        </is>
      </c>
      <c r="G1263" s="9" t="inlineStr">
        <is>
          <t>EffectiveHits</t>
        </is>
      </c>
      <c r="H1263" s="9" t="inlineStr">
        <is>
          <t>ProcProbability</t>
        </is>
      </c>
      <c r="I1263" s="9" t="inlineStr">
        <is>
          <t>MapleHeroMultiplier</t>
        </is>
      </c>
      <c r="J1263" s="9" t="inlineStr">
        <is>
          <t>BaseDamage</t>
        </is>
      </c>
      <c r="K1263" s="9" t="inlineStr">
        <is>
          <t>BaseHitDamage</t>
        </is>
      </c>
      <c r="L1263" s="9" t="inlineStr">
        <is>
          <t>NonCritAvg</t>
        </is>
      </c>
      <c r="M1263" s="9" t="inlineStr">
        <is>
          <t>CritAvg</t>
        </is>
      </c>
      <c r="N1263" s="9" t="inlineStr">
        <is>
          <t>ExpectedDamage(perHit)</t>
        </is>
      </c>
      <c r="O1263" s="9" t="inlineStr">
        <is>
          <t>DPS</t>
        </is>
      </c>
      <c r="P1263" s="9" t="inlineStr">
        <is>
          <t>% of Total</t>
        </is>
      </c>
      <c r="Q1263" s="9" t="inlineStr">
        <is>
          <t>InvCooldown</t>
        </is>
      </c>
      <c r="R1263" s="9" t="inlineStr">
        <is>
          <t>CastsInFight</t>
        </is>
      </c>
      <c r="S1263" s="9" t="inlineStr">
        <is>
          <t>HitRate(perSec)</t>
        </is>
      </c>
      <c r="U1263" t="inlineStr">
        <is>
          <t>helpers</t>
        </is>
      </c>
    </row>
    <row r="1264">
      <c r="A1264">
        <f>Skills!A2</f>
        <v/>
      </c>
      <c r="B1264">
        <f>Skills!B2</f>
        <v/>
      </c>
      <c r="C1264">
        <f>Inputs!$B$3&gt;=100</f>
        <v/>
      </c>
      <c r="D1264" t="inlineStr"/>
      <c r="E1264" t="inlineStr"/>
      <c r="F1264">
        <f>U1266+Skills!O2</f>
        <v/>
      </c>
      <c r="G1264">
        <f>Skills!G2*IF(Skills!H2&gt;0,Skills!I2/Skills!H2,1)</f>
        <v/>
      </c>
      <c r="H1264">
        <f>1-(1-Skills!J2/100)^Skills!K2</f>
        <v/>
      </c>
      <c r="I1264" t="inlineStr">
        <is>
          <t>1</t>
        </is>
      </c>
      <c r="J1264">
        <f>((Inputs!$B$6*(1+Inputs!$B$7/100))+(((Inputs!$B$12*(1+Inputs!$B$13/100))-(Inputs!$B$12*(1+Inputs!$B$13/100)))+0.25*(Inputs!$B$14-Inputs!$B$14))*(1+Inputs!$B$7/100))*(F1264/100)</f>
        <v/>
      </c>
      <c r="K1264">
        <f>J1264*(1+((Inputs!$B$12*(1+Inputs!$B$13/100))*0.01+Inputs!$B$14*0.0025)/100)*(1+Inputs!$B$15/100)*(1+Inputs!$B$16/100)*(5000/(6000+Inputs!$B$42*(1-(Inputs!$B$19+0)/100)))*(1+(Inputs!$B$24+((C1286=TRUE)*(F1286-Calc!F24))+((C1287=TRUE)*(F1287-Calc!F25))+B1300)/100)*(1+(IF(Skills!A2="EMPOWERED_PIERCING_ARROW",Inputs!$B$17+((C1284=TRUE)*(F1284-Calc!F22)),Inputs!$B$18+((C1289=TRUE)*(F1289-Calc!F27))))/100)*((1+(((C1275=TRUE)*F1275)+((C1276=TRUE)*IF(Inputs!$B$38="pvp",F1276,(1-Summary!$B$55)*(F1276)+Summary!$B$55*(0)))+((C1277=TRUE)*F1277*IF(AND(Inputs!$B$38&lt;&gt;"pvp",Inputs!$B$43&gt;0),(((R1277-1)*(Skills!T15*(1+Inputs!$B$34/100))+MIN((Skills!T15*(1+Inputs!$B$34/100)),MAX(0,Inputs!$B$43-((R1277-1)*Skills!D15))))/Inputs!$B$43),IF(Inputs!$B$38="pvp",MIN((Skills!T15*(1+Inputs!$B$34/100)),15)/15,(Skills!T15*(1+Inputs!$B$34/100))/Skills!D15)))+((C1274=TRUE)*F1274)+((C1291=TRUE)*(F1291-Calc!F29)))/100)*I1264)</f>
        <v/>
      </c>
      <c r="L1264">
        <f>K1264*(MIN(Inputs!$B$22+((C1285=TRUE)*(F1285-Calc!F23)),Inputs!$B$23+((C1290=TRUE)*(F1290-Calc!F28)))/100+(Inputs!$B$23+((C1290=TRUE)*(F1290-Calc!F28)))/100)/2</f>
        <v/>
      </c>
      <c r="M1264">
        <f>L1264*(1+(Inputs!$B$10+0+B1299)/100)</f>
        <v/>
      </c>
      <c r="N1264">
        <f>L1264*(1-MIN((Inputs!$B$9+((C1281=TRUE)*(F1281-Calc!F19))+B1294),100)/100)+M1264*(MIN((Inputs!$B$9+((C1281=TRUE)*(F1281-Calc!F19))+B1294),100)/100)</f>
        <v/>
      </c>
      <c r="O1264">
        <f>(1-Summary!$B$55)*T1264+Summary!$B$55*V1264</f>
        <v/>
      </c>
      <c r="P1264">
        <f>IF(B1304=0,0,O1264/B1304)</f>
        <v/>
      </c>
      <c r="Q1264" t="n">
        <v>0</v>
      </c>
      <c r="R1264" t="n">
        <v>0</v>
      </c>
      <c r="S1264">
        <f>IFERROR((Skills!G2*N1264*B1298)/N1264*IF(Inputs!$B$38="pvp",1,(1-Summary!$B$55)*1+Summary!$B$55*(MIN((6+Inputs!$B$33),Inputs!$B$37))),0)</f>
        <v/>
      </c>
      <c r="T1264">
        <f>IF(C1264,(Skills!G2*N1264*B1298)*IF(Inputs!$B$38="pvp",1,1+(Inputs!$B$20+0+Skills!P2)/100),0)</f>
        <v/>
      </c>
      <c r="U1264">
        <f>MAX(0,(Inputs!$B$3-100)*3)+Inputs!$B$28+Inputs!$B$29</f>
        <v/>
      </c>
      <c r="V1264">
        <f>IF(C1264,(Skills!G2*N1264*B1298)*IF(Inputs!$B$38="pvp",1,(1+(Inputs!$B$21+Skills!Q2)/100)*(MIN((6+Inputs!$B$33),Inputs!$B$37))),0)</f>
        <v/>
      </c>
    </row>
    <row r="1265">
      <c r="A1265">
        <f>Skills!A3</f>
        <v/>
      </c>
      <c r="B1265">
        <f>Skills!B3</f>
        <v/>
      </c>
      <c r="C1265">
        <f>Inputs!$B$3&gt;=50</f>
        <v/>
      </c>
      <c r="D1265">
        <f>IF(Skills!C3=1,60+Inputs!$B$25+Inputs!$B$29,IF(Skills!C3=2,90+Inputs!$B$26+Inputs!$B$29,IF(Skills!C3=3,120+Inputs!$B$27+Inputs!$B$29,MAX(0,(Inputs!$B$3-100)*3)+Inputs!$B$28+Inputs!$B$29)))</f>
        <v/>
      </c>
      <c r="E1265">
        <f>INDEX(FactorTable!$B$2:$Y$301, MATCH(ROUND(MIN(300,MAX(1,D1265)),0), FactorTable!$A$2:$A$301,0), Skills!M3+1)</f>
        <v/>
      </c>
      <c r="F1265">
        <f>IF(Skills!N3=TRUE,(Skills!L3/10)*(E1265/1000),Skills!L3/10)+Skills!O3</f>
        <v/>
      </c>
      <c r="G1265" t="inlineStr"/>
      <c r="H1265" t="inlineStr"/>
      <c r="I1265" t="inlineStr">
        <is>
          <t>1</t>
        </is>
      </c>
      <c r="J1265" t="inlineStr"/>
      <c r="K1265" t="inlineStr"/>
      <c r="L1265" t="inlineStr"/>
      <c r="M1265" t="inlineStr"/>
      <c r="N1265" t="inlineStr"/>
      <c r="O1265" t="inlineStr"/>
      <c r="P1265" t="inlineStr"/>
      <c r="Q1265" t="inlineStr"/>
      <c r="R1265" t="inlineStr"/>
      <c r="S1265" t="inlineStr"/>
      <c r="T1265" t="inlineStr"/>
      <c r="U1265">
        <f>INDEX(FactorTable!$B$2:$Y$301, MATCH(ROUND(MIN(300,MAX(1,U1264)),0), FactorTable!$A$2:$A$301,0), 22)</f>
        <v/>
      </c>
      <c r="V1265" t="inlineStr"/>
    </row>
    <row r="1266">
      <c r="A1266">
        <f>Skills!A4</f>
        <v/>
      </c>
      <c r="B1266">
        <f>Skills!B4</f>
        <v/>
      </c>
      <c r="C1266">
        <f>Inputs!$B$3&gt;=105</f>
        <v/>
      </c>
      <c r="D1266">
        <f>IF(Skills!C4=1,60+Inputs!$B$25+Inputs!$B$29,IF(Skills!C4=2,90+Inputs!$B$26+Inputs!$B$29,IF(Skills!C4=3,120+Inputs!$B$27+Inputs!$B$29,MAX(0,(Inputs!$B$3-100)*3)+Inputs!$B$28+Inputs!$B$29)))</f>
        <v/>
      </c>
      <c r="E1266">
        <f>INDEX(FactorTable!$B$2:$Y$301, MATCH(ROUND(MIN(300,MAX(1,D1266)),0), FactorTable!$A$2:$A$301,0), Skills!M4+1)</f>
        <v/>
      </c>
      <c r="F1266">
        <f>IF(Skills!N4=TRUE,(Skills!L4/10)*(E1266/1000),Skills!L4/10)+Skills!O4</f>
        <v/>
      </c>
      <c r="G1266" t="inlineStr"/>
      <c r="H1266" t="inlineStr"/>
      <c r="I1266" t="inlineStr">
        <is>
          <t>1</t>
        </is>
      </c>
      <c r="J1266" t="inlineStr"/>
      <c r="K1266" t="inlineStr"/>
      <c r="L1266" t="inlineStr"/>
      <c r="M1266" t="inlineStr"/>
      <c r="N1266" t="inlineStr"/>
      <c r="O1266" t="inlineStr"/>
      <c r="P1266" t="inlineStr"/>
      <c r="Q1266" t="inlineStr"/>
      <c r="R1266" t="inlineStr"/>
      <c r="S1266" t="inlineStr"/>
      <c r="T1266" t="inlineStr"/>
      <c r="U1266">
        <f>290*U1265/1000</f>
        <v/>
      </c>
      <c r="V1266" t="inlineStr"/>
    </row>
    <row r="1267">
      <c r="A1267">
        <f>Skills!A5</f>
        <v/>
      </c>
      <c r="B1267">
        <f>Skills!B5</f>
        <v/>
      </c>
      <c r="C1267">
        <f>Inputs!$B$3&gt;=35</f>
        <v/>
      </c>
      <c r="D1267">
        <f>IF(Skills!C5=1,60+Inputs!$B$25+Inputs!$B$29,IF(Skills!C5=2,90+Inputs!$B$26+Inputs!$B$29,IF(Skills!C5=3,120+Inputs!$B$27+Inputs!$B$29,MAX(0,(Inputs!$B$3-100)*3)+Inputs!$B$28+Inputs!$B$29)))</f>
        <v/>
      </c>
      <c r="E1267">
        <f>INDEX(FactorTable!$B$2:$Y$301, MATCH(ROUND(MIN(300,MAX(1,D1267)),0), FactorTable!$A$2:$A$301,0), Skills!M5+1)</f>
        <v/>
      </c>
      <c r="F1267">
        <f>IF(Skills!N5=TRUE,(Skills!L5/10)*(E1267/1000),Skills!L5/10)+Skills!O5</f>
        <v/>
      </c>
      <c r="G1267">
        <f>Skills!G5*IF(Skills!H5&gt;0,Skills!I5/Skills!H5,1)</f>
        <v/>
      </c>
      <c r="H1267">
        <f>1-(1-Skills!J5/100)^Skills!K5</f>
        <v/>
      </c>
      <c r="I1267" t="inlineStr">
        <is>
          <t>1</t>
        </is>
      </c>
      <c r="J1267">
        <f>((Inputs!$B$6*(1+Inputs!$B$7/100))+(((Inputs!$B$12*(1+Inputs!$B$13/100))-(Inputs!$B$12*(1+Inputs!$B$13/100)))+0.25*(Inputs!$B$14-Inputs!$B$14))*(1+Inputs!$B$7/100))*(F1267/100)</f>
        <v/>
      </c>
      <c r="K1267">
        <f>J1267*(1+((Inputs!$B$12*(1+Inputs!$B$13/100))*0.01+Inputs!$B$14*0.0025)/100)*(1+Inputs!$B$15/100)*(1+Inputs!$B$16/100)*(5000/(6000+Inputs!$B$42*(1-(Inputs!$B$19+0)/100)))*(1+(Inputs!$B$24+((C1286=TRUE)*(F1286-Calc!F24))+((C1287=TRUE)*(F1287-Calc!F25))+B1300)/100)*(1+4.0*IF(C1270=TRUE,F1270,0)/100)*(1+(IF(Skills!A5="EMPOWERED_PIERCING_ARROW",Inputs!$B$17+((C1284=TRUE)*(F1284-Calc!F22)),Inputs!$B$18+((C1289=TRUE)*(F1289-Calc!F27))))/100)*((1+(((C1275=TRUE)*F1275)+((C1276=TRUE)*IF(Inputs!$B$38="pvp",F1276,(1-Summary!$B$55)*(F1276)+Summary!$B$55*(0)))+((C1277=TRUE)*F1277*IF(AND(Inputs!$B$38&lt;&gt;"pvp",Inputs!$B$43&gt;0),(((R1277-1)*(Skills!T15*(1+Inputs!$B$34/100))+MIN((Skills!T15*(1+Inputs!$B$34/100)),MAX(0,Inputs!$B$43-((R1277-1)*Skills!D15))))/Inputs!$B$43),IF(Inputs!$B$38="pvp",MIN((Skills!T15*(1+Inputs!$B$34/100)),15)/15,(Skills!T15*(1+Inputs!$B$34/100))/Skills!D15)))+((C1274=TRUE)*F1274)+((C1291=TRUE)*(F1291-Calc!F29)))/100)*I1267)</f>
        <v/>
      </c>
      <c r="L1267">
        <f>K1267*(MIN(Inputs!$B$22+((C1285=TRUE)*(F1285-Calc!F23)),Inputs!$B$23+((C1290=TRUE)*(F1290-Calc!F28)))/100+(Inputs!$B$23+((C1290=TRUE)*(F1290-Calc!F28)))/100)/2</f>
        <v/>
      </c>
      <c r="M1267">
        <f>L1267*(1+(Inputs!$B$10+0+B1299)/100)</f>
        <v/>
      </c>
      <c r="N1267">
        <f>L1267*(1-MIN((Inputs!$B$9+((C1281=TRUE)*(F1281-Calc!F19))+B1294),100)/100)+M1267*(MIN((Inputs!$B$9+((C1281=TRUE)*(F1281-Calc!F19))+B1294),100)/100)</f>
        <v/>
      </c>
      <c r="O1267">
        <f>(1-Summary!$B$55)*T1267+Summary!$B$55*V1267</f>
        <v/>
      </c>
      <c r="P1267">
        <f>IF(B1304=0,0,O1267/B1304)</f>
        <v/>
      </c>
      <c r="Q1267">
        <f>IFERROR(1/IF(Inputs!$B$38="pvp",15,MAX(0.1,Skills!D5-IF(Skills!E5=TRUE,1.0,0))),0)</f>
        <v/>
      </c>
      <c r="R1267">
        <f>IF(AND(Inputs!$B$38&lt;&gt;"pvp",Inputs!$B$43&gt;0),IF(MAX(0,Inputs!$B$43-B1301)&lt;=0,0,(INT(MAX(0,Inputs!$B$43-B1301)/IF(Inputs!$B$38="pvp",15,MAX(0.1,Skills!D5-IF(Skills!E5=TRUE,1.0,0))))+1)),0)</f>
        <v/>
      </c>
      <c r="S1267">
        <f>IFERROR((H1267*N1267*IF(AND(Inputs!$B$38&lt;&gt;"pvp",Inputs!$B$43&gt;0),((Skills!G5*((R1267-1)*IF(Skills!H5&gt;0,Skills!I5/Skills!H5,1)+IF(Skills!H5&gt;0,MIN(Skills!I5,MAX(0,MAX(0,Inputs!$B$43-B1301)-((R1267-1)*IF(Inputs!$B$38="pvp",15,MAX(0.1,Skills!D5-IF(Skills!E5=TRUE,1.0,0))))))/Skills!H5,1)))/Inputs!$B$43),G1267*Q1267))/N1267*IF(Inputs!$B$38="pvp",1,(1-Summary!$B$55)*1+Summary!$B$55*(MIN(Skills!R5,Inputs!$B$37))),0)</f>
        <v/>
      </c>
      <c r="T1267">
        <f>IF(C1267,(H1267*N1267*IF(AND(Inputs!$B$38&lt;&gt;"pvp",Inputs!$B$43&gt;0),((Skills!G5*((R1267-1)*IF(Skills!H5&gt;0,Skills!I5/Skills!H5,1)+IF(Skills!H5&gt;0,MIN(Skills!I5,MAX(0,MAX(0,Inputs!$B$43-B1301)-((R1267-1)*IF(Inputs!$B$38="pvp",15,MAX(0.1,Skills!D5-IF(Skills!E5=TRUE,1.0,0))))))/Skills!H5,1)))/Inputs!$B$43),G1267*Q1267))*IF(Inputs!$B$38="pvp",1,1+(Inputs!$B$20+0+Skills!P5)/100),0)</f>
        <v/>
      </c>
      <c r="V1267">
        <f>IF(C1267,(H1267*N1267*IF(AND(Inputs!$B$38&lt;&gt;"pvp",Inputs!$B$43&gt;0),((Skills!G5*((R1267-1)*IF(Skills!H5&gt;0,Skills!I5/Skills!H5,1)+IF(Skills!H5&gt;0,MIN(Skills!I5,MAX(0,MAX(0,Inputs!$B$43-B1301)-((R1267-1)*IF(Inputs!$B$38="pvp",15,MAX(0.1,Skills!D5-IF(Skills!E5=TRUE,1.0,0))))))/Skills!H5,1)))/Inputs!$B$43),G1267*Q1267))*IF(Inputs!$B$38="pvp",1,(1+(Inputs!$B$21+Skills!Q5)/100)*(MIN(Skills!R5,Inputs!$B$37))),0)</f>
        <v/>
      </c>
    </row>
    <row r="1268">
      <c r="A1268">
        <f>Skills!A6</f>
        <v/>
      </c>
      <c r="B1268">
        <f>Skills!B6</f>
        <v/>
      </c>
      <c r="C1268">
        <f>Inputs!$B$3&gt;=63</f>
        <v/>
      </c>
      <c r="D1268">
        <f>IF(Skills!C6=1,60+Inputs!$B$25+Inputs!$B$29,IF(Skills!C6=2,90+Inputs!$B$26+Inputs!$B$29,IF(Skills!C6=3,120+Inputs!$B$27+Inputs!$B$29,MAX(0,(Inputs!$B$3-100)*3)+Inputs!$B$28+Inputs!$B$29)))</f>
        <v/>
      </c>
      <c r="E1268">
        <f>INDEX(FactorTable!$B$2:$Y$301, MATCH(ROUND(MIN(300,MAX(1,D1268)),0), FactorTable!$A$2:$A$301,0), Skills!M6+1)</f>
        <v/>
      </c>
      <c r="F1268">
        <f>IF(Skills!N6=TRUE,(Skills!L6/10)*(E1268/1000),Skills!L6/10)+Skills!O6</f>
        <v/>
      </c>
      <c r="G1268">
        <f>Skills!G6*IF(Skills!H6&gt;0,Skills!I6/Skills!H6,1)</f>
        <v/>
      </c>
      <c r="H1268">
        <f>1-(1-Skills!J6/100)^Skills!K6</f>
        <v/>
      </c>
      <c r="I1268" t="inlineStr">
        <is>
          <t>1</t>
        </is>
      </c>
      <c r="J1268">
        <f>((Inputs!$B$6*(1+Inputs!$B$7/100))+(((Inputs!$B$12*(1+Inputs!$B$13/100))-(Inputs!$B$12*(1+Inputs!$B$13/100)))+0.25*(Inputs!$B$14-Inputs!$B$14))*(1+Inputs!$B$7/100))*(F1268/100)</f>
        <v/>
      </c>
      <c r="K1268">
        <f>J1268*(1+((Inputs!$B$12*(1+Inputs!$B$13/100))*0.01+Inputs!$B$14*0.0025)/100)*(1+Inputs!$B$15/100)*(1+Inputs!$B$16/100)*(5000/(6000+Inputs!$B$42*(1-(Inputs!$B$19+0)/100)))*(1+(Inputs!$B$24+((C1286=TRUE)*(F1286-Calc!F24))+((C1287=TRUE)*(F1287-Calc!F25))+B1300)/100)*(1+1.0*IF(C1270=TRUE,F1270,0)/100)*(1+(IF(Skills!A6="EMPOWERED_PIERCING_ARROW",Inputs!$B$17+((C1284=TRUE)*(F1284-Calc!F22)),Inputs!$B$18+((C1289=TRUE)*(F1289-Calc!F27))))/100)*((1+(((C1275=TRUE)*F1275)+((C1276=TRUE)*IF(Inputs!$B$38="pvp",F1276,(1-Summary!$B$55)*(F1276)+Summary!$B$55*(0)))+((C1277=TRUE)*F1277*IF(AND(Inputs!$B$38&lt;&gt;"pvp",Inputs!$B$43&gt;0),(((R1277-1)*(Skills!T15*(1+Inputs!$B$34/100))+MIN((Skills!T15*(1+Inputs!$B$34/100)),MAX(0,Inputs!$B$43-((R1277-1)*Skills!D15))))/Inputs!$B$43),IF(Inputs!$B$38="pvp",MIN((Skills!T15*(1+Inputs!$B$34/100)),15)/15,(Skills!T15*(1+Inputs!$B$34/100))/Skills!D15)))+((C1274=TRUE)*F1274)+((C1291=TRUE)*(F1291-Calc!F29)))/100)*I1268)</f>
        <v/>
      </c>
      <c r="L1268">
        <f>K1268*(MIN(Inputs!$B$22+((C1285=TRUE)*(F1285-Calc!F23)),Inputs!$B$23+((C1290=TRUE)*(F1290-Calc!F28)))/100+(Inputs!$B$23+((C1290=TRUE)*(F1290-Calc!F28)))/100)/2</f>
        <v/>
      </c>
      <c r="M1268">
        <f>L1268*(1+(Inputs!$B$10+0+B1299)/100)</f>
        <v/>
      </c>
      <c r="N1268">
        <f>L1268*(1-MIN((Inputs!$B$9+((C1281=TRUE)*(F1281-Calc!F19))+B1294),100)/100)+M1268*(MIN((Inputs!$B$9+((C1281=TRUE)*(F1281-Calc!F19))+B1294),100)/100)</f>
        <v/>
      </c>
      <c r="O1268">
        <f>(1-Summary!$B$55)*T1268+Summary!$B$55*V1268</f>
        <v/>
      </c>
      <c r="P1268">
        <f>IF(B1304=0,0,O1268/B1304)</f>
        <v/>
      </c>
      <c r="Q1268">
        <f>IFERROR(1/IF(Inputs!$B$38="pvp",15,MAX(0.1,Skills!D6-IF(Skills!E6=TRUE,1.0,0))),0)</f>
        <v/>
      </c>
      <c r="R1268">
        <f>IF(AND(Inputs!$B$38&lt;&gt;"pvp",Inputs!$B$43&gt;0),IF(MAX(0,Inputs!$B$43-B1301)&lt;=0,0,(INT(MAX(0,Inputs!$B$43-B1301)/IF(Inputs!$B$38="pvp",15,MAX(0.1,Skills!D6-IF(Skills!E6=TRUE,1.0,0))))+1)),0)</f>
        <v/>
      </c>
      <c r="S1268">
        <f>IFERROR((H1268*N1268*IF(AND(Inputs!$B$38&lt;&gt;"pvp",Inputs!$B$43&gt;0),((Skills!G6*((R1268-1)*IF(Skills!H6&gt;0,Skills!I6/Skills!H6,1)+IF(Skills!H6&gt;0,MIN(Skills!I6,MAX(0,MAX(0,Inputs!$B$43-B1301)-((R1268-1)*IF(Inputs!$B$38="pvp",15,MAX(0.1,Skills!D6-IF(Skills!E6=TRUE,1.0,0))))))/Skills!H6,1)))/Inputs!$B$43),G1268*Q1268))/N1268*IF(Inputs!$B$38="pvp",1,(1-Summary!$B$55)*1+Summary!$B$55*(MIN(Skills!R6,Inputs!$B$37))),0)</f>
        <v/>
      </c>
      <c r="T1268">
        <f>IF(C1268,(H1268*N1268*IF(AND(Inputs!$B$38&lt;&gt;"pvp",Inputs!$B$43&gt;0),((Skills!G6*((R1268-1)*IF(Skills!H6&gt;0,Skills!I6/Skills!H6,1)+IF(Skills!H6&gt;0,MIN(Skills!I6,MAX(0,MAX(0,Inputs!$B$43-B1301)-((R1268-1)*IF(Inputs!$B$38="pvp",15,MAX(0.1,Skills!D6-IF(Skills!E6=TRUE,1.0,0))))))/Skills!H6,1)))/Inputs!$B$43),G1268*Q1268))*IF(Inputs!$B$38="pvp",1,1+(Inputs!$B$20+0+Skills!P6)/100),0)</f>
        <v/>
      </c>
      <c r="V1268">
        <f>IF(C1268,(H1268*N1268*IF(AND(Inputs!$B$38&lt;&gt;"pvp",Inputs!$B$43&gt;0),((Skills!G6*((R1268-1)*IF(Skills!H6&gt;0,Skills!I6/Skills!H6,1)+IF(Skills!H6&gt;0,MIN(Skills!I6,MAX(0,MAX(0,Inputs!$B$43-B1301)-((R1268-1)*IF(Inputs!$B$38="pvp",15,MAX(0.1,Skills!D6-IF(Skills!E6=TRUE,1.0,0))))))/Skills!H6,1)))/Inputs!$B$43),G1268*Q1268))*IF(Inputs!$B$38="pvp",1,(1+(Inputs!$B$21+Skills!Q6)/100)*(MIN(Skills!R6,Inputs!$B$37))),0)</f>
        <v/>
      </c>
    </row>
    <row r="1269">
      <c r="A1269">
        <f>Skills!A7</f>
        <v/>
      </c>
      <c r="B1269">
        <f>Skills!B7</f>
        <v/>
      </c>
      <c r="C1269">
        <f>Inputs!$B$3&gt;=69</f>
        <v/>
      </c>
      <c r="D1269">
        <f>IF(Skills!C7=1,60+Inputs!$B$25+Inputs!$B$29,IF(Skills!C7=2,90+Inputs!$B$26+Inputs!$B$29,IF(Skills!C7=3,120+Inputs!$B$27+Inputs!$B$29,MAX(0,(Inputs!$B$3-100)*3)+Inputs!$B$28+Inputs!$B$29)))</f>
        <v/>
      </c>
      <c r="E1269">
        <f>INDEX(FactorTable!$B$2:$Y$301, MATCH(ROUND(MIN(300,MAX(1,D1269)),0), FactorTable!$A$2:$A$301,0), Skills!M7+1)</f>
        <v/>
      </c>
      <c r="F1269">
        <f>IF(Skills!N7=TRUE,(Skills!L7/10)*(E1269/1000),Skills!L7/10)+Skills!O7</f>
        <v/>
      </c>
      <c r="G1269">
        <f>Skills!G7*IF(Skills!H7&gt;0,Skills!I7/Skills!H7,1)</f>
        <v/>
      </c>
      <c r="H1269">
        <f>1-(1-Skills!J7/100)^Skills!K7</f>
        <v/>
      </c>
      <c r="I1269" t="inlineStr">
        <is>
          <t>1</t>
        </is>
      </c>
      <c r="J1269">
        <f>((Inputs!$B$6*(1+Inputs!$B$7/100))+(((Inputs!$B$12*(1+Inputs!$B$13/100))-(Inputs!$B$12*(1+Inputs!$B$13/100)))+0.25*(Inputs!$B$14-Inputs!$B$14))*(1+Inputs!$B$7/100))*(F1269/100)</f>
        <v/>
      </c>
      <c r="K1269">
        <f>J1269*(1+((Inputs!$B$12*(1+Inputs!$B$13/100))*0.01+Inputs!$B$14*0.0025)/100)*(1+Inputs!$B$15/100)*(1+Inputs!$B$16/100)*(5000/(6000+Inputs!$B$42*(1-(Inputs!$B$19+0)/100)))*(1+(Inputs!$B$24+((C1286=TRUE)*(F1286-Calc!F24))+((C1287=TRUE)*(F1287-Calc!F25))+B1300)/100)*(1+1.2*IF(C1270=TRUE,F1270,0)/100)*(1+(IF(Skills!A7="EMPOWERED_PIERCING_ARROW",Inputs!$B$17+((C1284=TRUE)*(F1284-Calc!F22)),Inputs!$B$18+((C1289=TRUE)*(F1289-Calc!F27))))/100)*((1+(((C1275=TRUE)*F1275)+((C1276=TRUE)*IF(Inputs!$B$38="pvp",F1276,(1-Summary!$B$55)*(F1276)+Summary!$B$55*(0)))+((C1277=TRUE)*F1277*IF(AND(Inputs!$B$38&lt;&gt;"pvp",Inputs!$B$43&gt;0),(((R1277-1)*(Skills!T15*(1+Inputs!$B$34/100))+MIN((Skills!T15*(1+Inputs!$B$34/100)),MAX(0,Inputs!$B$43-((R1277-1)*Skills!D15))))/Inputs!$B$43),IF(Inputs!$B$38="pvp",MIN((Skills!T15*(1+Inputs!$B$34/100)),15)/15,(Skills!T15*(1+Inputs!$B$34/100))/Skills!D15)))+((C1274=TRUE)*F1274)+((C1291=TRUE)*(F1291-Calc!F29)))/100)*I1269)</f>
        <v/>
      </c>
      <c r="L1269">
        <f>K1269*(MIN(Inputs!$B$22+((C1285=TRUE)*(F1285-Calc!F23)),Inputs!$B$23+((C1290=TRUE)*(F1290-Calc!F28)))/100+(Inputs!$B$23+((C1290=TRUE)*(F1290-Calc!F28)))/100)/2</f>
        <v/>
      </c>
      <c r="M1269">
        <f>L1269*(1+(Inputs!$B$10+0+B1299)/100)</f>
        <v/>
      </c>
      <c r="N1269">
        <f>L1269*(1-MIN((Inputs!$B$9+((C1281=TRUE)*(F1281-Calc!F19))+B1294),100)/100)+M1269*(MIN((Inputs!$B$9+((C1281=TRUE)*(F1281-Calc!F19))+B1294),100)/100)</f>
        <v/>
      </c>
      <c r="O1269">
        <f>(1-Summary!$B$55)*T1269+Summary!$B$55*V1269</f>
        <v/>
      </c>
      <c r="P1269">
        <f>IF(B1304=0,0,O1269/B1304)</f>
        <v/>
      </c>
      <c r="Q1269">
        <f>IFERROR(1/IF(Inputs!$B$38="pvp",15,MAX(0.1,Skills!D7-IF(Skills!E7=TRUE,1.0,0))),0)</f>
        <v/>
      </c>
      <c r="R1269">
        <f>IF(AND(Inputs!$B$38&lt;&gt;"pvp",Inputs!$B$43&gt;0),IF(MAX(0,Inputs!$B$43-B1301)&lt;=0,0,(INT(MAX(0,Inputs!$B$43-B1301)/IF(Inputs!$B$38="pvp",15,MAX(0.1,Skills!D7-IF(Skills!E7=TRUE,1.0,0))))+1)),0)</f>
        <v/>
      </c>
      <c r="S1269">
        <f>IFERROR((H1269*N1269*IF(AND(Inputs!$B$38&lt;&gt;"pvp",Inputs!$B$43&gt;0),((Skills!G7*((R1269-1)*IF(Skills!H7&gt;0,Skills!I7/Skills!H7,1)+IF(Skills!H7&gt;0,MIN(Skills!I7,MAX(0,MAX(0,Inputs!$B$43-B1301)-((R1269-1)*IF(Inputs!$B$38="pvp",15,MAX(0.1,Skills!D7-IF(Skills!E7=TRUE,1.0,0))))))/Skills!H7,1)))/Inputs!$B$43),G1269*Q1269))/N1269*IF(Inputs!$B$38="pvp",1,(1-Summary!$B$55)*1+Summary!$B$55*(MIN(Skills!R7,Inputs!$B$37))),0)</f>
        <v/>
      </c>
      <c r="T1269">
        <f>IF(C1269,(H1269*N1269*IF(AND(Inputs!$B$38&lt;&gt;"pvp",Inputs!$B$43&gt;0),((Skills!G7*((R1269-1)*IF(Skills!H7&gt;0,Skills!I7/Skills!H7,1)+IF(Skills!H7&gt;0,MIN(Skills!I7,MAX(0,MAX(0,Inputs!$B$43-B1301)-((R1269-1)*IF(Inputs!$B$38="pvp",15,MAX(0.1,Skills!D7-IF(Skills!E7=TRUE,1.0,0))))))/Skills!H7,1)))/Inputs!$B$43),G1269*Q1269))*IF(Inputs!$B$38="pvp",1,1+(Inputs!$B$20+0+Skills!P7)/100),0)</f>
        <v/>
      </c>
      <c r="V1269">
        <f>IF(C1269,(H1269*N1269*IF(AND(Inputs!$B$38&lt;&gt;"pvp",Inputs!$B$43&gt;0),((Skills!G7*((R1269-1)*IF(Skills!H7&gt;0,Skills!I7/Skills!H7,1)+IF(Skills!H7&gt;0,MIN(Skills!I7,MAX(0,MAX(0,Inputs!$B$43-B1301)-((R1269-1)*IF(Inputs!$B$38="pvp",15,MAX(0.1,Skills!D7-IF(Skills!E7=TRUE,1.0,0))))))/Skills!H7,1)))/Inputs!$B$43),G1269*Q1269))*IF(Inputs!$B$38="pvp",1,(1+(Inputs!$B$21+Skills!Q7)/100)*(MIN(Skills!R7,Inputs!$B$37))),0)</f>
        <v/>
      </c>
    </row>
    <row r="1270">
      <c r="A1270">
        <f>Skills!A8</f>
        <v/>
      </c>
      <c r="B1270">
        <f>Skills!B8</f>
        <v/>
      </c>
      <c r="C1270">
        <f>Inputs!$B$3&gt;=100</f>
        <v/>
      </c>
      <c r="D1270">
        <f>IF(Skills!C8=1,60+Inputs!$B$25+Inputs!$B$29,IF(Skills!C8=2,90+Inputs!$B$26+Inputs!$B$29,IF(Skills!C8=3,120+Inputs!$B$27+Inputs!$B$29,MAX(0,(Inputs!$B$3-100)*3)+Inputs!$B$28+Inputs!$B$29)))</f>
        <v/>
      </c>
      <c r="E1270">
        <f>INDEX(FactorTable!$B$2:$Y$301, MATCH(ROUND(MIN(300,MAX(1,D1270)),0), FactorTable!$A$2:$A$301,0), Skills!M8+1)</f>
        <v/>
      </c>
      <c r="F1270">
        <f>IF(Skills!N8=TRUE,(Skills!L8/10)*(E1270/1000),Skills!L8/10)+Skills!O8</f>
        <v/>
      </c>
      <c r="G1270" t="inlineStr"/>
      <c r="H1270" t="inlineStr"/>
      <c r="I1270" t="inlineStr">
        <is>
          <t>1</t>
        </is>
      </c>
      <c r="J1270" t="inlineStr"/>
      <c r="K1270" t="inlineStr"/>
      <c r="L1270" t="inlineStr"/>
      <c r="M1270" t="inlineStr"/>
      <c r="N1270" t="inlineStr"/>
      <c r="O1270" t="inlineStr"/>
      <c r="P1270" t="inlineStr"/>
      <c r="Q1270" t="inlineStr"/>
      <c r="R1270" t="inlineStr"/>
      <c r="S1270" t="inlineStr"/>
      <c r="T1270" t="inlineStr"/>
      <c r="V1270" t="inlineStr"/>
    </row>
    <row r="1271">
      <c r="A1271">
        <f>Skills!A9</f>
        <v/>
      </c>
      <c r="B1271">
        <f>Skills!B9</f>
        <v/>
      </c>
      <c r="C1271">
        <f>Inputs!$B$3&gt;=103</f>
        <v/>
      </c>
      <c r="D1271">
        <f>IF(Skills!C9=1,60+Inputs!$B$25+Inputs!$B$29,IF(Skills!C9=2,90+Inputs!$B$26+Inputs!$B$29,IF(Skills!C9=3,120+Inputs!$B$27+Inputs!$B$29,MAX(0,(Inputs!$B$3-100)*3)+Inputs!$B$28+Inputs!$B$29)))</f>
        <v/>
      </c>
      <c r="E1271">
        <f>INDEX(FactorTable!$B$2:$Y$301, MATCH(ROUND(MIN(300,MAX(1,D1271)),0), FactorTable!$A$2:$A$301,0), Skills!M9+1)</f>
        <v/>
      </c>
      <c r="F1271">
        <f>IF(Skills!N9=TRUE,(Skills!L9/10)*(E1271/1000),Skills!L9/10)+Skills!O9</f>
        <v/>
      </c>
      <c r="G1271">
        <f>Skills!G9*IF(Skills!H9&gt;0,Skills!I9/Skills!H9,1)</f>
        <v/>
      </c>
      <c r="H1271">
        <f>1-(1-Skills!J9/100)^Skills!K9</f>
        <v/>
      </c>
      <c r="I1271" t="inlineStr">
        <is>
          <t>1</t>
        </is>
      </c>
      <c r="J1271">
        <f>((Inputs!$B$6*(1+Inputs!$B$7/100))+(((Inputs!$B$12*(1+Inputs!$B$13/100))-(Inputs!$B$12*(1+Inputs!$B$13/100)))+0.25*(Inputs!$B$14-Inputs!$B$14))*(1+Inputs!$B$7/100))*(F1271/100)</f>
        <v/>
      </c>
      <c r="K1271">
        <f>J1271*(1+((Inputs!$B$12*(1+Inputs!$B$13/100))*0.01+Inputs!$B$14*0.0025)/100)*(1+Inputs!$B$15/100)*(1+Inputs!$B$16/100)*(5000/(6000+Inputs!$B$42*(1-(Inputs!$B$19+0)/100)))*(1+(Inputs!$B$24+((C1286=TRUE)*(F1286-Calc!F24))+((C1287=TRUE)*(F1287-Calc!F25))+B1300)/100)*(1+(IF(Skills!A9="EMPOWERED_PIERCING_ARROW",Inputs!$B$17+((C1284=TRUE)*(F1284-Calc!F22)),Inputs!$B$18+((C1289=TRUE)*(F1289-Calc!F27))))/100)*((1+(((C1275=TRUE)*F1275)+((C1276=TRUE)*IF(Inputs!$B$38="pvp",F1276,(1-Summary!$B$55)*(F1276)+Summary!$B$55*(0)))+((C1277=TRUE)*F1277*IF(AND(Inputs!$B$38&lt;&gt;"pvp",Inputs!$B$43&gt;0),(((R1277-1)*(Skills!T15*(1+Inputs!$B$34/100))+MIN((Skills!T15*(1+Inputs!$B$34/100)),MAX(0,Inputs!$B$43-((R1277-1)*Skills!D15))))/Inputs!$B$43),IF(Inputs!$B$38="pvp",MIN((Skills!T15*(1+Inputs!$B$34/100)),15)/15,(Skills!T15*(1+Inputs!$B$34/100))/Skills!D15)))+((C1274=TRUE)*F1274)+((C1291=TRUE)*(F1291-Calc!F29)))/100)*I1271)</f>
        <v/>
      </c>
      <c r="L1271">
        <f>K1271*(MIN(Inputs!$B$22+((C1285=TRUE)*(F1285-Calc!F23)),Inputs!$B$23+((C1290=TRUE)*(F1290-Calc!F28)))/100+(Inputs!$B$23+((C1290=TRUE)*(F1290-Calc!F28)))/100)/2</f>
        <v/>
      </c>
      <c r="M1271">
        <f>L1271*(1+(Inputs!$B$10+0+B1299)/100)</f>
        <v/>
      </c>
      <c r="N1271">
        <f>L1271*(1-MIN((Inputs!$B$9+((C1281=TRUE)*(F1281-Calc!F19))+B1294),100)/100)+M1271*(MIN((Inputs!$B$9+((C1281=TRUE)*(F1281-Calc!F19))+B1294),100)/100)</f>
        <v/>
      </c>
      <c r="O1271">
        <f>(1-Summary!$B$55)*T1271+Summary!$B$55*V1271</f>
        <v/>
      </c>
      <c r="P1271">
        <f>IF(B1304=0,0,O1271/B1304)</f>
        <v/>
      </c>
      <c r="Q1271">
        <f>IFERROR(1/IF(Inputs!$B$38="pvp",15,MAX(0.1,Skills!D9-IF(Skills!E9=TRUE,1.0,0))),0)</f>
        <v/>
      </c>
      <c r="R1271">
        <f>IF(AND(Inputs!$B$38&lt;&gt;"pvp",Inputs!$B$43&gt;0),IF(MAX(0,Inputs!$B$43-B1301)&lt;=0,0,(INT(MAX(0,Inputs!$B$43-B1301)/IF(Inputs!$B$38="pvp",15,MAX(0.1,Skills!D9-IF(Skills!E9=TRUE,1.0,0))))+1)),0)</f>
        <v/>
      </c>
      <c r="S1271">
        <f>IFERROR((H1271*N1271*IF(AND(Inputs!$B$38&lt;&gt;"pvp",Inputs!$B$43&gt;0),((Skills!G9*((R1271-1)*IF(Skills!H9&gt;0,Skills!I9/Skills!H9,1)+IF(Skills!H9&gt;0,MIN(Skills!I9,MAX(0,MAX(0,Inputs!$B$43-B1301)-((R1271-1)*IF(Inputs!$B$38="pvp",15,MAX(0.1,Skills!D9-IF(Skills!E9=TRUE,1.0,0))))))/Skills!H9,1)))/Inputs!$B$43),G1271*Q1271))/N1271*IF(Inputs!$B$38="pvp",1,(1-Summary!$B$55)*1+Summary!$B$55*(MIN(Skills!R9,Inputs!$B$37))),0)</f>
        <v/>
      </c>
      <c r="T1271">
        <f>IF(C1271,(H1271*N1271*IF(AND(Inputs!$B$38&lt;&gt;"pvp",Inputs!$B$43&gt;0),((Skills!G9*((R1271-1)*IF(Skills!H9&gt;0,Skills!I9/Skills!H9,1)+IF(Skills!H9&gt;0,MIN(Skills!I9,MAX(0,MAX(0,Inputs!$B$43-B1301)-((R1271-1)*IF(Inputs!$B$38="pvp",15,MAX(0.1,Skills!D9-IF(Skills!E9=TRUE,1.0,0))))))/Skills!H9,1)))/Inputs!$B$43),G1271*Q1271))*IF(Inputs!$B$38="pvp",1,1+(Inputs!$B$20+0+Skills!P9)/100),0)</f>
        <v/>
      </c>
      <c r="V1271">
        <f>IF(C1271,(H1271*N1271*IF(AND(Inputs!$B$38&lt;&gt;"pvp",Inputs!$B$43&gt;0),((Skills!G9*((R1271-1)*IF(Skills!H9&gt;0,Skills!I9/Skills!H9,1)+IF(Skills!H9&gt;0,MIN(Skills!I9,MAX(0,MAX(0,Inputs!$B$43-B1301)-((R1271-1)*IF(Inputs!$B$38="pvp",15,MAX(0.1,Skills!D9-IF(Skills!E9=TRUE,1.0,0))))))/Skills!H9,1)))/Inputs!$B$43),G1271*Q1271))*IF(Inputs!$B$38="pvp",1,(1+(Inputs!$B$21+Skills!Q9)/100)*(MIN(Skills!R9,Inputs!$B$37))),0)</f>
        <v/>
      </c>
    </row>
    <row r="1272">
      <c r="A1272">
        <f>Skills!A10</f>
        <v/>
      </c>
      <c r="B1272">
        <f>Skills!B10</f>
        <v/>
      </c>
      <c r="C1272">
        <f>Inputs!$B$3&gt;=107</f>
        <v/>
      </c>
      <c r="D1272">
        <f>IF(Skills!C10=1,60+Inputs!$B$25+Inputs!$B$29,IF(Skills!C10=2,90+Inputs!$B$26+Inputs!$B$29,IF(Skills!C10=3,120+Inputs!$B$27+Inputs!$B$29,MAX(0,(Inputs!$B$3-100)*3)+Inputs!$B$28+Inputs!$B$29)))</f>
        <v/>
      </c>
      <c r="E1272">
        <f>INDEX(FactorTable!$B$2:$Y$301, MATCH(ROUND(MIN(300,MAX(1,D1272)),0), FactorTable!$A$2:$A$301,0), Skills!M10+1)</f>
        <v/>
      </c>
      <c r="F1272">
        <f>IF(Skills!N10=TRUE,(Skills!L10/10)*(E1272/1000),Skills!L10/10)+Skills!O10</f>
        <v/>
      </c>
      <c r="G1272">
        <f>Skills!G10*IF(Skills!H10&gt;0,Skills!I10/Skills!H10,1)</f>
        <v/>
      </c>
      <c r="H1272">
        <f>1-(1-Skills!J10/100)^Skills!K10</f>
        <v/>
      </c>
      <c r="I1272" t="inlineStr">
        <is>
          <t>1</t>
        </is>
      </c>
      <c r="J1272">
        <f>((Inputs!$B$6*(1+Inputs!$B$7/100))+(((Inputs!$B$12*(1+Inputs!$B$13/100))-(Inputs!$B$12*(1+Inputs!$B$13/100)))+0.25*(Inputs!$B$14-Inputs!$B$14))*(1+Inputs!$B$7/100))*(F1272/100)</f>
        <v/>
      </c>
      <c r="K1272">
        <f>J1272*(1+((Inputs!$B$12*(1+Inputs!$B$13/100))*0.01+Inputs!$B$14*0.0025)/100)*(1+Inputs!$B$15/100)*(1+Inputs!$B$16/100)*(5000/(6000+Inputs!$B$42*(1-(Inputs!$B$19+0)/100)))*(1+(Inputs!$B$24+((C1286=TRUE)*(F1286-Calc!F24))+((C1287=TRUE)*(F1287-Calc!F25))+B1300)/100)*(1+(IF(Skills!A10="EMPOWERED_PIERCING_ARROW",Inputs!$B$17+((C1284=TRUE)*(F1284-Calc!F22)),Inputs!$B$18+((C1289=TRUE)*(F1289-Calc!F27))))/100)*((1+(((C1275=TRUE)*F1275)+((C1276=TRUE)*IF(Inputs!$B$38="pvp",F1276,(1-Summary!$B$55)*(F1276)+Summary!$B$55*(0)))+((C1277=TRUE)*F1277*IF(AND(Inputs!$B$38&lt;&gt;"pvp",Inputs!$B$43&gt;0),(((R1277-1)*(Skills!T15*(1+Inputs!$B$34/100))+MIN((Skills!T15*(1+Inputs!$B$34/100)),MAX(0,Inputs!$B$43-((R1277-1)*Skills!D15))))/Inputs!$B$43),IF(Inputs!$B$38="pvp",MIN((Skills!T15*(1+Inputs!$B$34/100)),15)/15,(Skills!T15*(1+Inputs!$B$34/100))/Skills!D15)))+((C1274=TRUE)*F1274)+((C1291=TRUE)*(F1291-Calc!F29)))/100)*I1272)</f>
        <v/>
      </c>
      <c r="L1272">
        <f>K1272*(MIN(Inputs!$B$22+((C1285=TRUE)*(F1285-Calc!F23)),Inputs!$B$23+((C1290=TRUE)*(F1290-Calc!F28)))/100+(Inputs!$B$23+((C1290=TRUE)*(F1290-Calc!F28)))/100)/2</f>
        <v/>
      </c>
      <c r="M1272">
        <f>L1272*(1+(Inputs!$B$10+0+B1299)/100)</f>
        <v/>
      </c>
      <c r="N1272">
        <f>L1272*(1-MIN((Inputs!$B$9+((C1281=TRUE)*(F1281-Calc!F19))+B1294),100)/100)+M1272*(MIN((Inputs!$B$9+((C1281=TRUE)*(F1281-Calc!F19))+B1294),100)/100)</f>
        <v/>
      </c>
      <c r="O1272">
        <f>(1-Summary!$B$55)*T1272+Summary!$B$55*V1272</f>
        <v/>
      </c>
      <c r="P1272">
        <f>IF(B1304=0,0,O1272/B1304)</f>
        <v/>
      </c>
      <c r="Q1272" t="n">
        <v>0</v>
      </c>
      <c r="R1272" t="n">
        <v>0</v>
      </c>
      <c r="S1272" t="n">
        <v>0</v>
      </c>
      <c r="T1272">
        <f>IF(C1272,(0.15*SUMPRODUCT((Skills!U2:U29=TRUE)*(C1264:C1291=TRUE)*S1264:S1291)*Skills!G10*N1272)*IF(Inputs!$B$38="pvp",1,1+(Inputs!$B$20+0+Skills!P10)/100),0)</f>
        <v/>
      </c>
      <c r="V1272">
        <f>IF(C1272,(0.15*SUMPRODUCT((Skills!U2:U29=TRUE)*(C1264:C1291=TRUE)*S1264:S1291)*Skills!G10*N1272)*IF(Inputs!$B$38="pvp",1,(1+(Inputs!$B$21+Skills!Q10)/100)*(MIN(Skills!R10,Inputs!$B$37))),0)</f>
        <v/>
      </c>
    </row>
    <row r="1273">
      <c r="A1273">
        <f>Skills!A11</f>
        <v/>
      </c>
      <c r="B1273">
        <f>Skills!B11</f>
        <v/>
      </c>
      <c r="C1273">
        <f>Inputs!$B$3&gt;=110</f>
        <v/>
      </c>
      <c r="D1273">
        <f>IF(Skills!C11=1,60+Inputs!$B$25+Inputs!$B$29,IF(Skills!C11=2,90+Inputs!$B$26+Inputs!$B$29,IF(Skills!C11=3,120+Inputs!$B$27+Inputs!$B$29,MAX(0,(Inputs!$B$3-100)*3)+Inputs!$B$28+Inputs!$B$29)))</f>
        <v/>
      </c>
      <c r="E1273">
        <f>INDEX(FactorTable!$B$2:$Y$301, MATCH(ROUND(MIN(300,MAX(1,D1273)),0), FactorTable!$A$2:$A$301,0), Skills!M11+1)</f>
        <v/>
      </c>
      <c r="F1273">
        <f>IF(Skills!N11=TRUE,(Skills!L11/10)*(E1273/1000),Skills!L11/10)+Skills!O11</f>
        <v/>
      </c>
      <c r="G1273">
        <f>Skills!G11*IF(Skills!H11&gt;0,Skills!I11/Skills!H11,1)</f>
        <v/>
      </c>
      <c r="H1273">
        <f>1-(1-Skills!J11/100)^Skills!K11</f>
        <v/>
      </c>
      <c r="I1273" t="inlineStr">
        <is>
          <t>1</t>
        </is>
      </c>
      <c r="J1273">
        <f>((Inputs!$B$6*(1+Inputs!$B$7/100))+(((Inputs!$B$12*(1+Inputs!$B$13/100))-(Inputs!$B$12*(1+Inputs!$B$13/100)))+0.25*(Inputs!$B$14-Inputs!$B$14))*(1+Inputs!$B$7/100))*(F1273/100)</f>
        <v/>
      </c>
      <c r="K1273">
        <f>J1273*(1+((Inputs!$B$12*(1+Inputs!$B$13/100))*0.01+Inputs!$B$14*0.0025)/100)*(1+Inputs!$B$15/100)*(1+Inputs!$B$16/100)*(5000/(6000+Inputs!$B$42*(1-(Inputs!$B$19+0)/100)))*(1+(Inputs!$B$24+((C1286=TRUE)*(F1286-Calc!F24))+((C1287=TRUE)*(F1287-Calc!F25))+B1300)/100)*(1+(IF(Skills!A11="EMPOWERED_PIERCING_ARROW",Inputs!$B$17+((C1284=TRUE)*(F1284-Calc!F22)),Inputs!$B$18+((C1289=TRUE)*(F1289-Calc!F27))))/100)*((1+(((C1275=TRUE)*F1275)+((C1276=TRUE)*IF(Inputs!$B$38="pvp",F1276,(1-Summary!$B$55)*(F1276)+Summary!$B$55*(0)))+((C1277=TRUE)*F1277*IF(AND(Inputs!$B$38&lt;&gt;"pvp",Inputs!$B$43&gt;0),(((R1277-1)*(Skills!T15*(1+Inputs!$B$34/100))+MIN((Skills!T15*(1+Inputs!$B$34/100)),MAX(0,Inputs!$B$43-((R1277-1)*Skills!D15))))/Inputs!$B$43),IF(Inputs!$B$38="pvp",MIN((Skills!T15*(1+Inputs!$B$34/100)),15)/15,(Skills!T15*(1+Inputs!$B$34/100))/Skills!D15)))+((C1274=TRUE)*F1274)+((C1291=TRUE)*(F1291-Calc!F29)))/100)*I1273)</f>
        <v/>
      </c>
      <c r="L1273">
        <f>K1273*(MIN(Inputs!$B$22+((C1285=TRUE)*(F1285-Calc!F23)),Inputs!$B$23+((C1290=TRUE)*(F1290-Calc!F28)))/100+(Inputs!$B$23+((C1290=TRUE)*(F1290-Calc!F28)))/100)/2</f>
        <v/>
      </c>
      <c r="M1273">
        <f>L1273*(1+(Inputs!$B$10+0+B1299)/100)</f>
        <v/>
      </c>
      <c r="N1273">
        <f>L1273*(1-MIN((Inputs!$B$9+((C1281=TRUE)*(F1281-Calc!F19))+B1294),100)/100)+M1273*(MIN((Inputs!$B$9+((C1281=TRUE)*(F1281-Calc!F19))+B1294),100)/100)</f>
        <v/>
      </c>
      <c r="O1273">
        <f>(1-Summary!$B$55)*T1273+Summary!$B$55*V1273</f>
        <v/>
      </c>
      <c r="P1273">
        <f>IF(B1304=0,0,O1273/B1304)</f>
        <v/>
      </c>
      <c r="Q1273">
        <f>IFERROR(1/IF(Inputs!$B$38="pvp",15,MAX(0.1,Skills!D11-IF(Skills!E11=TRUE,1.0,0))),0)</f>
        <v/>
      </c>
      <c r="R1273">
        <f>IF(AND(Inputs!$B$38&lt;&gt;"pvp",Inputs!$B$43&gt;0),IF(MAX(0,Inputs!$B$43-B1301)&lt;=0,0,(INT(MAX(0,Inputs!$B$43-B1301)/IF(Inputs!$B$38="pvp",15,MAX(0.1,Skills!D11-IF(Skills!E11=TRUE,1.0,0))))+1)),0)</f>
        <v/>
      </c>
      <c r="S1273">
        <f>IFERROR((H1273*N1273*IF(AND(Inputs!$B$38&lt;&gt;"pvp",Inputs!$B$43&gt;0),((Skills!G11*((R1273-1)*IF(Skills!H11&gt;0,Skills!I11/Skills!H11,1)+IF(Skills!H11&gt;0,MIN(Skills!I11,MAX(0,MAX(0,Inputs!$B$43-B1301)-((R1273-1)*IF(Inputs!$B$38="pvp",15,MAX(0.1,Skills!D11-IF(Skills!E11=TRUE,1.0,0))))))/Skills!H11,1)))/Inputs!$B$43),G1273*Q1273))/N1273*IF(Inputs!$B$38="pvp",1,(1-Summary!$B$55)*1+Summary!$B$55*(MIN(Skills!R11,Inputs!$B$37))),0)</f>
        <v/>
      </c>
      <c r="T1273">
        <f>IF(C1273,(H1273*N1273*IF(AND(Inputs!$B$38&lt;&gt;"pvp",Inputs!$B$43&gt;0),((Skills!G11*((R1273-1)*IF(Skills!H11&gt;0,Skills!I11/Skills!H11,1)+IF(Skills!H11&gt;0,MIN(Skills!I11,MAX(0,MAX(0,Inputs!$B$43-B1301)-((R1273-1)*IF(Inputs!$B$38="pvp",15,MAX(0.1,Skills!D11-IF(Skills!E11=TRUE,1.0,0))))))/Skills!H11,1)))/Inputs!$B$43),G1273*Q1273))*IF(Inputs!$B$38="pvp",1,1+(Inputs!$B$20+0+Skills!P11)/100),0)</f>
        <v/>
      </c>
      <c r="V1273">
        <f>IF(C1273,(H1273*N1273*IF(AND(Inputs!$B$38&lt;&gt;"pvp",Inputs!$B$43&gt;0),((Skills!G11*((R1273-1)*IF(Skills!H11&gt;0,Skills!I11/Skills!H11,1)+IF(Skills!H11&gt;0,MIN(Skills!I11,MAX(0,MAX(0,Inputs!$B$43-B1301)-((R1273-1)*IF(Inputs!$B$38="pvp",15,MAX(0.1,Skills!D11-IF(Skills!E11=TRUE,1.0,0))))))/Skills!H11,1)))/Inputs!$B$43),G1273*Q1273))*IF(Inputs!$B$38="pvp",1,(1+(Inputs!$B$21+Skills!Q11)/100)*(MIN(Skills!R11,Inputs!$B$37))),0)</f>
        <v/>
      </c>
    </row>
    <row r="1274">
      <c r="A1274">
        <f>Skills!A12</f>
        <v/>
      </c>
      <c r="B1274">
        <f>Skills!B12</f>
        <v/>
      </c>
      <c r="C1274">
        <f>Inputs!$B$3&gt;=60</f>
        <v/>
      </c>
      <c r="D1274">
        <f>IF(Skills!C12=1,60+Inputs!$B$25+Inputs!$B$29,IF(Skills!C12=2,90+Inputs!$B$26+Inputs!$B$29,IF(Skills!C12=3,120+Inputs!$B$27+Inputs!$B$29,MAX(0,(Inputs!$B$3-100)*3)+Inputs!$B$28+Inputs!$B$29)))</f>
        <v/>
      </c>
      <c r="E1274">
        <f>INDEX(FactorTable!$B$2:$Y$301, MATCH(ROUND(MIN(300,MAX(1,D1274)),0), FactorTable!$A$2:$A$301,0), Skills!M12+1)</f>
        <v/>
      </c>
      <c r="F1274">
        <f>IF(Skills!N12=TRUE,(Skills!L12/10)*(E1274/1000),Skills!L12/10)+Skills!O12</f>
        <v/>
      </c>
      <c r="G1274">
        <f>Skills!G12*IF(Skills!H12&gt;0,Skills!I12/Skills!H12,1)</f>
        <v/>
      </c>
      <c r="H1274">
        <f>1-(1-Skills!J12/100)^Skills!K12</f>
        <v/>
      </c>
      <c r="I1274" t="inlineStr">
        <is>
          <t>1</t>
        </is>
      </c>
      <c r="J1274" t="inlineStr"/>
      <c r="K1274" t="inlineStr"/>
      <c r="L1274" t="inlineStr"/>
      <c r="M1274" t="inlineStr"/>
      <c r="N1274" t="inlineStr"/>
      <c r="O1274">
        <f>(1-Summary!$B$55)*T1274+Summary!$B$55*V1274</f>
        <v/>
      </c>
      <c r="P1274">
        <f>IF(B1304=0,0,O1274/B1304)</f>
        <v/>
      </c>
      <c r="Q1274" t="n">
        <v>0</v>
      </c>
      <c r="R1274" t="n">
        <v>0</v>
      </c>
      <c r="S1274" t="n">
        <v>0</v>
      </c>
      <c r="T1274" t="n">
        <v>0</v>
      </c>
      <c r="V1274" t="n">
        <v>0</v>
      </c>
    </row>
    <row r="1275">
      <c r="A1275">
        <f>Skills!A13</f>
        <v/>
      </c>
      <c r="B1275">
        <f>Skills!B13</f>
        <v/>
      </c>
      <c r="C1275">
        <f>Inputs!$B$3&gt;=74</f>
        <v/>
      </c>
      <c r="D1275">
        <f>IF(Skills!C13=1,60+Inputs!$B$25+Inputs!$B$29,IF(Skills!C13=2,90+Inputs!$B$26+Inputs!$B$29,IF(Skills!C13=3,120+Inputs!$B$27+Inputs!$B$29,MAX(0,(Inputs!$B$3-100)*3)+Inputs!$B$28+Inputs!$B$29)))</f>
        <v/>
      </c>
      <c r="E1275">
        <f>INDEX(FactorTable!$B$2:$Y$301, MATCH(ROUND(MIN(300,MAX(1,D1275)),0), FactorTable!$A$2:$A$301,0), Skills!M13+1)</f>
        <v/>
      </c>
      <c r="F1275">
        <f>IF(Skills!N13=TRUE,(Skills!L13/10)*(E1275/1000),Skills!L13/10)+Skills!O13</f>
        <v/>
      </c>
      <c r="G1275">
        <f>Skills!G13*IF(Skills!H13&gt;0,Skills!I13/Skills!H13,1)</f>
        <v/>
      </c>
      <c r="H1275">
        <f>1-(1-Skills!J13/100)^Skills!K13</f>
        <v/>
      </c>
      <c r="I1275" t="inlineStr">
        <is>
          <t>1</t>
        </is>
      </c>
      <c r="J1275" t="inlineStr"/>
      <c r="K1275" t="inlineStr"/>
      <c r="L1275" t="inlineStr"/>
      <c r="M1275" t="inlineStr"/>
      <c r="N1275" t="inlineStr"/>
      <c r="O1275">
        <f>(1-Summary!$B$55)*T1275+Summary!$B$55*V1275</f>
        <v/>
      </c>
      <c r="P1275">
        <f>IF(B1304=0,0,O1275/B1304)</f>
        <v/>
      </c>
      <c r="Q1275" t="n">
        <v>0</v>
      </c>
      <c r="R1275" t="n">
        <v>0</v>
      </c>
      <c r="S1275" t="n">
        <v>0</v>
      </c>
      <c r="T1275" t="n">
        <v>0</v>
      </c>
      <c r="V1275" t="n">
        <v>0</v>
      </c>
    </row>
    <row r="1276">
      <c r="A1276">
        <f>Skills!A14</f>
        <v/>
      </c>
      <c r="B1276">
        <f>Skills!B14</f>
        <v/>
      </c>
      <c r="C1276">
        <f>Inputs!$B$3&gt;=74</f>
        <v/>
      </c>
      <c r="D1276">
        <f>IF(Skills!C14=1,60+Inputs!$B$25+Inputs!$B$29,IF(Skills!C14=2,90+Inputs!$B$26+Inputs!$B$29,IF(Skills!C14=3,120+Inputs!$B$27+Inputs!$B$29,MAX(0,(Inputs!$B$3-100)*3)+Inputs!$B$28+Inputs!$B$29)))</f>
        <v/>
      </c>
      <c r="E1276">
        <f>INDEX(FactorTable!$B$2:$Y$301, MATCH(ROUND(MIN(300,MAX(1,D1276)),0), FactorTable!$A$2:$A$301,0), Skills!M14+1)</f>
        <v/>
      </c>
      <c r="F1276">
        <f>IF(Skills!N14=TRUE,(Skills!L14/10)*(E1276/1000),Skills!L14/10)+Skills!O14</f>
        <v/>
      </c>
      <c r="G1276">
        <f>Skills!G14*IF(Skills!H14&gt;0,Skills!I14/Skills!H14,1)</f>
        <v/>
      </c>
      <c r="H1276">
        <f>1-(1-Skills!J14/100)^Skills!K14</f>
        <v/>
      </c>
      <c r="I1276" t="inlineStr">
        <is>
          <t>1</t>
        </is>
      </c>
      <c r="J1276" t="inlineStr"/>
      <c r="K1276" t="inlineStr"/>
      <c r="L1276" t="inlineStr"/>
      <c r="M1276" t="inlineStr"/>
      <c r="N1276" t="inlineStr"/>
      <c r="O1276">
        <f>(1-Summary!$B$55)*T1276+Summary!$B$55*V1276</f>
        <v/>
      </c>
      <c r="P1276">
        <f>IF(B1304=0,0,O1276/B1304)</f>
        <v/>
      </c>
      <c r="Q1276" t="n">
        <v>0</v>
      </c>
      <c r="R1276" t="n">
        <v>0</v>
      </c>
      <c r="S1276" t="n">
        <v>0</v>
      </c>
      <c r="T1276" t="n">
        <v>0</v>
      </c>
      <c r="V1276" t="n">
        <v>0</v>
      </c>
    </row>
    <row r="1277">
      <c r="A1277">
        <f>Skills!A15</f>
        <v/>
      </c>
      <c r="B1277">
        <f>Skills!B15</f>
        <v/>
      </c>
      <c r="C1277">
        <f>Inputs!$B$3&gt;=117</f>
        <v/>
      </c>
      <c r="D1277">
        <f>IF(Skills!C15=1,60+Inputs!$B$25+Inputs!$B$29,IF(Skills!C15=2,90+Inputs!$B$26+Inputs!$B$29,IF(Skills!C15=3,120+Inputs!$B$27+Inputs!$B$29,MAX(0,(Inputs!$B$3-100)*3)+Inputs!$B$28+Inputs!$B$29)))</f>
        <v/>
      </c>
      <c r="E1277">
        <f>INDEX(FactorTable!$B$2:$Y$301, MATCH(ROUND(MIN(300,MAX(1,D1277)),0), FactorTable!$A$2:$A$301,0), Skills!M15+1)</f>
        <v/>
      </c>
      <c r="F1277">
        <f>IF(Skills!N15=TRUE,(Skills!L15/10)*(E1277/1000),Skills!L15/10)+Skills!O15</f>
        <v/>
      </c>
      <c r="G1277">
        <f>Skills!G15*IF(Skills!H15&gt;0,Skills!I15/Skills!H15,1)</f>
        <v/>
      </c>
      <c r="H1277">
        <f>1-(1-Skills!J15/100)^Skills!K15</f>
        <v/>
      </c>
      <c r="I1277" t="inlineStr">
        <is>
          <t>1</t>
        </is>
      </c>
      <c r="J1277" t="inlineStr"/>
      <c r="K1277" t="inlineStr"/>
      <c r="L1277" t="inlineStr"/>
      <c r="M1277" t="inlineStr"/>
      <c r="N1277" t="inlineStr"/>
      <c r="O1277">
        <f>(1-Summary!$B$55)*T1277+Summary!$B$55*V1277</f>
        <v/>
      </c>
      <c r="P1277">
        <f>IF(B1304=0,0,O1277/B1304)</f>
        <v/>
      </c>
      <c r="Q1277">
        <f>IFERROR(1/IF(Inputs!$B$38="pvp",15,MAX(0.1,Skills!D15-IF(Skills!E15=TRUE,1.0,0))),0)</f>
        <v/>
      </c>
      <c r="R1277">
        <f>IF(AND(Inputs!$B$38&lt;&gt;"pvp",Inputs!$B$43&gt;0),IF(Inputs!$B$43&lt;=0,0,(INT(Inputs!$B$43/IF(Inputs!$B$38="pvp",15,MAX(0.1,Skills!D15-IF(Skills!E15=TRUE,1.0,0))))+1)),0)</f>
        <v/>
      </c>
      <c r="S1277" t="n">
        <v>0</v>
      </c>
      <c r="T1277" t="n">
        <v>0</v>
      </c>
      <c r="V1277" t="n">
        <v>0</v>
      </c>
    </row>
    <row r="1278">
      <c r="A1278">
        <f>Skills!A16</f>
        <v/>
      </c>
      <c r="B1278">
        <f>Skills!B16</f>
        <v/>
      </c>
      <c r="C1278">
        <f>Inputs!$B$3&gt;=115</f>
        <v/>
      </c>
      <c r="D1278">
        <f>IF(Skills!C16=1,60+Inputs!$B$25+Inputs!$B$29,IF(Skills!C16=2,90+Inputs!$B$26+Inputs!$B$29,IF(Skills!C16=3,120+Inputs!$B$27+Inputs!$B$29,MAX(0,(Inputs!$B$3-100)*3)+Inputs!$B$28+Inputs!$B$29)))</f>
        <v/>
      </c>
      <c r="E1278">
        <f>INDEX(FactorTable!$B$2:$Y$301, MATCH(ROUND(MIN(300,MAX(1,D1278)),0), FactorTable!$A$2:$A$301,0), Skills!M16+1)</f>
        <v/>
      </c>
      <c r="F1278">
        <f>IF(Skills!N16=TRUE,(Skills!L16/10)*(E1278/1000),Skills!L16/10)+Skills!O16</f>
        <v/>
      </c>
      <c r="G1278">
        <f>Skills!G16*IF(Skills!H16&gt;0,Skills!I16/Skills!H16,1)</f>
        <v/>
      </c>
      <c r="H1278">
        <f>1-(1-Skills!J16/100)^Skills!K16</f>
        <v/>
      </c>
      <c r="I1278" t="inlineStr">
        <is>
          <t>1</t>
        </is>
      </c>
      <c r="J1278" t="inlineStr"/>
      <c r="K1278" t="inlineStr"/>
      <c r="L1278" t="inlineStr"/>
      <c r="M1278" t="inlineStr"/>
      <c r="N1278" t="inlineStr"/>
      <c r="O1278">
        <f>(1-Summary!$B$55)*T1278+Summary!$B$55*V1278</f>
        <v/>
      </c>
      <c r="P1278">
        <f>IF(B1304=0,0,O1278/B1304)</f>
        <v/>
      </c>
      <c r="Q1278">
        <f>IFERROR(1/IF(Inputs!$B$38="pvp",15,MAX(0.1,Skills!D16-IF(Skills!E16=TRUE,1.0,0))),0)</f>
        <v/>
      </c>
      <c r="R1278">
        <f>IF(AND(Inputs!$B$38&lt;&gt;"pvp",Inputs!$B$43&gt;0),IF(Inputs!$B$43&lt;=0,0,(INT(Inputs!$B$43/IF(Inputs!$B$38="pvp",15,MAX(0.1,Skills!D16-IF(Skills!E16=TRUE,1.0,0))))+1)),0)</f>
        <v/>
      </c>
      <c r="S1278" t="n">
        <v>0</v>
      </c>
      <c r="T1278" t="n">
        <v>0</v>
      </c>
      <c r="V1278" t="n">
        <v>0</v>
      </c>
    </row>
    <row r="1279">
      <c r="A1279">
        <f>Skills!A17</f>
        <v/>
      </c>
      <c r="B1279">
        <f>Skills!B17</f>
        <v/>
      </c>
      <c r="C1279">
        <f>Inputs!$B$3&gt;=72</f>
        <v/>
      </c>
      <c r="D1279">
        <f>IF(Skills!C17=1,60+Inputs!$B$25+Inputs!$B$29,IF(Skills!C17=2,90+Inputs!$B$26+Inputs!$B$29,IF(Skills!C17=3,120+Inputs!$B$27+Inputs!$B$29,MAX(0,(Inputs!$B$3-100)*3)+Inputs!$B$28+Inputs!$B$29)))</f>
        <v/>
      </c>
      <c r="E1279">
        <f>INDEX(FactorTable!$B$2:$Y$301, MATCH(ROUND(MIN(300,MAX(1,D1279)),0), FactorTable!$A$2:$A$301,0), Skills!M17+1)</f>
        <v/>
      </c>
      <c r="F1279">
        <f>IF(Skills!N17=TRUE,(Skills!L17/10)*(E1279/1000),Skills!L17/10)+Skills!O17</f>
        <v/>
      </c>
      <c r="G1279">
        <f>Skills!G17*IF(Skills!H17&gt;0,Skills!I17/Skills!H17,1)</f>
        <v/>
      </c>
      <c r="H1279">
        <f>1-(1-Skills!J17/100)^Skills!K17</f>
        <v/>
      </c>
      <c r="I1279" t="inlineStr">
        <is>
          <t>1</t>
        </is>
      </c>
      <c r="J1279" t="inlineStr"/>
      <c r="K1279" t="inlineStr"/>
      <c r="L1279" t="inlineStr"/>
      <c r="M1279" t="inlineStr"/>
      <c r="N1279" t="inlineStr"/>
      <c r="O1279">
        <f>(1-Summary!$B$55)*T1279+Summary!$B$55*V1279</f>
        <v/>
      </c>
      <c r="P1279">
        <f>IF(B1304=0,0,O1279/B1304)</f>
        <v/>
      </c>
      <c r="Q1279" t="n">
        <v>0</v>
      </c>
      <c r="R1279" t="n">
        <v>0</v>
      </c>
      <c r="S1279" t="n">
        <v>0</v>
      </c>
      <c r="T1279" t="n">
        <v>0</v>
      </c>
      <c r="V1279" t="n">
        <v>0</v>
      </c>
    </row>
    <row r="1280">
      <c r="A1280">
        <f>Skills!A18</f>
        <v/>
      </c>
      <c r="B1280">
        <f>Skills!B18</f>
        <v/>
      </c>
      <c r="C1280">
        <f>TRUE</f>
        <v/>
      </c>
      <c r="D1280">
        <f>IF(Skills!C18=1,60+Inputs!$B$25+Inputs!$B$29,IF(Skills!C18=2,90+Inputs!$B$26+Inputs!$B$29,IF(Skills!C18=3,120+Inputs!$B$27+Inputs!$B$29,MAX(0,(Inputs!$B$3-100)*3)+Inputs!$B$28+Inputs!$B$29)))</f>
        <v/>
      </c>
      <c r="E1280">
        <f>INDEX(FactorTable!$B$2:$Y$301, MATCH(ROUND(MIN(300,MAX(1,D1280)),0), FactorTable!$A$2:$A$301,0), Skills!M18+1)</f>
        <v/>
      </c>
      <c r="F1280">
        <f>IF(Skills!N18=TRUE,(Skills!L18/10)*(E1280/1000),Skills!L18/10)+Skills!O18</f>
        <v/>
      </c>
      <c r="G1280">
        <f>Skills!G18*IF(Skills!H18&gt;0,Skills!I18/Skills!H18,1)</f>
        <v/>
      </c>
      <c r="H1280">
        <f>1-(1-Skills!J18/100)^Skills!K18</f>
        <v/>
      </c>
      <c r="I1280" t="inlineStr">
        <is>
          <t>1</t>
        </is>
      </c>
      <c r="J1280" t="inlineStr"/>
      <c r="K1280" t="inlineStr"/>
      <c r="L1280" t="inlineStr"/>
      <c r="M1280" t="inlineStr"/>
      <c r="N1280" t="inlineStr"/>
      <c r="O1280">
        <f>(1-Summary!$B$55)*T1280+Summary!$B$55*V1280</f>
        <v/>
      </c>
      <c r="P1280">
        <f>IF(B1304=0,0,O1280/B1304)</f>
        <v/>
      </c>
      <c r="Q1280">
        <f>IFERROR(1/IF(Inputs!$B$38="pvp",15,MAX(0.1,Skills!D18-IF(Skills!E18=TRUE,1.0,0))),0)</f>
        <v/>
      </c>
      <c r="R1280">
        <f>IF(AND(Inputs!$B$38&lt;&gt;"pvp",Inputs!$B$43&gt;0),IF(Inputs!$B$43&lt;=0,0,(INT(Inputs!$B$43/IF(Inputs!$B$38="pvp",15,MAX(0.1,Skills!D18-IF(Skills!E18=TRUE,1.0,0))))+1)),0)</f>
        <v/>
      </c>
      <c r="S1280" t="n">
        <v>0</v>
      </c>
      <c r="T1280" t="n">
        <v>0</v>
      </c>
      <c r="V1280" t="n">
        <v>0</v>
      </c>
    </row>
    <row r="1281">
      <c r="A1281">
        <f>Skills!A19</f>
        <v/>
      </c>
      <c r="B1281">
        <f>Skills!B19</f>
        <v/>
      </c>
      <c r="C1281">
        <f>Inputs!$B$3&gt;=15</f>
        <v/>
      </c>
      <c r="D1281">
        <f>IF(Skills!C19=1,60+Inputs!$B$25+Inputs!$B$29,IF(Skills!C19=2,90+Inputs!$B$26+Inputs!$B$29,IF(Skills!C19=3,120+Inputs!$B$27+Inputs!$B$29,MAX(0,(Inputs!$B$3-100)*3)+Inputs!$B$28+Inputs!$B$29)))</f>
        <v/>
      </c>
      <c r="E1281">
        <f>INDEX(FactorTable!$B$2:$Y$301, MATCH(ROUND(MIN(300,MAX(1,D1281)),0), FactorTable!$A$2:$A$301,0), Skills!M19+1)</f>
        <v/>
      </c>
      <c r="F1281">
        <f>IF(Skills!N19=TRUE,(Skills!L19/10)*(E1281/1000),Skills!L19/10)+Skills!O19</f>
        <v/>
      </c>
      <c r="G1281">
        <f>Skills!G19*IF(Skills!H19&gt;0,Skills!I19/Skills!H19,1)</f>
        <v/>
      </c>
      <c r="H1281">
        <f>1-(1-Skills!J19/100)^Skills!K19</f>
        <v/>
      </c>
      <c r="I1281" t="inlineStr">
        <is>
          <t>1</t>
        </is>
      </c>
      <c r="J1281" t="inlineStr"/>
      <c r="K1281" t="inlineStr"/>
      <c r="L1281" t="inlineStr"/>
      <c r="M1281" t="inlineStr"/>
      <c r="N1281" t="inlineStr"/>
      <c r="O1281">
        <f>(1-Summary!$B$55)*T1281+Summary!$B$55*V1281</f>
        <v/>
      </c>
      <c r="P1281">
        <f>IF(B1304=0,0,O1281/B1304)</f>
        <v/>
      </c>
      <c r="Q1281" t="n">
        <v>0</v>
      </c>
      <c r="R1281" t="n">
        <v>0</v>
      </c>
      <c r="S1281" t="n">
        <v>0</v>
      </c>
      <c r="T1281" t="n">
        <v>0</v>
      </c>
      <c r="V1281" t="n">
        <v>0</v>
      </c>
    </row>
    <row r="1282">
      <c r="A1282">
        <f>Skills!A20</f>
        <v/>
      </c>
      <c r="B1282">
        <f>Skills!B20</f>
        <v/>
      </c>
      <c r="C1282">
        <f>Inputs!$B$3&gt;=10</f>
        <v/>
      </c>
      <c r="D1282">
        <f>IF(Skills!C20=1,60+Inputs!$B$25+Inputs!$B$29,IF(Skills!C20=2,90+Inputs!$B$26+Inputs!$B$29,IF(Skills!C20=3,120+Inputs!$B$27+Inputs!$B$29,MAX(0,(Inputs!$B$3-100)*3)+Inputs!$B$28+Inputs!$B$29)))</f>
        <v/>
      </c>
      <c r="E1282">
        <f>INDEX(FactorTable!$B$2:$Y$301, MATCH(ROUND(MIN(300,MAX(1,D1282)),0), FactorTable!$A$2:$A$301,0), Skills!M20+1)</f>
        <v/>
      </c>
      <c r="F1282">
        <f>IF(Skills!N20=TRUE,(Skills!L20/10)*(E1282/1000),Skills!L20/10)+Skills!O20</f>
        <v/>
      </c>
      <c r="G1282">
        <f>Skills!G20*IF(Skills!H20&gt;0,Skills!I20/Skills!H20,1)</f>
        <v/>
      </c>
      <c r="H1282">
        <f>1-(1-Skills!J20/100)^Skills!K20</f>
        <v/>
      </c>
      <c r="I1282" t="inlineStr">
        <is>
          <t>1</t>
        </is>
      </c>
      <c r="J1282" t="inlineStr"/>
      <c r="K1282" t="inlineStr"/>
      <c r="L1282" t="inlineStr"/>
      <c r="M1282" t="inlineStr"/>
      <c r="N1282" t="inlineStr"/>
      <c r="O1282">
        <f>(1-Summary!$B$55)*T1282+Summary!$B$55*V1282</f>
        <v/>
      </c>
      <c r="P1282">
        <f>IF(B1304=0,0,O1282/B1304)</f>
        <v/>
      </c>
      <c r="Q1282" t="n">
        <v>0</v>
      </c>
      <c r="R1282" t="n">
        <v>0</v>
      </c>
      <c r="S1282" t="n">
        <v>0</v>
      </c>
      <c r="T1282" t="n">
        <v>0</v>
      </c>
      <c r="V1282" t="n">
        <v>0</v>
      </c>
    </row>
    <row r="1283">
      <c r="A1283">
        <f>Skills!A21</f>
        <v/>
      </c>
      <c r="B1283">
        <f>Skills!B21</f>
        <v/>
      </c>
      <c r="C1283">
        <f>Inputs!$B$3&gt;=33</f>
        <v/>
      </c>
      <c r="D1283">
        <f>IF(Skills!C21=1,60+Inputs!$B$25+Inputs!$B$29,IF(Skills!C21=2,90+Inputs!$B$26+Inputs!$B$29,IF(Skills!C21=3,120+Inputs!$B$27+Inputs!$B$29,MAX(0,(Inputs!$B$3-100)*3)+Inputs!$B$28+Inputs!$B$29)))</f>
        <v/>
      </c>
      <c r="E1283">
        <f>INDEX(FactorTable!$B$2:$Y$301, MATCH(ROUND(MIN(300,MAX(1,D1283)),0), FactorTable!$A$2:$A$301,0), Skills!M21+1)</f>
        <v/>
      </c>
      <c r="F1283">
        <f>IF(Skills!N21=TRUE,(Skills!L21/10)*(E1283/1000),Skills!L21/10)+Skills!O21</f>
        <v/>
      </c>
      <c r="G1283">
        <f>Skills!G21*IF(Skills!H21&gt;0,Skills!I21/Skills!H21,1)</f>
        <v/>
      </c>
      <c r="H1283">
        <f>1-(1-Skills!J21/100)^Skills!K21</f>
        <v/>
      </c>
      <c r="I1283" t="inlineStr">
        <is>
          <t>1</t>
        </is>
      </c>
      <c r="J1283" t="inlineStr"/>
      <c r="K1283" t="inlineStr"/>
      <c r="L1283" t="inlineStr"/>
      <c r="M1283" t="inlineStr"/>
      <c r="N1283" t="inlineStr"/>
      <c r="O1283">
        <f>(1-Summary!$B$55)*T1283+Summary!$B$55*V1283</f>
        <v/>
      </c>
      <c r="P1283">
        <f>IF(B1304=0,0,O1283/B1304)</f>
        <v/>
      </c>
      <c r="Q1283" t="n">
        <v>0</v>
      </c>
      <c r="R1283" t="n">
        <v>0</v>
      </c>
      <c r="S1283" t="n">
        <v>0</v>
      </c>
      <c r="T1283" t="n">
        <v>0</v>
      </c>
      <c r="V1283" t="n">
        <v>0</v>
      </c>
    </row>
    <row r="1284">
      <c r="A1284">
        <f>Skills!A22</f>
        <v/>
      </c>
      <c r="B1284">
        <f>Skills!B22</f>
        <v/>
      </c>
      <c r="C1284">
        <f>Inputs!$B$3&gt;=38</f>
        <v/>
      </c>
      <c r="D1284">
        <f>IF(Skills!C22=1,60+Inputs!$B$25+Inputs!$B$29,IF(Skills!C22=2,90+Inputs!$B$26+Inputs!$B$29,IF(Skills!C22=3,120+Inputs!$B$27+Inputs!$B$29,MAX(0,(Inputs!$B$3-100)*3)+Inputs!$B$28+Inputs!$B$29)))</f>
        <v/>
      </c>
      <c r="E1284">
        <f>INDEX(FactorTable!$B$2:$Y$301, MATCH(ROUND(MIN(300,MAX(1,D1284)),0), FactorTable!$A$2:$A$301,0), Skills!M22+1)</f>
        <v/>
      </c>
      <c r="F1284">
        <f>IF(Skills!N22=TRUE,(Skills!L22/10)*(E1284/1000),Skills!L22/10)+Skills!O22</f>
        <v/>
      </c>
      <c r="G1284">
        <f>Skills!G22*IF(Skills!H22&gt;0,Skills!I22/Skills!H22,1)</f>
        <v/>
      </c>
      <c r="H1284">
        <f>1-(1-Skills!J22/100)^Skills!K22</f>
        <v/>
      </c>
      <c r="I1284" t="inlineStr">
        <is>
          <t>1</t>
        </is>
      </c>
      <c r="J1284" t="inlineStr"/>
      <c r="K1284" t="inlineStr"/>
      <c r="L1284" t="inlineStr"/>
      <c r="M1284" t="inlineStr"/>
      <c r="N1284" t="inlineStr"/>
      <c r="O1284">
        <f>(1-Summary!$B$55)*T1284+Summary!$B$55*V1284</f>
        <v/>
      </c>
      <c r="P1284">
        <f>IF(B1304=0,0,O1284/B1304)</f>
        <v/>
      </c>
      <c r="Q1284" t="n">
        <v>0</v>
      </c>
      <c r="R1284" t="n">
        <v>0</v>
      </c>
      <c r="S1284" t="n">
        <v>0</v>
      </c>
      <c r="T1284" t="n">
        <v>0</v>
      </c>
      <c r="V1284" t="n">
        <v>0</v>
      </c>
    </row>
    <row r="1285">
      <c r="A1285">
        <f>Skills!A23</f>
        <v/>
      </c>
      <c r="B1285">
        <f>Skills!B23</f>
        <v/>
      </c>
      <c r="C1285">
        <f>Inputs!$B$3&gt;=43</f>
        <v/>
      </c>
      <c r="D1285">
        <f>IF(Skills!C23=1,60+Inputs!$B$25+Inputs!$B$29,IF(Skills!C23=2,90+Inputs!$B$26+Inputs!$B$29,IF(Skills!C23=3,120+Inputs!$B$27+Inputs!$B$29,MAX(0,(Inputs!$B$3-100)*3)+Inputs!$B$28+Inputs!$B$29)))</f>
        <v/>
      </c>
      <c r="E1285">
        <f>INDEX(FactorTable!$B$2:$Y$301, MATCH(ROUND(MIN(300,MAX(1,D1285)),0), FactorTable!$A$2:$A$301,0), Skills!M23+1)</f>
        <v/>
      </c>
      <c r="F1285">
        <f>IF(Skills!N23=TRUE,(Skills!L23/10)*(E1285/1000),Skills!L23/10)+Skills!O23</f>
        <v/>
      </c>
      <c r="G1285">
        <f>Skills!G23*IF(Skills!H23&gt;0,Skills!I23/Skills!H23,1)</f>
        <v/>
      </c>
      <c r="H1285">
        <f>1-(1-Skills!J23/100)^Skills!K23</f>
        <v/>
      </c>
      <c r="I1285" t="inlineStr">
        <is>
          <t>1</t>
        </is>
      </c>
      <c r="J1285" t="inlineStr"/>
      <c r="K1285" t="inlineStr"/>
      <c r="L1285" t="inlineStr"/>
      <c r="M1285" t="inlineStr"/>
      <c r="N1285" t="inlineStr"/>
      <c r="O1285">
        <f>(1-Summary!$B$55)*T1285+Summary!$B$55*V1285</f>
        <v/>
      </c>
      <c r="P1285">
        <f>IF(B1304=0,0,O1285/B1304)</f>
        <v/>
      </c>
      <c r="Q1285" t="n">
        <v>0</v>
      </c>
      <c r="R1285" t="n">
        <v>0</v>
      </c>
      <c r="S1285" t="n">
        <v>0</v>
      </c>
      <c r="T1285" t="n">
        <v>0</v>
      </c>
      <c r="V1285" t="n">
        <v>0</v>
      </c>
    </row>
    <row r="1286">
      <c r="A1286">
        <f>Skills!A24</f>
        <v/>
      </c>
      <c r="B1286">
        <f>Skills!B24</f>
        <v/>
      </c>
      <c r="C1286">
        <f>Inputs!$B$3&gt;=75</f>
        <v/>
      </c>
      <c r="D1286">
        <f>IF(Skills!C24=1,60+Inputs!$B$25+Inputs!$B$29,IF(Skills!C24=2,90+Inputs!$B$26+Inputs!$B$29,IF(Skills!C24=3,120+Inputs!$B$27+Inputs!$B$29,MAX(0,(Inputs!$B$3-100)*3)+Inputs!$B$28+Inputs!$B$29)))</f>
        <v/>
      </c>
      <c r="E1286">
        <f>INDEX(FactorTable!$B$2:$Y$301, MATCH(ROUND(MIN(300,MAX(1,D1286)),0), FactorTable!$A$2:$A$301,0), Skills!M24+1)</f>
        <v/>
      </c>
      <c r="F1286">
        <f>IF(Skills!N24=TRUE,(Skills!L24/10)*(E1286/1000),Skills!L24/10)+Skills!O24</f>
        <v/>
      </c>
      <c r="G1286">
        <f>Skills!G24*IF(Skills!H24&gt;0,Skills!I24/Skills!H24,1)</f>
        <v/>
      </c>
      <c r="H1286">
        <f>1-(1-Skills!J24/100)^Skills!K24</f>
        <v/>
      </c>
      <c r="I1286" t="inlineStr">
        <is>
          <t>1</t>
        </is>
      </c>
      <c r="J1286" t="inlineStr"/>
      <c r="K1286" t="inlineStr"/>
      <c r="L1286" t="inlineStr"/>
      <c r="M1286" t="inlineStr"/>
      <c r="N1286" t="inlineStr"/>
      <c r="O1286">
        <f>(1-Summary!$B$55)*T1286+Summary!$B$55*V1286</f>
        <v/>
      </c>
      <c r="P1286">
        <f>IF(B1304=0,0,O1286/B1304)</f>
        <v/>
      </c>
      <c r="Q1286" t="n">
        <v>0</v>
      </c>
      <c r="R1286" t="n">
        <v>0</v>
      </c>
      <c r="S1286" t="n">
        <v>0</v>
      </c>
      <c r="T1286" t="n">
        <v>0</v>
      </c>
      <c r="V1286" t="n">
        <v>0</v>
      </c>
    </row>
    <row r="1287">
      <c r="A1287">
        <f>Skills!A25</f>
        <v/>
      </c>
      <c r="B1287">
        <f>Skills!B25</f>
        <v/>
      </c>
      <c r="C1287">
        <f>Inputs!$B$3&gt;=125</f>
        <v/>
      </c>
      <c r="D1287">
        <f>IF(Skills!C25=1,60+Inputs!$B$25+Inputs!$B$29,IF(Skills!C25=2,90+Inputs!$B$26+Inputs!$B$29,IF(Skills!C25=3,120+Inputs!$B$27+Inputs!$B$29,MAX(0,(Inputs!$B$3-100)*3)+Inputs!$B$28+Inputs!$B$29)))</f>
        <v/>
      </c>
      <c r="E1287">
        <f>INDEX(FactorTable!$B$2:$Y$301, MATCH(ROUND(MIN(300,MAX(1,D1287)),0), FactorTable!$A$2:$A$301,0), Skills!M25+1)</f>
        <v/>
      </c>
      <c r="F1287">
        <f>IF(Skills!N25=TRUE,(Skills!L25/10)*(E1287/1000),Skills!L25/10)+Skills!O25</f>
        <v/>
      </c>
      <c r="G1287">
        <f>Skills!G25*IF(Skills!H25&gt;0,Skills!I25/Skills!H25,1)</f>
        <v/>
      </c>
      <c r="H1287">
        <f>1-(1-Skills!J25/100)^Skills!K25</f>
        <v/>
      </c>
      <c r="I1287" t="inlineStr">
        <is>
          <t>1</t>
        </is>
      </c>
      <c r="J1287" t="inlineStr"/>
      <c r="K1287" t="inlineStr"/>
      <c r="L1287" t="inlineStr"/>
      <c r="M1287" t="inlineStr"/>
      <c r="N1287" t="inlineStr"/>
      <c r="O1287">
        <f>(1-Summary!$B$55)*T1287+Summary!$B$55*V1287</f>
        <v/>
      </c>
      <c r="P1287">
        <f>IF(B1304=0,0,O1287/B1304)</f>
        <v/>
      </c>
      <c r="Q1287" t="n">
        <v>0</v>
      </c>
      <c r="R1287" t="n">
        <v>0</v>
      </c>
      <c r="S1287" t="n">
        <v>0</v>
      </c>
      <c r="T1287" t="n">
        <v>0</v>
      </c>
      <c r="V1287" t="n">
        <v>0</v>
      </c>
    </row>
    <row r="1288">
      <c r="A1288">
        <f>Skills!A26</f>
        <v/>
      </c>
      <c r="B1288">
        <f>Skills!B26</f>
        <v/>
      </c>
      <c r="C1288">
        <f>Inputs!$B$3&gt;=125</f>
        <v/>
      </c>
      <c r="D1288">
        <f>IF(Skills!C26=1,60+Inputs!$B$25+Inputs!$B$29,IF(Skills!C26=2,90+Inputs!$B$26+Inputs!$B$29,IF(Skills!C26=3,120+Inputs!$B$27+Inputs!$B$29,MAX(0,(Inputs!$B$3-100)*3)+Inputs!$B$28+Inputs!$B$29)))</f>
        <v/>
      </c>
      <c r="E1288">
        <f>INDEX(FactorTable!$B$2:$Y$301, MATCH(ROUND(MIN(300,MAX(1,D1288)),0), FactorTable!$A$2:$A$301,0), Skills!M26+1)</f>
        <v/>
      </c>
      <c r="F1288">
        <f>IF(Skills!N26=TRUE,(Skills!L26/10)*(E1288/1000),Skills!L26/10)+Skills!O26</f>
        <v/>
      </c>
      <c r="G1288">
        <f>Skills!G26*IF(Skills!H26&gt;0,Skills!I26/Skills!H26,1)</f>
        <v/>
      </c>
      <c r="H1288">
        <f>1-(1-Skills!J26/100)^Skills!K26</f>
        <v/>
      </c>
      <c r="I1288" t="inlineStr">
        <is>
          <t>1</t>
        </is>
      </c>
      <c r="J1288" t="inlineStr"/>
      <c r="K1288" t="inlineStr"/>
      <c r="L1288" t="inlineStr"/>
      <c r="M1288" t="inlineStr"/>
      <c r="N1288" t="inlineStr"/>
      <c r="O1288">
        <f>(1-Summary!$B$55)*T1288+Summary!$B$55*V1288</f>
        <v/>
      </c>
      <c r="P1288">
        <f>IF(B1304=0,0,O1288/B1304)</f>
        <v/>
      </c>
      <c r="Q1288" t="n">
        <v>0</v>
      </c>
      <c r="R1288" t="n">
        <v>0</v>
      </c>
      <c r="S1288" t="n">
        <v>0</v>
      </c>
      <c r="T1288" t="n">
        <v>0</v>
      </c>
      <c r="V1288" t="n">
        <v>0</v>
      </c>
    </row>
    <row r="1289">
      <c r="A1289">
        <f>Skills!A27</f>
        <v/>
      </c>
      <c r="B1289">
        <f>Skills!B27</f>
        <v/>
      </c>
      <c r="C1289">
        <f>Inputs!$B$3&gt;=120</f>
        <v/>
      </c>
      <c r="D1289">
        <f>IF(Skills!C27=1,60+Inputs!$B$25+Inputs!$B$29,IF(Skills!C27=2,90+Inputs!$B$26+Inputs!$B$29,IF(Skills!C27=3,120+Inputs!$B$27+Inputs!$B$29,MAX(0,(Inputs!$B$3-100)*3)+Inputs!$B$28+Inputs!$B$29)))</f>
        <v/>
      </c>
      <c r="E1289">
        <f>INDEX(FactorTable!$B$2:$Y$301, MATCH(ROUND(MIN(300,MAX(1,D1289)),0), FactorTable!$A$2:$A$301,0), Skills!M27+1)</f>
        <v/>
      </c>
      <c r="F1289">
        <f>IF(Skills!N27=TRUE,(Skills!L27/10)*(E1289/1000),Skills!L27/10)+Skills!O27</f>
        <v/>
      </c>
      <c r="G1289">
        <f>Skills!G27*IF(Skills!H27&gt;0,Skills!I27/Skills!H27,1)</f>
        <v/>
      </c>
      <c r="H1289">
        <f>1-(1-Skills!J27/100)^Skills!K27</f>
        <v/>
      </c>
      <c r="I1289" t="inlineStr">
        <is>
          <t>1</t>
        </is>
      </c>
      <c r="J1289" t="inlineStr"/>
      <c r="K1289" t="inlineStr"/>
      <c r="L1289" t="inlineStr"/>
      <c r="M1289" t="inlineStr"/>
      <c r="N1289" t="inlineStr"/>
      <c r="O1289">
        <f>(1-Summary!$B$55)*T1289+Summary!$B$55*V1289</f>
        <v/>
      </c>
      <c r="P1289">
        <f>IF(B1304=0,0,O1289/B1304)</f>
        <v/>
      </c>
      <c r="Q1289" t="n">
        <v>0</v>
      </c>
      <c r="R1289" t="n">
        <v>0</v>
      </c>
      <c r="S1289" t="n">
        <v>0</v>
      </c>
      <c r="T1289" t="n">
        <v>0</v>
      </c>
      <c r="V1289" t="n">
        <v>0</v>
      </c>
    </row>
    <row r="1290">
      <c r="A1290">
        <f>Skills!A28</f>
        <v/>
      </c>
      <c r="B1290">
        <f>Skills!B28</f>
        <v/>
      </c>
      <c r="C1290">
        <f>Inputs!$B$3&gt;=120</f>
        <v/>
      </c>
      <c r="D1290">
        <f>IF(Skills!C28=1,60+Inputs!$B$25+Inputs!$B$29,IF(Skills!C28=2,90+Inputs!$B$26+Inputs!$B$29,IF(Skills!C28=3,120+Inputs!$B$27+Inputs!$B$29,MAX(0,(Inputs!$B$3-100)*3)+Inputs!$B$28+Inputs!$B$29)))</f>
        <v/>
      </c>
      <c r="E1290">
        <f>INDEX(FactorTable!$B$2:$Y$301, MATCH(ROUND(MIN(300,MAX(1,D1290)),0), FactorTable!$A$2:$A$301,0), Skills!M28+1)</f>
        <v/>
      </c>
      <c r="F1290">
        <f>IF(Skills!N28=TRUE,(Skills!L28/10)*(E1290/1000),Skills!L28/10)+Skills!O28</f>
        <v/>
      </c>
      <c r="G1290">
        <f>Skills!G28*IF(Skills!H28&gt;0,Skills!I28/Skills!H28,1)</f>
        <v/>
      </c>
      <c r="H1290">
        <f>1-(1-Skills!J28/100)^Skills!K28</f>
        <v/>
      </c>
      <c r="I1290" t="inlineStr">
        <is>
          <t>1</t>
        </is>
      </c>
      <c r="J1290" t="inlineStr"/>
      <c r="K1290" t="inlineStr"/>
      <c r="L1290" t="inlineStr"/>
      <c r="M1290" t="inlineStr"/>
      <c r="N1290" t="inlineStr"/>
      <c r="O1290">
        <f>(1-Summary!$B$55)*T1290+Summary!$B$55*V1290</f>
        <v/>
      </c>
      <c r="P1290">
        <f>IF(B1304=0,0,O1290/B1304)</f>
        <v/>
      </c>
      <c r="Q1290" t="n">
        <v>0</v>
      </c>
      <c r="R1290" t="n">
        <v>0</v>
      </c>
      <c r="S1290" t="n">
        <v>0</v>
      </c>
      <c r="T1290" t="n">
        <v>0</v>
      </c>
      <c r="V1290" t="n">
        <v>0</v>
      </c>
    </row>
    <row r="1291">
      <c r="A1291">
        <f>Skills!A29</f>
        <v/>
      </c>
      <c r="B1291">
        <f>Skills!B29</f>
        <v/>
      </c>
      <c r="C1291">
        <f>Inputs!$B$3&gt;=45</f>
        <v/>
      </c>
      <c r="D1291">
        <f>IF(Skills!C29=1,60+Inputs!$B$25+Inputs!$B$29,IF(Skills!C29=2,90+Inputs!$B$26+Inputs!$B$29,IF(Skills!C29=3,120+Inputs!$B$27+Inputs!$B$29,MAX(0,(Inputs!$B$3-100)*3)+Inputs!$B$28+Inputs!$B$29)))</f>
        <v/>
      </c>
      <c r="E1291">
        <f>INDEX(FactorTable!$B$2:$Y$301, MATCH(ROUND(MIN(300,MAX(1,D1291)),0), FactorTable!$A$2:$A$301,0), Skills!M29+1)</f>
        <v/>
      </c>
      <c r="F1291">
        <f>IF(Skills!N29=TRUE,(Skills!L29/10)*(E1291/1000),Skills!L29/10)+Skills!O29</f>
        <v/>
      </c>
      <c r="G1291">
        <f>Skills!G29*IF(Skills!H29&gt;0,Skills!I29/Skills!H29,1)</f>
        <v/>
      </c>
      <c r="H1291">
        <f>1-(1-Skills!J29/100)^Skills!K29</f>
        <v/>
      </c>
      <c r="I1291" t="inlineStr">
        <is>
          <t>1</t>
        </is>
      </c>
      <c r="J1291" t="inlineStr"/>
      <c r="K1291" t="inlineStr"/>
      <c r="L1291" t="inlineStr"/>
      <c r="M1291" t="inlineStr"/>
      <c r="N1291" t="inlineStr"/>
      <c r="O1291">
        <f>(1-Summary!$B$55)*T1291+Summary!$B$55*V1291</f>
        <v/>
      </c>
      <c r="P1291">
        <f>IF(B1304=0,0,O1291/B1304)</f>
        <v/>
      </c>
      <c r="Q1291" t="n">
        <v>0</v>
      </c>
      <c r="R1291" t="n">
        <v>0</v>
      </c>
      <c r="S1291" t="n">
        <v>0</v>
      </c>
      <c r="T1291" t="n">
        <v>0</v>
      </c>
      <c r="V1291" t="n">
        <v>0</v>
      </c>
    </row>
    <row r="1293">
      <c r="A1293" t="inlineStr">
        <is>
          <t>Attack% Bucket Multiplier</t>
        </is>
      </c>
      <c r="B1293">
        <f>(1+(((C1275=TRUE)*F1275)+((C1276=TRUE)*IF(Inputs!$B$38="pvp",F1276,(1-Summary!$B$55)*(F1276)+Summary!$B$55*(0)))+((C1277=TRUE)*F1277*IF(AND(Inputs!$B$38&lt;&gt;"pvp",Inputs!$B$43&gt;0),(((R1277-1)*(Skills!T15*(1+Inputs!$B$34/100))+MIN((Skills!T15*(1+Inputs!$B$34/100)),MAX(0,Inputs!$B$43-((R1277-1)*Skills!D15))))/Inputs!$B$43),IF(Inputs!$B$38="pvp",MIN((Skills!T15*(1+Inputs!$B$34/100)),15)/15,(Skills!T15*(1+Inputs!$B$34/100))/Skills!D15)))+((C1274=TRUE)*F1274)+((C1291=TRUE)*(F1291-Calc!F29)))/100)</f>
        <v/>
      </c>
    </row>
    <row r="1294">
      <c r="A1294" t="inlineStr">
        <is>
          <t>Global Crit Rate Bonus %</t>
        </is>
      </c>
      <c r="B1294">
        <f>(C1278=TRUE)*20*IF(AND(Inputs!$B$38&lt;&gt;"pvp",Inputs!$B$43&gt;0),(((R1278-1)*(Skills!T16*(1+Inputs!$B$34/100))+MIN((Skills!T16*(1+Inputs!$B$34/100)),MAX(0,Inputs!$B$43-((R1278-1)*Skills!D16))))/Inputs!$B$43),IF(Inputs!$B$38="pvp",MIN((Skills!T16*(1+Inputs!$B$34/100)),15)/15,(Skills!T16*(1+Inputs!$B$34/100))/Skills!D16))</f>
        <v/>
      </c>
    </row>
    <row r="1295">
      <c r="A1295" t="inlineStr">
        <is>
          <t>Attack Speed Buff Bonus %</t>
        </is>
      </c>
      <c r="B1295">
        <f>((C1280=TRUE)*F1280*IF(AND(Inputs!$B$38&lt;&gt;"pvp",Inputs!$B$43&gt;0),(((R1280-1)*(Skills!T18*(1+Inputs!$B$34/100))+MIN((Skills!T18*(1+Inputs!$B$34/100)),MAX(0,Inputs!$B$43-((R1280-1)*Skills!D18))))/Inputs!$B$43),IF(Inputs!$B$38="pvp",MIN((Skills!T18*(1+Inputs!$B$34/100)),15)/15,(Skills!T18*(1+Inputs!$B$34/100))/Skills!D18)))</f>
        <v/>
      </c>
    </row>
    <row r="1296">
      <c r="A1296" t="inlineStr">
        <is>
          <t>Actions Per Second</t>
        </is>
      </c>
      <c r="B1296">
        <f>1+MIN(150,150*(1-(1-(Inputs!$B$11+((C1282=TRUE)*(F1282-Calc!F20))+((C1283=TRUE)*(F1283-Calc!F21)))/150)*(1-B1295/150)))/100</f>
        <v/>
      </c>
    </row>
    <row r="1297">
      <c r="A1297" t="inlineStr">
        <is>
          <t>Skill + Buff Cast Rate</t>
        </is>
      </c>
      <c r="B1297">
        <f>IF(AND(Inputs!$B$38&lt;&gt;"pvp",Inputs!$B$43&gt;0),SUMPRODUCT((Skills!E2:E29=TRUE)*(C1264:C1291=TRUE)*R1264:R1291*Skills!F2:F29)/Inputs!$B$43,SUMPRODUCT((Skills!E2:E29=TRUE)*(C1264:C1291=TRUE)*Q1264:Q1291*Skills!F2:F29))</f>
        <v/>
      </c>
    </row>
    <row r="1298">
      <c r="A1298" t="inlineStr">
        <is>
          <t>Empowered Piercing Arrow Casts Per Second</t>
        </is>
      </c>
      <c r="B1298">
        <f>MAX(0,B1296-B1297)</f>
        <v/>
      </c>
    </row>
    <row r="1299">
      <c r="A1299" t="inlineStr">
        <is>
          <t>Global Critical Damage Bonus % (Sharp Eyes)</t>
        </is>
      </c>
      <c r="B1299">
        <f>(C1278=TRUE)*F1278*IF(AND(Inputs!$B$38&lt;&gt;"pvp",Inputs!$B$43&gt;0),(((R1278-1)*(Skills!T16*(1+Inputs!$B$34/100))+MIN((Skills!T16*(1+Inputs!$B$34/100)),MAX(0,Inputs!$B$43-((R1278-1)*Skills!D16))))/Inputs!$B$43),IF(Inputs!$B$38="pvp",MIN((Skills!T16*(1+Inputs!$B$34/100)),15)/15,(Skills!T16*(1+Inputs!$B$34/100))/Skills!D16))</f>
        <v/>
      </c>
    </row>
    <row r="1300">
      <c r="A1300" t="inlineStr">
        <is>
          <t>Global Final Damage Bonus % (Mortal Blow + Last Man Standing conditional half)</t>
        </is>
      </c>
      <c r="B1300">
        <f>(C1279=TRUE)*F1279+((C1288=TRUE)*IF(Inputs!$B$38="pvp",F1288,(1-Summary!$B$55)*(F1288)+Summary!$B$55*(0)))</f>
        <v/>
      </c>
    </row>
    <row r="1301">
      <c r="A1301" t="inlineStr">
        <is>
          <t>Buff-Casting Startup Delay (s, fixed-duration only)</t>
        </is>
      </c>
      <c r="B1301">
        <f>IF(AND(Inputs!$B$38&lt;&gt;"pvp",Inputs!$B$43&gt;0),SUMPRODUCT((Skills!T2:T29&gt;0)*(Skills!E2:E29=TRUE)*(C1264:C1291=TRUE))/B1296,0)</f>
        <v/>
      </c>
    </row>
    <row r="1302">
      <c r="A1302" t="inlineStr">
        <is>
          <t>Boss-Only Total DPS (this block's swept value)</t>
        </is>
      </c>
      <c r="B1302">
        <f>SUM(T1264:T1291)</f>
        <v/>
      </c>
    </row>
    <row r="1303">
      <c r="A1303" t="inlineStr">
        <is>
          <t>Normal-Only Total DPS (this block's swept value)</t>
        </is>
      </c>
      <c r="B1303">
        <f>SUM(V1264:V1291)</f>
        <v/>
      </c>
    </row>
    <row r="1304">
      <c r="A1304" s="5" t="inlineStr">
        <is>
          <t>TOTAL DPS</t>
        </is>
      </c>
      <c r="B1304" s="5">
        <f>SUM(O1264:O1291)</f>
        <v/>
      </c>
    </row>
    <row r="1307">
      <c r="A1307" s="5" t="inlineStr">
        <is>
          <t>Stat: CDR = 1.5s</t>
        </is>
      </c>
    </row>
    <row r="1308">
      <c r="A1308" s="9" t="inlineStr">
        <is>
          <t>Key</t>
        </is>
      </c>
      <c r="B1308" s="9" t="inlineStr">
        <is>
          <t>Name</t>
        </is>
      </c>
      <c r="C1308" s="9" t="inlineStr">
        <is>
          <t>Unlocked</t>
        </is>
      </c>
      <c r="D1308" s="9" t="inlineStr">
        <is>
          <t>InputLevel</t>
        </is>
      </c>
      <c r="E1308" s="9" t="inlineStr">
        <is>
          <t>Factor</t>
        </is>
      </c>
      <c r="F1308" s="9" t="inlineStr">
        <is>
          <t>CoefficientPercent</t>
        </is>
      </c>
      <c r="G1308" s="9" t="inlineStr">
        <is>
          <t>EffectiveHits</t>
        </is>
      </c>
      <c r="H1308" s="9" t="inlineStr">
        <is>
          <t>ProcProbability</t>
        </is>
      </c>
      <c r="I1308" s="9" t="inlineStr">
        <is>
          <t>MapleHeroMultiplier</t>
        </is>
      </c>
      <c r="J1308" s="9" t="inlineStr">
        <is>
          <t>BaseDamage</t>
        </is>
      </c>
      <c r="K1308" s="9" t="inlineStr">
        <is>
          <t>BaseHitDamage</t>
        </is>
      </c>
      <c r="L1308" s="9" t="inlineStr">
        <is>
          <t>NonCritAvg</t>
        </is>
      </c>
      <c r="M1308" s="9" t="inlineStr">
        <is>
          <t>CritAvg</t>
        </is>
      </c>
      <c r="N1308" s="9" t="inlineStr">
        <is>
          <t>ExpectedDamage(perHit)</t>
        </is>
      </c>
      <c r="O1308" s="9" t="inlineStr">
        <is>
          <t>DPS</t>
        </is>
      </c>
      <c r="P1308" s="9" t="inlineStr">
        <is>
          <t>% of Total</t>
        </is>
      </c>
      <c r="Q1308" s="9" t="inlineStr">
        <is>
          <t>InvCooldown</t>
        </is>
      </c>
      <c r="R1308" s="9" t="inlineStr">
        <is>
          <t>CastsInFight</t>
        </is>
      </c>
      <c r="S1308" s="9" t="inlineStr">
        <is>
          <t>HitRate(perSec)</t>
        </is>
      </c>
      <c r="U1308" t="inlineStr">
        <is>
          <t>helpers</t>
        </is>
      </c>
    </row>
    <row r="1309">
      <c r="A1309">
        <f>Skills!A2</f>
        <v/>
      </c>
      <c r="B1309">
        <f>Skills!B2</f>
        <v/>
      </c>
      <c r="C1309">
        <f>Inputs!$B$3&gt;=100</f>
        <v/>
      </c>
      <c r="D1309" t="inlineStr"/>
      <c r="E1309" t="inlineStr"/>
      <c r="F1309">
        <f>U1311+Skills!O2</f>
        <v/>
      </c>
      <c r="G1309">
        <f>Skills!G2*IF(Skills!H2&gt;0,Skills!I2/Skills!H2,1)</f>
        <v/>
      </c>
      <c r="H1309">
        <f>1-(1-Skills!J2/100)^Skills!K2</f>
        <v/>
      </c>
      <c r="I1309" t="inlineStr">
        <is>
          <t>1</t>
        </is>
      </c>
      <c r="J1309">
        <f>((Inputs!$B$6*(1+Inputs!$B$7/100))+(((Inputs!$B$12*(1+Inputs!$B$13/100))-(Inputs!$B$12*(1+Inputs!$B$13/100)))+0.25*(Inputs!$B$14-Inputs!$B$14))*(1+Inputs!$B$7/100))*(F1309/100)</f>
        <v/>
      </c>
      <c r="K1309">
        <f>J1309*(1+((Inputs!$B$12*(1+Inputs!$B$13/100))*0.01+Inputs!$B$14*0.0025)/100)*(1+Inputs!$B$15/100)*(1+Inputs!$B$16/100)*(5000/(6000+Inputs!$B$42*(1-(Inputs!$B$19+0)/100)))*(1+(Inputs!$B$24+((C1331=TRUE)*(F1331-Calc!F24))+((C1332=TRUE)*(F1332-Calc!F25))+B1345)/100)*(1+(IF(Skills!A2="EMPOWERED_PIERCING_ARROW",Inputs!$B$17+((C1329=TRUE)*(F1329-Calc!F22)),Inputs!$B$18+((C1334=TRUE)*(F1334-Calc!F27))))/100)*((1+(((C1320=TRUE)*F1320)+((C1321=TRUE)*IF(Inputs!$B$38="pvp",F1321,(1-Summary!$B$55)*(F1321)+Summary!$B$55*(0)))+((C1322=TRUE)*F1322*IF(AND(Inputs!$B$38&lt;&gt;"pvp",Inputs!$B$43&gt;0),(((R1322-1)*(Skills!T15*(1+Inputs!$B$34/100))+MIN((Skills!T15*(1+Inputs!$B$34/100)),MAX(0,Inputs!$B$43-((R1322-1)*Skills!D15))))/Inputs!$B$43),IF(Inputs!$B$38="pvp",MIN((Skills!T15*(1+Inputs!$B$34/100)),15)/15,(Skills!T15*(1+Inputs!$B$34/100))/Skills!D15)))+((C1319=TRUE)*F1319)+((C1336=TRUE)*(F1336-Calc!F29)))/100)*I1309)</f>
        <v/>
      </c>
      <c r="L1309">
        <f>K1309*(MIN(Inputs!$B$22+((C1330=TRUE)*(F1330-Calc!F23)),Inputs!$B$23+((C1335=TRUE)*(F1335-Calc!F28)))/100+(Inputs!$B$23+((C1335=TRUE)*(F1335-Calc!F28)))/100)/2</f>
        <v/>
      </c>
      <c r="M1309">
        <f>L1309*(1+(Inputs!$B$10+0+B1344)/100)</f>
        <v/>
      </c>
      <c r="N1309">
        <f>L1309*(1-MIN((Inputs!$B$9+((C1326=TRUE)*(F1326-Calc!F19))+B1339),100)/100)+M1309*(MIN((Inputs!$B$9+((C1326=TRUE)*(F1326-Calc!F19))+B1339),100)/100)</f>
        <v/>
      </c>
      <c r="O1309">
        <f>(1-Summary!$B$55)*T1309+Summary!$B$55*V1309</f>
        <v/>
      </c>
      <c r="P1309">
        <f>IF(B1349=0,0,O1309/B1349)</f>
        <v/>
      </c>
      <c r="Q1309" t="n">
        <v>0</v>
      </c>
      <c r="R1309" t="n">
        <v>0</v>
      </c>
      <c r="S1309">
        <f>IFERROR((Skills!G2*N1309*B1343)/N1309*IF(Inputs!$B$38="pvp",1,(1-Summary!$B$55)*1+Summary!$B$55*(MIN((6+Inputs!$B$33),Inputs!$B$37))),0)</f>
        <v/>
      </c>
      <c r="T1309">
        <f>IF(C1309,(Skills!G2*N1309*B1343)*IF(Inputs!$B$38="pvp",1,1+(Inputs!$B$20+0+Skills!P2)/100),0)</f>
        <v/>
      </c>
      <c r="U1309">
        <f>MAX(0,(Inputs!$B$3-100)*3)+Inputs!$B$28+Inputs!$B$29</f>
        <v/>
      </c>
      <c r="V1309">
        <f>IF(C1309,(Skills!G2*N1309*B1343)*IF(Inputs!$B$38="pvp",1,(1+(Inputs!$B$21+Skills!Q2)/100)*(MIN((6+Inputs!$B$33),Inputs!$B$37))),0)</f>
        <v/>
      </c>
    </row>
    <row r="1310">
      <c r="A1310">
        <f>Skills!A3</f>
        <v/>
      </c>
      <c r="B1310">
        <f>Skills!B3</f>
        <v/>
      </c>
      <c r="C1310">
        <f>Inputs!$B$3&gt;=50</f>
        <v/>
      </c>
      <c r="D1310">
        <f>IF(Skills!C3=1,60+Inputs!$B$25+Inputs!$B$29,IF(Skills!C3=2,90+Inputs!$B$26+Inputs!$B$29,IF(Skills!C3=3,120+Inputs!$B$27+Inputs!$B$29,MAX(0,(Inputs!$B$3-100)*3)+Inputs!$B$28+Inputs!$B$29)))</f>
        <v/>
      </c>
      <c r="E1310">
        <f>INDEX(FactorTable!$B$2:$Y$301, MATCH(ROUND(MIN(300,MAX(1,D1310)),0), FactorTable!$A$2:$A$301,0), Skills!M3+1)</f>
        <v/>
      </c>
      <c r="F1310">
        <f>IF(Skills!N3=TRUE,(Skills!L3/10)*(E1310/1000),Skills!L3/10)+Skills!O3</f>
        <v/>
      </c>
      <c r="G1310" t="inlineStr"/>
      <c r="H1310" t="inlineStr"/>
      <c r="I1310" t="inlineStr">
        <is>
          <t>1</t>
        </is>
      </c>
      <c r="J1310" t="inlineStr"/>
      <c r="K1310" t="inlineStr"/>
      <c r="L1310" t="inlineStr"/>
      <c r="M1310" t="inlineStr"/>
      <c r="N1310" t="inlineStr"/>
      <c r="O1310" t="inlineStr"/>
      <c r="P1310" t="inlineStr"/>
      <c r="Q1310" t="inlineStr"/>
      <c r="R1310" t="inlineStr"/>
      <c r="S1310" t="inlineStr"/>
      <c r="T1310" t="inlineStr"/>
      <c r="U1310">
        <f>INDEX(FactorTable!$B$2:$Y$301, MATCH(ROUND(MIN(300,MAX(1,U1309)),0), FactorTable!$A$2:$A$301,0), 22)</f>
        <v/>
      </c>
      <c r="V1310" t="inlineStr"/>
    </row>
    <row r="1311">
      <c r="A1311">
        <f>Skills!A4</f>
        <v/>
      </c>
      <c r="B1311">
        <f>Skills!B4</f>
        <v/>
      </c>
      <c r="C1311">
        <f>Inputs!$B$3&gt;=105</f>
        <v/>
      </c>
      <c r="D1311">
        <f>IF(Skills!C4=1,60+Inputs!$B$25+Inputs!$B$29,IF(Skills!C4=2,90+Inputs!$B$26+Inputs!$B$29,IF(Skills!C4=3,120+Inputs!$B$27+Inputs!$B$29,MAX(0,(Inputs!$B$3-100)*3)+Inputs!$B$28+Inputs!$B$29)))</f>
        <v/>
      </c>
      <c r="E1311">
        <f>INDEX(FactorTable!$B$2:$Y$301, MATCH(ROUND(MIN(300,MAX(1,D1311)),0), FactorTable!$A$2:$A$301,0), Skills!M4+1)</f>
        <v/>
      </c>
      <c r="F1311">
        <f>IF(Skills!N4=TRUE,(Skills!L4/10)*(E1311/1000),Skills!L4/10)+Skills!O4</f>
        <v/>
      </c>
      <c r="G1311" t="inlineStr"/>
      <c r="H1311" t="inlineStr"/>
      <c r="I1311" t="inlineStr">
        <is>
          <t>1</t>
        </is>
      </c>
      <c r="J1311" t="inlineStr"/>
      <c r="K1311" t="inlineStr"/>
      <c r="L1311" t="inlineStr"/>
      <c r="M1311" t="inlineStr"/>
      <c r="N1311" t="inlineStr"/>
      <c r="O1311" t="inlineStr"/>
      <c r="P1311" t="inlineStr"/>
      <c r="Q1311" t="inlineStr"/>
      <c r="R1311" t="inlineStr"/>
      <c r="S1311" t="inlineStr"/>
      <c r="T1311" t="inlineStr"/>
      <c r="U1311">
        <f>290*U1310/1000</f>
        <v/>
      </c>
      <c r="V1311" t="inlineStr"/>
    </row>
    <row r="1312">
      <c r="A1312">
        <f>Skills!A5</f>
        <v/>
      </c>
      <c r="B1312">
        <f>Skills!B5</f>
        <v/>
      </c>
      <c r="C1312">
        <f>Inputs!$B$3&gt;=35</f>
        <v/>
      </c>
      <c r="D1312">
        <f>IF(Skills!C5=1,60+Inputs!$B$25+Inputs!$B$29,IF(Skills!C5=2,90+Inputs!$B$26+Inputs!$B$29,IF(Skills!C5=3,120+Inputs!$B$27+Inputs!$B$29,MAX(0,(Inputs!$B$3-100)*3)+Inputs!$B$28+Inputs!$B$29)))</f>
        <v/>
      </c>
      <c r="E1312">
        <f>INDEX(FactorTable!$B$2:$Y$301, MATCH(ROUND(MIN(300,MAX(1,D1312)),0), FactorTable!$A$2:$A$301,0), Skills!M5+1)</f>
        <v/>
      </c>
      <c r="F1312">
        <f>IF(Skills!N5=TRUE,(Skills!L5/10)*(E1312/1000),Skills!L5/10)+Skills!O5</f>
        <v/>
      </c>
      <c r="G1312">
        <f>Skills!G5*IF(Skills!H5&gt;0,Skills!I5/Skills!H5,1)</f>
        <v/>
      </c>
      <c r="H1312">
        <f>1-(1-Skills!J5/100)^Skills!K5</f>
        <v/>
      </c>
      <c r="I1312" t="inlineStr">
        <is>
          <t>1</t>
        </is>
      </c>
      <c r="J1312">
        <f>((Inputs!$B$6*(1+Inputs!$B$7/100))+(((Inputs!$B$12*(1+Inputs!$B$13/100))-(Inputs!$B$12*(1+Inputs!$B$13/100)))+0.25*(Inputs!$B$14-Inputs!$B$14))*(1+Inputs!$B$7/100))*(F1312/100)</f>
        <v/>
      </c>
      <c r="K1312">
        <f>J1312*(1+((Inputs!$B$12*(1+Inputs!$B$13/100))*0.01+Inputs!$B$14*0.0025)/100)*(1+Inputs!$B$15/100)*(1+Inputs!$B$16/100)*(5000/(6000+Inputs!$B$42*(1-(Inputs!$B$19+0)/100)))*(1+(Inputs!$B$24+((C1331=TRUE)*(F1331-Calc!F24))+((C1332=TRUE)*(F1332-Calc!F25))+B1345)/100)*(1+4.0*IF(C1315=TRUE,F1315,0)/100)*(1+(IF(Skills!A5="EMPOWERED_PIERCING_ARROW",Inputs!$B$17+((C1329=TRUE)*(F1329-Calc!F22)),Inputs!$B$18+((C1334=TRUE)*(F1334-Calc!F27))))/100)*((1+(((C1320=TRUE)*F1320)+((C1321=TRUE)*IF(Inputs!$B$38="pvp",F1321,(1-Summary!$B$55)*(F1321)+Summary!$B$55*(0)))+((C1322=TRUE)*F1322*IF(AND(Inputs!$B$38&lt;&gt;"pvp",Inputs!$B$43&gt;0),(((R1322-1)*(Skills!T15*(1+Inputs!$B$34/100))+MIN((Skills!T15*(1+Inputs!$B$34/100)),MAX(0,Inputs!$B$43-((R1322-1)*Skills!D15))))/Inputs!$B$43),IF(Inputs!$B$38="pvp",MIN((Skills!T15*(1+Inputs!$B$34/100)),15)/15,(Skills!T15*(1+Inputs!$B$34/100))/Skills!D15)))+((C1319=TRUE)*F1319)+((C1336=TRUE)*(F1336-Calc!F29)))/100)*I1312)</f>
        <v/>
      </c>
      <c r="L1312">
        <f>K1312*(MIN(Inputs!$B$22+((C1330=TRUE)*(F1330-Calc!F23)),Inputs!$B$23+((C1335=TRUE)*(F1335-Calc!F28)))/100+(Inputs!$B$23+((C1335=TRUE)*(F1335-Calc!F28)))/100)/2</f>
        <v/>
      </c>
      <c r="M1312">
        <f>L1312*(1+(Inputs!$B$10+0+B1344)/100)</f>
        <v/>
      </c>
      <c r="N1312">
        <f>L1312*(1-MIN((Inputs!$B$9+((C1326=TRUE)*(F1326-Calc!F19))+B1339),100)/100)+M1312*(MIN((Inputs!$B$9+((C1326=TRUE)*(F1326-Calc!F19))+B1339),100)/100)</f>
        <v/>
      </c>
      <c r="O1312">
        <f>(1-Summary!$B$55)*T1312+Summary!$B$55*V1312</f>
        <v/>
      </c>
      <c r="P1312">
        <f>IF(B1349=0,0,O1312/B1349)</f>
        <v/>
      </c>
      <c r="Q1312">
        <f>IFERROR(1/IF(Inputs!$B$38="pvp",15,MAX(0.1,Skills!D5-IF(Skills!E5=TRUE,1.5,0))),0)</f>
        <v/>
      </c>
      <c r="R1312">
        <f>IF(AND(Inputs!$B$38&lt;&gt;"pvp",Inputs!$B$43&gt;0),IF(MAX(0,Inputs!$B$43-B1346)&lt;=0,0,(INT(MAX(0,Inputs!$B$43-B1346)/IF(Inputs!$B$38="pvp",15,MAX(0.1,Skills!D5-IF(Skills!E5=TRUE,1.5,0))))+1)),0)</f>
        <v/>
      </c>
      <c r="S1312">
        <f>IFERROR((H1312*N1312*IF(AND(Inputs!$B$38&lt;&gt;"pvp",Inputs!$B$43&gt;0),((Skills!G5*((R1312-1)*IF(Skills!H5&gt;0,Skills!I5/Skills!H5,1)+IF(Skills!H5&gt;0,MIN(Skills!I5,MAX(0,MAX(0,Inputs!$B$43-B1346)-((R1312-1)*IF(Inputs!$B$38="pvp",15,MAX(0.1,Skills!D5-IF(Skills!E5=TRUE,1.5,0))))))/Skills!H5,1)))/Inputs!$B$43),G1312*Q1312))/N1312*IF(Inputs!$B$38="pvp",1,(1-Summary!$B$55)*1+Summary!$B$55*(MIN(Skills!R5,Inputs!$B$37))),0)</f>
        <v/>
      </c>
      <c r="T1312">
        <f>IF(C1312,(H1312*N1312*IF(AND(Inputs!$B$38&lt;&gt;"pvp",Inputs!$B$43&gt;0),((Skills!G5*((R1312-1)*IF(Skills!H5&gt;0,Skills!I5/Skills!H5,1)+IF(Skills!H5&gt;0,MIN(Skills!I5,MAX(0,MAX(0,Inputs!$B$43-B1346)-((R1312-1)*IF(Inputs!$B$38="pvp",15,MAX(0.1,Skills!D5-IF(Skills!E5=TRUE,1.5,0))))))/Skills!H5,1)))/Inputs!$B$43),G1312*Q1312))*IF(Inputs!$B$38="pvp",1,1+(Inputs!$B$20+0+Skills!P5)/100),0)</f>
        <v/>
      </c>
      <c r="V1312">
        <f>IF(C1312,(H1312*N1312*IF(AND(Inputs!$B$38&lt;&gt;"pvp",Inputs!$B$43&gt;0),((Skills!G5*((R1312-1)*IF(Skills!H5&gt;0,Skills!I5/Skills!H5,1)+IF(Skills!H5&gt;0,MIN(Skills!I5,MAX(0,MAX(0,Inputs!$B$43-B1346)-((R1312-1)*IF(Inputs!$B$38="pvp",15,MAX(0.1,Skills!D5-IF(Skills!E5=TRUE,1.5,0))))))/Skills!H5,1)))/Inputs!$B$43),G1312*Q1312))*IF(Inputs!$B$38="pvp",1,(1+(Inputs!$B$21+Skills!Q5)/100)*(MIN(Skills!R5,Inputs!$B$37))),0)</f>
        <v/>
      </c>
    </row>
    <row r="1313">
      <c r="A1313">
        <f>Skills!A6</f>
        <v/>
      </c>
      <c r="B1313">
        <f>Skills!B6</f>
        <v/>
      </c>
      <c r="C1313">
        <f>Inputs!$B$3&gt;=63</f>
        <v/>
      </c>
      <c r="D1313">
        <f>IF(Skills!C6=1,60+Inputs!$B$25+Inputs!$B$29,IF(Skills!C6=2,90+Inputs!$B$26+Inputs!$B$29,IF(Skills!C6=3,120+Inputs!$B$27+Inputs!$B$29,MAX(0,(Inputs!$B$3-100)*3)+Inputs!$B$28+Inputs!$B$29)))</f>
        <v/>
      </c>
      <c r="E1313">
        <f>INDEX(FactorTable!$B$2:$Y$301, MATCH(ROUND(MIN(300,MAX(1,D1313)),0), FactorTable!$A$2:$A$301,0), Skills!M6+1)</f>
        <v/>
      </c>
      <c r="F1313">
        <f>IF(Skills!N6=TRUE,(Skills!L6/10)*(E1313/1000),Skills!L6/10)+Skills!O6</f>
        <v/>
      </c>
      <c r="G1313">
        <f>Skills!G6*IF(Skills!H6&gt;0,Skills!I6/Skills!H6,1)</f>
        <v/>
      </c>
      <c r="H1313">
        <f>1-(1-Skills!J6/100)^Skills!K6</f>
        <v/>
      </c>
      <c r="I1313" t="inlineStr">
        <is>
          <t>1</t>
        </is>
      </c>
      <c r="J1313">
        <f>((Inputs!$B$6*(1+Inputs!$B$7/100))+(((Inputs!$B$12*(1+Inputs!$B$13/100))-(Inputs!$B$12*(1+Inputs!$B$13/100)))+0.25*(Inputs!$B$14-Inputs!$B$14))*(1+Inputs!$B$7/100))*(F1313/100)</f>
        <v/>
      </c>
      <c r="K1313">
        <f>J1313*(1+((Inputs!$B$12*(1+Inputs!$B$13/100))*0.01+Inputs!$B$14*0.0025)/100)*(1+Inputs!$B$15/100)*(1+Inputs!$B$16/100)*(5000/(6000+Inputs!$B$42*(1-(Inputs!$B$19+0)/100)))*(1+(Inputs!$B$24+((C1331=TRUE)*(F1331-Calc!F24))+((C1332=TRUE)*(F1332-Calc!F25))+B1345)/100)*(1+1.0*IF(C1315=TRUE,F1315,0)/100)*(1+(IF(Skills!A6="EMPOWERED_PIERCING_ARROW",Inputs!$B$17+((C1329=TRUE)*(F1329-Calc!F22)),Inputs!$B$18+((C1334=TRUE)*(F1334-Calc!F27))))/100)*((1+(((C1320=TRUE)*F1320)+((C1321=TRUE)*IF(Inputs!$B$38="pvp",F1321,(1-Summary!$B$55)*(F1321)+Summary!$B$55*(0)))+((C1322=TRUE)*F1322*IF(AND(Inputs!$B$38&lt;&gt;"pvp",Inputs!$B$43&gt;0),(((R1322-1)*(Skills!T15*(1+Inputs!$B$34/100))+MIN((Skills!T15*(1+Inputs!$B$34/100)),MAX(0,Inputs!$B$43-((R1322-1)*Skills!D15))))/Inputs!$B$43),IF(Inputs!$B$38="pvp",MIN((Skills!T15*(1+Inputs!$B$34/100)),15)/15,(Skills!T15*(1+Inputs!$B$34/100))/Skills!D15)))+((C1319=TRUE)*F1319)+((C1336=TRUE)*(F1336-Calc!F29)))/100)*I1313)</f>
        <v/>
      </c>
      <c r="L1313">
        <f>K1313*(MIN(Inputs!$B$22+((C1330=TRUE)*(F1330-Calc!F23)),Inputs!$B$23+((C1335=TRUE)*(F1335-Calc!F28)))/100+(Inputs!$B$23+((C1335=TRUE)*(F1335-Calc!F28)))/100)/2</f>
        <v/>
      </c>
      <c r="M1313">
        <f>L1313*(1+(Inputs!$B$10+0+B1344)/100)</f>
        <v/>
      </c>
      <c r="N1313">
        <f>L1313*(1-MIN((Inputs!$B$9+((C1326=TRUE)*(F1326-Calc!F19))+B1339),100)/100)+M1313*(MIN((Inputs!$B$9+((C1326=TRUE)*(F1326-Calc!F19))+B1339),100)/100)</f>
        <v/>
      </c>
      <c r="O1313">
        <f>(1-Summary!$B$55)*T1313+Summary!$B$55*V1313</f>
        <v/>
      </c>
      <c r="P1313">
        <f>IF(B1349=0,0,O1313/B1349)</f>
        <v/>
      </c>
      <c r="Q1313">
        <f>IFERROR(1/IF(Inputs!$B$38="pvp",15,MAX(0.1,Skills!D6-IF(Skills!E6=TRUE,1.5,0))),0)</f>
        <v/>
      </c>
      <c r="R1313">
        <f>IF(AND(Inputs!$B$38&lt;&gt;"pvp",Inputs!$B$43&gt;0),IF(MAX(0,Inputs!$B$43-B1346)&lt;=0,0,(INT(MAX(0,Inputs!$B$43-B1346)/IF(Inputs!$B$38="pvp",15,MAX(0.1,Skills!D6-IF(Skills!E6=TRUE,1.5,0))))+1)),0)</f>
        <v/>
      </c>
      <c r="S1313">
        <f>IFERROR((H1313*N1313*IF(AND(Inputs!$B$38&lt;&gt;"pvp",Inputs!$B$43&gt;0),((Skills!G6*((R1313-1)*IF(Skills!H6&gt;0,Skills!I6/Skills!H6,1)+IF(Skills!H6&gt;0,MIN(Skills!I6,MAX(0,MAX(0,Inputs!$B$43-B1346)-((R1313-1)*IF(Inputs!$B$38="pvp",15,MAX(0.1,Skills!D6-IF(Skills!E6=TRUE,1.5,0))))))/Skills!H6,1)))/Inputs!$B$43),G1313*Q1313))/N1313*IF(Inputs!$B$38="pvp",1,(1-Summary!$B$55)*1+Summary!$B$55*(MIN(Skills!R6,Inputs!$B$37))),0)</f>
        <v/>
      </c>
      <c r="T1313">
        <f>IF(C1313,(H1313*N1313*IF(AND(Inputs!$B$38&lt;&gt;"pvp",Inputs!$B$43&gt;0),((Skills!G6*((R1313-1)*IF(Skills!H6&gt;0,Skills!I6/Skills!H6,1)+IF(Skills!H6&gt;0,MIN(Skills!I6,MAX(0,MAX(0,Inputs!$B$43-B1346)-((R1313-1)*IF(Inputs!$B$38="pvp",15,MAX(0.1,Skills!D6-IF(Skills!E6=TRUE,1.5,0))))))/Skills!H6,1)))/Inputs!$B$43),G1313*Q1313))*IF(Inputs!$B$38="pvp",1,1+(Inputs!$B$20+0+Skills!P6)/100),0)</f>
        <v/>
      </c>
      <c r="V1313">
        <f>IF(C1313,(H1313*N1313*IF(AND(Inputs!$B$38&lt;&gt;"pvp",Inputs!$B$43&gt;0),((Skills!G6*((R1313-1)*IF(Skills!H6&gt;0,Skills!I6/Skills!H6,1)+IF(Skills!H6&gt;0,MIN(Skills!I6,MAX(0,MAX(0,Inputs!$B$43-B1346)-((R1313-1)*IF(Inputs!$B$38="pvp",15,MAX(0.1,Skills!D6-IF(Skills!E6=TRUE,1.5,0))))))/Skills!H6,1)))/Inputs!$B$43),G1313*Q1313))*IF(Inputs!$B$38="pvp",1,(1+(Inputs!$B$21+Skills!Q6)/100)*(MIN(Skills!R6,Inputs!$B$37))),0)</f>
        <v/>
      </c>
    </row>
    <row r="1314">
      <c r="A1314">
        <f>Skills!A7</f>
        <v/>
      </c>
      <c r="B1314">
        <f>Skills!B7</f>
        <v/>
      </c>
      <c r="C1314">
        <f>Inputs!$B$3&gt;=69</f>
        <v/>
      </c>
      <c r="D1314">
        <f>IF(Skills!C7=1,60+Inputs!$B$25+Inputs!$B$29,IF(Skills!C7=2,90+Inputs!$B$26+Inputs!$B$29,IF(Skills!C7=3,120+Inputs!$B$27+Inputs!$B$29,MAX(0,(Inputs!$B$3-100)*3)+Inputs!$B$28+Inputs!$B$29)))</f>
        <v/>
      </c>
      <c r="E1314">
        <f>INDEX(FactorTable!$B$2:$Y$301, MATCH(ROUND(MIN(300,MAX(1,D1314)),0), FactorTable!$A$2:$A$301,0), Skills!M7+1)</f>
        <v/>
      </c>
      <c r="F1314">
        <f>IF(Skills!N7=TRUE,(Skills!L7/10)*(E1314/1000),Skills!L7/10)+Skills!O7</f>
        <v/>
      </c>
      <c r="G1314">
        <f>Skills!G7*IF(Skills!H7&gt;0,Skills!I7/Skills!H7,1)</f>
        <v/>
      </c>
      <c r="H1314">
        <f>1-(1-Skills!J7/100)^Skills!K7</f>
        <v/>
      </c>
      <c r="I1314" t="inlineStr">
        <is>
          <t>1</t>
        </is>
      </c>
      <c r="J1314">
        <f>((Inputs!$B$6*(1+Inputs!$B$7/100))+(((Inputs!$B$12*(1+Inputs!$B$13/100))-(Inputs!$B$12*(1+Inputs!$B$13/100)))+0.25*(Inputs!$B$14-Inputs!$B$14))*(1+Inputs!$B$7/100))*(F1314/100)</f>
        <v/>
      </c>
      <c r="K1314">
        <f>J1314*(1+((Inputs!$B$12*(1+Inputs!$B$13/100))*0.01+Inputs!$B$14*0.0025)/100)*(1+Inputs!$B$15/100)*(1+Inputs!$B$16/100)*(5000/(6000+Inputs!$B$42*(1-(Inputs!$B$19+0)/100)))*(1+(Inputs!$B$24+((C1331=TRUE)*(F1331-Calc!F24))+((C1332=TRUE)*(F1332-Calc!F25))+B1345)/100)*(1+1.2*IF(C1315=TRUE,F1315,0)/100)*(1+(IF(Skills!A7="EMPOWERED_PIERCING_ARROW",Inputs!$B$17+((C1329=TRUE)*(F1329-Calc!F22)),Inputs!$B$18+((C1334=TRUE)*(F1334-Calc!F27))))/100)*((1+(((C1320=TRUE)*F1320)+((C1321=TRUE)*IF(Inputs!$B$38="pvp",F1321,(1-Summary!$B$55)*(F1321)+Summary!$B$55*(0)))+((C1322=TRUE)*F1322*IF(AND(Inputs!$B$38&lt;&gt;"pvp",Inputs!$B$43&gt;0),(((R1322-1)*(Skills!T15*(1+Inputs!$B$34/100))+MIN((Skills!T15*(1+Inputs!$B$34/100)),MAX(0,Inputs!$B$43-((R1322-1)*Skills!D15))))/Inputs!$B$43),IF(Inputs!$B$38="pvp",MIN((Skills!T15*(1+Inputs!$B$34/100)),15)/15,(Skills!T15*(1+Inputs!$B$34/100))/Skills!D15)))+((C1319=TRUE)*F1319)+((C1336=TRUE)*(F1336-Calc!F29)))/100)*I1314)</f>
        <v/>
      </c>
      <c r="L1314">
        <f>K1314*(MIN(Inputs!$B$22+((C1330=TRUE)*(F1330-Calc!F23)),Inputs!$B$23+((C1335=TRUE)*(F1335-Calc!F28)))/100+(Inputs!$B$23+((C1335=TRUE)*(F1335-Calc!F28)))/100)/2</f>
        <v/>
      </c>
      <c r="M1314">
        <f>L1314*(1+(Inputs!$B$10+0+B1344)/100)</f>
        <v/>
      </c>
      <c r="N1314">
        <f>L1314*(1-MIN((Inputs!$B$9+((C1326=TRUE)*(F1326-Calc!F19))+B1339),100)/100)+M1314*(MIN((Inputs!$B$9+((C1326=TRUE)*(F1326-Calc!F19))+B1339),100)/100)</f>
        <v/>
      </c>
      <c r="O1314">
        <f>(1-Summary!$B$55)*T1314+Summary!$B$55*V1314</f>
        <v/>
      </c>
      <c r="P1314">
        <f>IF(B1349=0,0,O1314/B1349)</f>
        <v/>
      </c>
      <c r="Q1314">
        <f>IFERROR(1/IF(Inputs!$B$38="pvp",15,MAX(0.1,Skills!D7-IF(Skills!E7=TRUE,1.5,0))),0)</f>
        <v/>
      </c>
      <c r="R1314">
        <f>IF(AND(Inputs!$B$38&lt;&gt;"pvp",Inputs!$B$43&gt;0),IF(MAX(0,Inputs!$B$43-B1346)&lt;=0,0,(INT(MAX(0,Inputs!$B$43-B1346)/IF(Inputs!$B$38="pvp",15,MAX(0.1,Skills!D7-IF(Skills!E7=TRUE,1.5,0))))+1)),0)</f>
        <v/>
      </c>
      <c r="S1314">
        <f>IFERROR((H1314*N1314*IF(AND(Inputs!$B$38&lt;&gt;"pvp",Inputs!$B$43&gt;0),((Skills!G7*((R1314-1)*IF(Skills!H7&gt;0,Skills!I7/Skills!H7,1)+IF(Skills!H7&gt;0,MIN(Skills!I7,MAX(0,MAX(0,Inputs!$B$43-B1346)-((R1314-1)*IF(Inputs!$B$38="pvp",15,MAX(0.1,Skills!D7-IF(Skills!E7=TRUE,1.5,0))))))/Skills!H7,1)))/Inputs!$B$43),G1314*Q1314))/N1314*IF(Inputs!$B$38="pvp",1,(1-Summary!$B$55)*1+Summary!$B$55*(MIN(Skills!R7,Inputs!$B$37))),0)</f>
        <v/>
      </c>
      <c r="T1314">
        <f>IF(C1314,(H1314*N1314*IF(AND(Inputs!$B$38&lt;&gt;"pvp",Inputs!$B$43&gt;0),((Skills!G7*((R1314-1)*IF(Skills!H7&gt;0,Skills!I7/Skills!H7,1)+IF(Skills!H7&gt;0,MIN(Skills!I7,MAX(0,MAX(0,Inputs!$B$43-B1346)-((R1314-1)*IF(Inputs!$B$38="pvp",15,MAX(0.1,Skills!D7-IF(Skills!E7=TRUE,1.5,0))))))/Skills!H7,1)))/Inputs!$B$43),G1314*Q1314))*IF(Inputs!$B$38="pvp",1,1+(Inputs!$B$20+0+Skills!P7)/100),0)</f>
        <v/>
      </c>
      <c r="V1314">
        <f>IF(C1314,(H1314*N1314*IF(AND(Inputs!$B$38&lt;&gt;"pvp",Inputs!$B$43&gt;0),((Skills!G7*((R1314-1)*IF(Skills!H7&gt;0,Skills!I7/Skills!H7,1)+IF(Skills!H7&gt;0,MIN(Skills!I7,MAX(0,MAX(0,Inputs!$B$43-B1346)-((R1314-1)*IF(Inputs!$B$38="pvp",15,MAX(0.1,Skills!D7-IF(Skills!E7=TRUE,1.5,0))))))/Skills!H7,1)))/Inputs!$B$43),G1314*Q1314))*IF(Inputs!$B$38="pvp",1,(1+(Inputs!$B$21+Skills!Q7)/100)*(MIN(Skills!R7,Inputs!$B$37))),0)</f>
        <v/>
      </c>
    </row>
    <row r="1315">
      <c r="A1315">
        <f>Skills!A8</f>
        <v/>
      </c>
      <c r="B1315">
        <f>Skills!B8</f>
        <v/>
      </c>
      <c r="C1315">
        <f>Inputs!$B$3&gt;=100</f>
        <v/>
      </c>
      <c r="D1315">
        <f>IF(Skills!C8=1,60+Inputs!$B$25+Inputs!$B$29,IF(Skills!C8=2,90+Inputs!$B$26+Inputs!$B$29,IF(Skills!C8=3,120+Inputs!$B$27+Inputs!$B$29,MAX(0,(Inputs!$B$3-100)*3)+Inputs!$B$28+Inputs!$B$29)))</f>
        <v/>
      </c>
      <c r="E1315">
        <f>INDEX(FactorTable!$B$2:$Y$301, MATCH(ROUND(MIN(300,MAX(1,D1315)),0), FactorTable!$A$2:$A$301,0), Skills!M8+1)</f>
        <v/>
      </c>
      <c r="F1315">
        <f>IF(Skills!N8=TRUE,(Skills!L8/10)*(E1315/1000),Skills!L8/10)+Skills!O8</f>
        <v/>
      </c>
      <c r="G1315" t="inlineStr"/>
      <c r="H1315" t="inlineStr"/>
      <c r="I1315" t="inlineStr">
        <is>
          <t>1</t>
        </is>
      </c>
      <c r="J1315" t="inlineStr"/>
      <c r="K1315" t="inlineStr"/>
      <c r="L1315" t="inlineStr"/>
      <c r="M1315" t="inlineStr"/>
      <c r="N1315" t="inlineStr"/>
      <c r="O1315" t="inlineStr"/>
      <c r="P1315" t="inlineStr"/>
      <c r="Q1315" t="inlineStr"/>
      <c r="R1315" t="inlineStr"/>
      <c r="S1315" t="inlineStr"/>
      <c r="T1315" t="inlineStr"/>
      <c r="V1315" t="inlineStr"/>
    </row>
    <row r="1316">
      <c r="A1316">
        <f>Skills!A9</f>
        <v/>
      </c>
      <c r="B1316">
        <f>Skills!B9</f>
        <v/>
      </c>
      <c r="C1316">
        <f>Inputs!$B$3&gt;=103</f>
        <v/>
      </c>
      <c r="D1316">
        <f>IF(Skills!C9=1,60+Inputs!$B$25+Inputs!$B$29,IF(Skills!C9=2,90+Inputs!$B$26+Inputs!$B$29,IF(Skills!C9=3,120+Inputs!$B$27+Inputs!$B$29,MAX(0,(Inputs!$B$3-100)*3)+Inputs!$B$28+Inputs!$B$29)))</f>
        <v/>
      </c>
      <c r="E1316">
        <f>INDEX(FactorTable!$B$2:$Y$301, MATCH(ROUND(MIN(300,MAX(1,D1316)),0), FactorTable!$A$2:$A$301,0), Skills!M9+1)</f>
        <v/>
      </c>
      <c r="F1316">
        <f>IF(Skills!N9=TRUE,(Skills!L9/10)*(E1316/1000),Skills!L9/10)+Skills!O9</f>
        <v/>
      </c>
      <c r="G1316">
        <f>Skills!G9*IF(Skills!H9&gt;0,Skills!I9/Skills!H9,1)</f>
        <v/>
      </c>
      <c r="H1316">
        <f>1-(1-Skills!J9/100)^Skills!K9</f>
        <v/>
      </c>
      <c r="I1316" t="inlineStr">
        <is>
          <t>1</t>
        </is>
      </c>
      <c r="J1316">
        <f>((Inputs!$B$6*(1+Inputs!$B$7/100))+(((Inputs!$B$12*(1+Inputs!$B$13/100))-(Inputs!$B$12*(1+Inputs!$B$13/100)))+0.25*(Inputs!$B$14-Inputs!$B$14))*(1+Inputs!$B$7/100))*(F1316/100)</f>
        <v/>
      </c>
      <c r="K1316">
        <f>J1316*(1+((Inputs!$B$12*(1+Inputs!$B$13/100))*0.01+Inputs!$B$14*0.0025)/100)*(1+Inputs!$B$15/100)*(1+Inputs!$B$16/100)*(5000/(6000+Inputs!$B$42*(1-(Inputs!$B$19+0)/100)))*(1+(Inputs!$B$24+((C1331=TRUE)*(F1331-Calc!F24))+((C1332=TRUE)*(F1332-Calc!F25))+B1345)/100)*(1+(IF(Skills!A9="EMPOWERED_PIERCING_ARROW",Inputs!$B$17+((C1329=TRUE)*(F1329-Calc!F22)),Inputs!$B$18+((C1334=TRUE)*(F1334-Calc!F27))))/100)*((1+(((C1320=TRUE)*F1320)+((C1321=TRUE)*IF(Inputs!$B$38="pvp",F1321,(1-Summary!$B$55)*(F1321)+Summary!$B$55*(0)))+((C1322=TRUE)*F1322*IF(AND(Inputs!$B$38&lt;&gt;"pvp",Inputs!$B$43&gt;0),(((R1322-1)*(Skills!T15*(1+Inputs!$B$34/100))+MIN((Skills!T15*(1+Inputs!$B$34/100)),MAX(0,Inputs!$B$43-((R1322-1)*Skills!D15))))/Inputs!$B$43),IF(Inputs!$B$38="pvp",MIN((Skills!T15*(1+Inputs!$B$34/100)),15)/15,(Skills!T15*(1+Inputs!$B$34/100))/Skills!D15)))+((C1319=TRUE)*F1319)+((C1336=TRUE)*(F1336-Calc!F29)))/100)*I1316)</f>
        <v/>
      </c>
      <c r="L1316">
        <f>K1316*(MIN(Inputs!$B$22+((C1330=TRUE)*(F1330-Calc!F23)),Inputs!$B$23+((C1335=TRUE)*(F1335-Calc!F28)))/100+(Inputs!$B$23+((C1335=TRUE)*(F1335-Calc!F28)))/100)/2</f>
        <v/>
      </c>
      <c r="M1316">
        <f>L1316*(1+(Inputs!$B$10+0+B1344)/100)</f>
        <v/>
      </c>
      <c r="N1316">
        <f>L1316*(1-MIN((Inputs!$B$9+((C1326=TRUE)*(F1326-Calc!F19))+B1339),100)/100)+M1316*(MIN((Inputs!$B$9+((C1326=TRUE)*(F1326-Calc!F19))+B1339),100)/100)</f>
        <v/>
      </c>
      <c r="O1316">
        <f>(1-Summary!$B$55)*T1316+Summary!$B$55*V1316</f>
        <v/>
      </c>
      <c r="P1316">
        <f>IF(B1349=0,0,O1316/B1349)</f>
        <v/>
      </c>
      <c r="Q1316">
        <f>IFERROR(1/IF(Inputs!$B$38="pvp",15,MAX(0.1,Skills!D9-IF(Skills!E9=TRUE,1.5,0))),0)</f>
        <v/>
      </c>
      <c r="R1316">
        <f>IF(AND(Inputs!$B$38&lt;&gt;"pvp",Inputs!$B$43&gt;0),IF(MAX(0,Inputs!$B$43-B1346)&lt;=0,0,(INT(MAX(0,Inputs!$B$43-B1346)/IF(Inputs!$B$38="pvp",15,MAX(0.1,Skills!D9-IF(Skills!E9=TRUE,1.5,0))))+1)),0)</f>
        <v/>
      </c>
      <c r="S1316">
        <f>IFERROR((H1316*N1316*IF(AND(Inputs!$B$38&lt;&gt;"pvp",Inputs!$B$43&gt;0),((Skills!G9*((R1316-1)*IF(Skills!H9&gt;0,Skills!I9/Skills!H9,1)+IF(Skills!H9&gt;0,MIN(Skills!I9,MAX(0,MAX(0,Inputs!$B$43-B1346)-((R1316-1)*IF(Inputs!$B$38="pvp",15,MAX(0.1,Skills!D9-IF(Skills!E9=TRUE,1.5,0))))))/Skills!H9,1)))/Inputs!$B$43),G1316*Q1316))/N1316*IF(Inputs!$B$38="pvp",1,(1-Summary!$B$55)*1+Summary!$B$55*(MIN(Skills!R9,Inputs!$B$37))),0)</f>
        <v/>
      </c>
      <c r="T1316">
        <f>IF(C1316,(H1316*N1316*IF(AND(Inputs!$B$38&lt;&gt;"pvp",Inputs!$B$43&gt;0),((Skills!G9*((R1316-1)*IF(Skills!H9&gt;0,Skills!I9/Skills!H9,1)+IF(Skills!H9&gt;0,MIN(Skills!I9,MAX(0,MAX(0,Inputs!$B$43-B1346)-((R1316-1)*IF(Inputs!$B$38="pvp",15,MAX(0.1,Skills!D9-IF(Skills!E9=TRUE,1.5,0))))))/Skills!H9,1)))/Inputs!$B$43),G1316*Q1316))*IF(Inputs!$B$38="pvp",1,1+(Inputs!$B$20+0+Skills!P9)/100),0)</f>
        <v/>
      </c>
      <c r="V1316">
        <f>IF(C1316,(H1316*N1316*IF(AND(Inputs!$B$38&lt;&gt;"pvp",Inputs!$B$43&gt;0),((Skills!G9*((R1316-1)*IF(Skills!H9&gt;0,Skills!I9/Skills!H9,1)+IF(Skills!H9&gt;0,MIN(Skills!I9,MAX(0,MAX(0,Inputs!$B$43-B1346)-((R1316-1)*IF(Inputs!$B$38="pvp",15,MAX(0.1,Skills!D9-IF(Skills!E9=TRUE,1.5,0))))))/Skills!H9,1)))/Inputs!$B$43),G1316*Q1316))*IF(Inputs!$B$38="pvp",1,(1+(Inputs!$B$21+Skills!Q9)/100)*(MIN(Skills!R9,Inputs!$B$37))),0)</f>
        <v/>
      </c>
    </row>
    <row r="1317">
      <c r="A1317">
        <f>Skills!A10</f>
        <v/>
      </c>
      <c r="B1317">
        <f>Skills!B10</f>
        <v/>
      </c>
      <c r="C1317">
        <f>Inputs!$B$3&gt;=107</f>
        <v/>
      </c>
      <c r="D1317">
        <f>IF(Skills!C10=1,60+Inputs!$B$25+Inputs!$B$29,IF(Skills!C10=2,90+Inputs!$B$26+Inputs!$B$29,IF(Skills!C10=3,120+Inputs!$B$27+Inputs!$B$29,MAX(0,(Inputs!$B$3-100)*3)+Inputs!$B$28+Inputs!$B$29)))</f>
        <v/>
      </c>
      <c r="E1317">
        <f>INDEX(FactorTable!$B$2:$Y$301, MATCH(ROUND(MIN(300,MAX(1,D1317)),0), FactorTable!$A$2:$A$301,0), Skills!M10+1)</f>
        <v/>
      </c>
      <c r="F1317">
        <f>IF(Skills!N10=TRUE,(Skills!L10/10)*(E1317/1000),Skills!L10/10)+Skills!O10</f>
        <v/>
      </c>
      <c r="G1317">
        <f>Skills!G10*IF(Skills!H10&gt;0,Skills!I10/Skills!H10,1)</f>
        <v/>
      </c>
      <c r="H1317">
        <f>1-(1-Skills!J10/100)^Skills!K10</f>
        <v/>
      </c>
      <c r="I1317" t="inlineStr">
        <is>
          <t>1</t>
        </is>
      </c>
      <c r="J1317">
        <f>((Inputs!$B$6*(1+Inputs!$B$7/100))+(((Inputs!$B$12*(1+Inputs!$B$13/100))-(Inputs!$B$12*(1+Inputs!$B$13/100)))+0.25*(Inputs!$B$14-Inputs!$B$14))*(1+Inputs!$B$7/100))*(F1317/100)</f>
        <v/>
      </c>
      <c r="K1317">
        <f>J1317*(1+((Inputs!$B$12*(1+Inputs!$B$13/100))*0.01+Inputs!$B$14*0.0025)/100)*(1+Inputs!$B$15/100)*(1+Inputs!$B$16/100)*(5000/(6000+Inputs!$B$42*(1-(Inputs!$B$19+0)/100)))*(1+(Inputs!$B$24+((C1331=TRUE)*(F1331-Calc!F24))+((C1332=TRUE)*(F1332-Calc!F25))+B1345)/100)*(1+(IF(Skills!A10="EMPOWERED_PIERCING_ARROW",Inputs!$B$17+((C1329=TRUE)*(F1329-Calc!F22)),Inputs!$B$18+((C1334=TRUE)*(F1334-Calc!F27))))/100)*((1+(((C1320=TRUE)*F1320)+((C1321=TRUE)*IF(Inputs!$B$38="pvp",F1321,(1-Summary!$B$55)*(F1321)+Summary!$B$55*(0)))+((C1322=TRUE)*F1322*IF(AND(Inputs!$B$38&lt;&gt;"pvp",Inputs!$B$43&gt;0),(((R1322-1)*(Skills!T15*(1+Inputs!$B$34/100))+MIN((Skills!T15*(1+Inputs!$B$34/100)),MAX(0,Inputs!$B$43-((R1322-1)*Skills!D15))))/Inputs!$B$43),IF(Inputs!$B$38="pvp",MIN((Skills!T15*(1+Inputs!$B$34/100)),15)/15,(Skills!T15*(1+Inputs!$B$34/100))/Skills!D15)))+((C1319=TRUE)*F1319)+((C1336=TRUE)*(F1336-Calc!F29)))/100)*I1317)</f>
        <v/>
      </c>
      <c r="L1317">
        <f>K1317*(MIN(Inputs!$B$22+((C1330=TRUE)*(F1330-Calc!F23)),Inputs!$B$23+((C1335=TRUE)*(F1335-Calc!F28)))/100+(Inputs!$B$23+((C1335=TRUE)*(F1335-Calc!F28)))/100)/2</f>
        <v/>
      </c>
      <c r="M1317">
        <f>L1317*(1+(Inputs!$B$10+0+B1344)/100)</f>
        <v/>
      </c>
      <c r="N1317">
        <f>L1317*(1-MIN((Inputs!$B$9+((C1326=TRUE)*(F1326-Calc!F19))+B1339),100)/100)+M1317*(MIN((Inputs!$B$9+((C1326=TRUE)*(F1326-Calc!F19))+B1339),100)/100)</f>
        <v/>
      </c>
      <c r="O1317">
        <f>(1-Summary!$B$55)*T1317+Summary!$B$55*V1317</f>
        <v/>
      </c>
      <c r="P1317">
        <f>IF(B1349=0,0,O1317/B1349)</f>
        <v/>
      </c>
      <c r="Q1317" t="n">
        <v>0</v>
      </c>
      <c r="R1317" t="n">
        <v>0</v>
      </c>
      <c r="S1317" t="n">
        <v>0</v>
      </c>
      <c r="T1317">
        <f>IF(C1317,(0.15*SUMPRODUCT((Skills!U2:U29=TRUE)*(C1309:C1336=TRUE)*S1309:S1336)*Skills!G10*N1317)*IF(Inputs!$B$38="pvp",1,1+(Inputs!$B$20+0+Skills!P10)/100),0)</f>
        <v/>
      </c>
      <c r="V1317">
        <f>IF(C1317,(0.15*SUMPRODUCT((Skills!U2:U29=TRUE)*(C1309:C1336=TRUE)*S1309:S1336)*Skills!G10*N1317)*IF(Inputs!$B$38="pvp",1,(1+(Inputs!$B$21+Skills!Q10)/100)*(MIN(Skills!R10,Inputs!$B$37))),0)</f>
        <v/>
      </c>
    </row>
    <row r="1318">
      <c r="A1318">
        <f>Skills!A11</f>
        <v/>
      </c>
      <c r="B1318">
        <f>Skills!B11</f>
        <v/>
      </c>
      <c r="C1318">
        <f>Inputs!$B$3&gt;=110</f>
        <v/>
      </c>
      <c r="D1318">
        <f>IF(Skills!C11=1,60+Inputs!$B$25+Inputs!$B$29,IF(Skills!C11=2,90+Inputs!$B$26+Inputs!$B$29,IF(Skills!C11=3,120+Inputs!$B$27+Inputs!$B$29,MAX(0,(Inputs!$B$3-100)*3)+Inputs!$B$28+Inputs!$B$29)))</f>
        <v/>
      </c>
      <c r="E1318">
        <f>INDEX(FactorTable!$B$2:$Y$301, MATCH(ROUND(MIN(300,MAX(1,D1318)),0), FactorTable!$A$2:$A$301,0), Skills!M11+1)</f>
        <v/>
      </c>
      <c r="F1318">
        <f>IF(Skills!N11=TRUE,(Skills!L11/10)*(E1318/1000),Skills!L11/10)+Skills!O11</f>
        <v/>
      </c>
      <c r="G1318">
        <f>Skills!G11*IF(Skills!H11&gt;0,Skills!I11/Skills!H11,1)</f>
        <v/>
      </c>
      <c r="H1318">
        <f>1-(1-Skills!J11/100)^Skills!K11</f>
        <v/>
      </c>
      <c r="I1318" t="inlineStr">
        <is>
          <t>1</t>
        </is>
      </c>
      <c r="J1318">
        <f>((Inputs!$B$6*(1+Inputs!$B$7/100))+(((Inputs!$B$12*(1+Inputs!$B$13/100))-(Inputs!$B$12*(1+Inputs!$B$13/100)))+0.25*(Inputs!$B$14-Inputs!$B$14))*(1+Inputs!$B$7/100))*(F1318/100)</f>
        <v/>
      </c>
      <c r="K1318">
        <f>J1318*(1+((Inputs!$B$12*(1+Inputs!$B$13/100))*0.01+Inputs!$B$14*0.0025)/100)*(1+Inputs!$B$15/100)*(1+Inputs!$B$16/100)*(5000/(6000+Inputs!$B$42*(1-(Inputs!$B$19+0)/100)))*(1+(Inputs!$B$24+((C1331=TRUE)*(F1331-Calc!F24))+((C1332=TRUE)*(F1332-Calc!F25))+B1345)/100)*(1+(IF(Skills!A11="EMPOWERED_PIERCING_ARROW",Inputs!$B$17+((C1329=TRUE)*(F1329-Calc!F22)),Inputs!$B$18+((C1334=TRUE)*(F1334-Calc!F27))))/100)*((1+(((C1320=TRUE)*F1320)+((C1321=TRUE)*IF(Inputs!$B$38="pvp",F1321,(1-Summary!$B$55)*(F1321)+Summary!$B$55*(0)))+((C1322=TRUE)*F1322*IF(AND(Inputs!$B$38&lt;&gt;"pvp",Inputs!$B$43&gt;0),(((R1322-1)*(Skills!T15*(1+Inputs!$B$34/100))+MIN((Skills!T15*(1+Inputs!$B$34/100)),MAX(0,Inputs!$B$43-((R1322-1)*Skills!D15))))/Inputs!$B$43),IF(Inputs!$B$38="pvp",MIN((Skills!T15*(1+Inputs!$B$34/100)),15)/15,(Skills!T15*(1+Inputs!$B$34/100))/Skills!D15)))+((C1319=TRUE)*F1319)+((C1336=TRUE)*(F1336-Calc!F29)))/100)*I1318)</f>
        <v/>
      </c>
      <c r="L1318">
        <f>K1318*(MIN(Inputs!$B$22+((C1330=TRUE)*(F1330-Calc!F23)),Inputs!$B$23+((C1335=TRUE)*(F1335-Calc!F28)))/100+(Inputs!$B$23+((C1335=TRUE)*(F1335-Calc!F28)))/100)/2</f>
        <v/>
      </c>
      <c r="M1318">
        <f>L1318*(1+(Inputs!$B$10+0+B1344)/100)</f>
        <v/>
      </c>
      <c r="N1318">
        <f>L1318*(1-MIN((Inputs!$B$9+((C1326=TRUE)*(F1326-Calc!F19))+B1339),100)/100)+M1318*(MIN((Inputs!$B$9+((C1326=TRUE)*(F1326-Calc!F19))+B1339),100)/100)</f>
        <v/>
      </c>
      <c r="O1318">
        <f>(1-Summary!$B$55)*T1318+Summary!$B$55*V1318</f>
        <v/>
      </c>
      <c r="P1318">
        <f>IF(B1349=0,0,O1318/B1349)</f>
        <v/>
      </c>
      <c r="Q1318">
        <f>IFERROR(1/IF(Inputs!$B$38="pvp",15,MAX(0.1,Skills!D11-IF(Skills!E11=TRUE,1.5,0))),0)</f>
        <v/>
      </c>
      <c r="R1318">
        <f>IF(AND(Inputs!$B$38&lt;&gt;"pvp",Inputs!$B$43&gt;0),IF(MAX(0,Inputs!$B$43-B1346)&lt;=0,0,(INT(MAX(0,Inputs!$B$43-B1346)/IF(Inputs!$B$38="pvp",15,MAX(0.1,Skills!D11-IF(Skills!E11=TRUE,1.5,0))))+1)),0)</f>
        <v/>
      </c>
      <c r="S1318">
        <f>IFERROR((H1318*N1318*IF(AND(Inputs!$B$38&lt;&gt;"pvp",Inputs!$B$43&gt;0),((Skills!G11*((R1318-1)*IF(Skills!H11&gt;0,Skills!I11/Skills!H11,1)+IF(Skills!H11&gt;0,MIN(Skills!I11,MAX(0,MAX(0,Inputs!$B$43-B1346)-((R1318-1)*IF(Inputs!$B$38="pvp",15,MAX(0.1,Skills!D11-IF(Skills!E11=TRUE,1.5,0))))))/Skills!H11,1)))/Inputs!$B$43),G1318*Q1318))/N1318*IF(Inputs!$B$38="pvp",1,(1-Summary!$B$55)*1+Summary!$B$55*(MIN(Skills!R11,Inputs!$B$37))),0)</f>
        <v/>
      </c>
      <c r="T1318">
        <f>IF(C1318,(H1318*N1318*IF(AND(Inputs!$B$38&lt;&gt;"pvp",Inputs!$B$43&gt;0),((Skills!G11*((R1318-1)*IF(Skills!H11&gt;0,Skills!I11/Skills!H11,1)+IF(Skills!H11&gt;0,MIN(Skills!I11,MAX(0,MAX(0,Inputs!$B$43-B1346)-((R1318-1)*IF(Inputs!$B$38="pvp",15,MAX(0.1,Skills!D11-IF(Skills!E11=TRUE,1.5,0))))))/Skills!H11,1)))/Inputs!$B$43),G1318*Q1318))*IF(Inputs!$B$38="pvp",1,1+(Inputs!$B$20+0+Skills!P11)/100),0)</f>
        <v/>
      </c>
      <c r="V1318">
        <f>IF(C1318,(H1318*N1318*IF(AND(Inputs!$B$38&lt;&gt;"pvp",Inputs!$B$43&gt;0),((Skills!G11*((R1318-1)*IF(Skills!H11&gt;0,Skills!I11/Skills!H11,1)+IF(Skills!H11&gt;0,MIN(Skills!I11,MAX(0,MAX(0,Inputs!$B$43-B1346)-((R1318-1)*IF(Inputs!$B$38="pvp",15,MAX(0.1,Skills!D11-IF(Skills!E11=TRUE,1.5,0))))))/Skills!H11,1)))/Inputs!$B$43),G1318*Q1318))*IF(Inputs!$B$38="pvp",1,(1+(Inputs!$B$21+Skills!Q11)/100)*(MIN(Skills!R11,Inputs!$B$37))),0)</f>
        <v/>
      </c>
    </row>
    <row r="1319">
      <c r="A1319">
        <f>Skills!A12</f>
        <v/>
      </c>
      <c r="B1319">
        <f>Skills!B12</f>
        <v/>
      </c>
      <c r="C1319">
        <f>Inputs!$B$3&gt;=60</f>
        <v/>
      </c>
      <c r="D1319">
        <f>IF(Skills!C12=1,60+Inputs!$B$25+Inputs!$B$29,IF(Skills!C12=2,90+Inputs!$B$26+Inputs!$B$29,IF(Skills!C12=3,120+Inputs!$B$27+Inputs!$B$29,MAX(0,(Inputs!$B$3-100)*3)+Inputs!$B$28+Inputs!$B$29)))</f>
        <v/>
      </c>
      <c r="E1319">
        <f>INDEX(FactorTable!$B$2:$Y$301, MATCH(ROUND(MIN(300,MAX(1,D1319)),0), FactorTable!$A$2:$A$301,0), Skills!M12+1)</f>
        <v/>
      </c>
      <c r="F1319">
        <f>IF(Skills!N12=TRUE,(Skills!L12/10)*(E1319/1000),Skills!L12/10)+Skills!O12</f>
        <v/>
      </c>
      <c r="G1319">
        <f>Skills!G12*IF(Skills!H12&gt;0,Skills!I12/Skills!H12,1)</f>
        <v/>
      </c>
      <c r="H1319">
        <f>1-(1-Skills!J12/100)^Skills!K12</f>
        <v/>
      </c>
      <c r="I1319" t="inlineStr">
        <is>
          <t>1</t>
        </is>
      </c>
      <c r="J1319" t="inlineStr"/>
      <c r="K1319" t="inlineStr"/>
      <c r="L1319" t="inlineStr"/>
      <c r="M1319" t="inlineStr"/>
      <c r="N1319" t="inlineStr"/>
      <c r="O1319">
        <f>(1-Summary!$B$55)*T1319+Summary!$B$55*V1319</f>
        <v/>
      </c>
      <c r="P1319">
        <f>IF(B1349=0,0,O1319/B1349)</f>
        <v/>
      </c>
      <c r="Q1319" t="n">
        <v>0</v>
      </c>
      <c r="R1319" t="n">
        <v>0</v>
      </c>
      <c r="S1319" t="n">
        <v>0</v>
      </c>
      <c r="T1319" t="n">
        <v>0</v>
      </c>
      <c r="V1319" t="n">
        <v>0</v>
      </c>
    </row>
    <row r="1320">
      <c r="A1320">
        <f>Skills!A13</f>
        <v/>
      </c>
      <c r="B1320">
        <f>Skills!B13</f>
        <v/>
      </c>
      <c r="C1320">
        <f>Inputs!$B$3&gt;=74</f>
        <v/>
      </c>
      <c r="D1320">
        <f>IF(Skills!C13=1,60+Inputs!$B$25+Inputs!$B$29,IF(Skills!C13=2,90+Inputs!$B$26+Inputs!$B$29,IF(Skills!C13=3,120+Inputs!$B$27+Inputs!$B$29,MAX(0,(Inputs!$B$3-100)*3)+Inputs!$B$28+Inputs!$B$29)))</f>
        <v/>
      </c>
      <c r="E1320">
        <f>INDEX(FactorTable!$B$2:$Y$301, MATCH(ROUND(MIN(300,MAX(1,D1320)),0), FactorTable!$A$2:$A$301,0), Skills!M13+1)</f>
        <v/>
      </c>
      <c r="F1320">
        <f>IF(Skills!N13=TRUE,(Skills!L13/10)*(E1320/1000),Skills!L13/10)+Skills!O13</f>
        <v/>
      </c>
      <c r="G1320">
        <f>Skills!G13*IF(Skills!H13&gt;0,Skills!I13/Skills!H13,1)</f>
        <v/>
      </c>
      <c r="H1320">
        <f>1-(1-Skills!J13/100)^Skills!K13</f>
        <v/>
      </c>
      <c r="I1320" t="inlineStr">
        <is>
          <t>1</t>
        </is>
      </c>
      <c r="J1320" t="inlineStr"/>
      <c r="K1320" t="inlineStr"/>
      <c r="L1320" t="inlineStr"/>
      <c r="M1320" t="inlineStr"/>
      <c r="N1320" t="inlineStr"/>
      <c r="O1320">
        <f>(1-Summary!$B$55)*T1320+Summary!$B$55*V1320</f>
        <v/>
      </c>
      <c r="P1320">
        <f>IF(B1349=0,0,O1320/B1349)</f>
        <v/>
      </c>
      <c r="Q1320" t="n">
        <v>0</v>
      </c>
      <c r="R1320" t="n">
        <v>0</v>
      </c>
      <c r="S1320" t="n">
        <v>0</v>
      </c>
      <c r="T1320" t="n">
        <v>0</v>
      </c>
      <c r="V1320" t="n">
        <v>0</v>
      </c>
    </row>
    <row r="1321">
      <c r="A1321">
        <f>Skills!A14</f>
        <v/>
      </c>
      <c r="B1321">
        <f>Skills!B14</f>
        <v/>
      </c>
      <c r="C1321">
        <f>Inputs!$B$3&gt;=74</f>
        <v/>
      </c>
      <c r="D1321">
        <f>IF(Skills!C14=1,60+Inputs!$B$25+Inputs!$B$29,IF(Skills!C14=2,90+Inputs!$B$26+Inputs!$B$29,IF(Skills!C14=3,120+Inputs!$B$27+Inputs!$B$29,MAX(0,(Inputs!$B$3-100)*3)+Inputs!$B$28+Inputs!$B$29)))</f>
        <v/>
      </c>
      <c r="E1321">
        <f>INDEX(FactorTable!$B$2:$Y$301, MATCH(ROUND(MIN(300,MAX(1,D1321)),0), FactorTable!$A$2:$A$301,0), Skills!M14+1)</f>
        <v/>
      </c>
      <c r="F1321">
        <f>IF(Skills!N14=TRUE,(Skills!L14/10)*(E1321/1000),Skills!L14/10)+Skills!O14</f>
        <v/>
      </c>
      <c r="G1321">
        <f>Skills!G14*IF(Skills!H14&gt;0,Skills!I14/Skills!H14,1)</f>
        <v/>
      </c>
      <c r="H1321">
        <f>1-(1-Skills!J14/100)^Skills!K14</f>
        <v/>
      </c>
      <c r="I1321" t="inlineStr">
        <is>
          <t>1</t>
        </is>
      </c>
      <c r="J1321" t="inlineStr"/>
      <c r="K1321" t="inlineStr"/>
      <c r="L1321" t="inlineStr"/>
      <c r="M1321" t="inlineStr"/>
      <c r="N1321" t="inlineStr"/>
      <c r="O1321">
        <f>(1-Summary!$B$55)*T1321+Summary!$B$55*V1321</f>
        <v/>
      </c>
      <c r="P1321">
        <f>IF(B1349=0,0,O1321/B1349)</f>
        <v/>
      </c>
      <c r="Q1321" t="n">
        <v>0</v>
      </c>
      <c r="R1321" t="n">
        <v>0</v>
      </c>
      <c r="S1321" t="n">
        <v>0</v>
      </c>
      <c r="T1321" t="n">
        <v>0</v>
      </c>
      <c r="V1321" t="n">
        <v>0</v>
      </c>
    </row>
    <row r="1322">
      <c r="A1322">
        <f>Skills!A15</f>
        <v/>
      </c>
      <c r="B1322">
        <f>Skills!B15</f>
        <v/>
      </c>
      <c r="C1322">
        <f>Inputs!$B$3&gt;=117</f>
        <v/>
      </c>
      <c r="D1322">
        <f>IF(Skills!C15=1,60+Inputs!$B$25+Inputs!$B$29,IF(Skills!C15=2,90+Inputs!$B$26+Inputs!$B$29,IF(Skills!C15=3,120+Inputs!$B$27+Inputs!$B$29,MAX(0,(Inputs!$B$3-100)*3)+Inputs!$B$28+Inputs!$B$29)))</f>
        <v/>
      </c>
      <c r="E1322">
        <f>INDEX(FactorTable!$B$2:$Y$301, MATCH(ROUND(MIN(300,MAX(1,D1322)),0), FactorTable!$A$2:$A$301,0), Skills!M15+1)</f>
        <v/>
      </c>
      <c r="F1322">
        <f>IF(Skills!N15=TRUE,(Skills!L15/10)*(E1322/1000),Skills!L15/10)+Skills!O15</f>
        <v/>
      </c>
      <c r="G1322">
        <f>Skills!G15*IF(Skills!H15&gt;0,Skills!I15/Skills!H15,1)</f>
        <v/>
      </c>
      <c r="H1322">
        <f>1-(1-Skills!J15/100)^Skills!K15</f>
        <v/>
      </c>
      <c r="I1322" t="inlineStr">
        <is>
          <t>1</t>
        </is>
      </c>
      <c r="J1322" t="inlineStr"/>
      <c r="K1322" t="inlineStr"/>
      <c r="L1322" t="inlineStr"/>
      <c r="M1322" t="inlineStr"/>
      <c r="N1322" t="inlineStr"/>
      <c r="O1322">
        <f>(1-Summary!$B$55)*T1322+Summary!$B$55*V1322</f>
        <v/>
      </c>
      <c r="P1322">
        <f>IF(B1349=0,0,O1322/B1349)</f>
        <v/>
      </c>
      <c r="Q1322">
        <f>IFERROR(1/IF(Inputs!$B$38="pvp",15,MAX(0.1,Skills!D15-IF(Skills!E15=TRUE,1.5,0))),0)</f>
        <v/>
      </c>
      <c r="R1322">
        <f>IF(AND(Inputs!$B$38&lt;&gt;"pvp",Inputs!$B$43&gt;0),IF(Inputs!$B$43&lt;=0,0,(INT(Inputs!$B$43/IF(Inputs!$B$38="pvp",15,MAX(0.1,Skills!D15-IF(Skills!E15=TRUE,1.5,0))))+1)),0)</f>
        <v/>
      </c>
      <c r="S1322" t="n">
        <v>0</v>
      </c>
      <c r="T1322" t="n">
        <v>0</v>
      </c>
      <c r="V1322" t="n">
        <v>0</v>
      </c>
    </row>
    <row r="1323">
      <c r="A1323">
        <f>Skills!A16</f>
        <v/>
      </c>
      <c r="B1323">
        <f>Skills!B16</f>
        <v/>
      </c>
      <c r="C1323">
        <f>Inputs!$B$3&gt;=115</f>
        <v/>
      </c>
      <c r="D1323">
        <f>IF(Skills!C16=1,60+Inputs!$B$25+Inputs!$B$29,IF(Skills!C16=2,90+Inputs!$B$26+Inputs!$B$29,IF(Skills!C16=3,120+Inputs!$B$27+Inputs!$B$29,MAX(0,(Inputs!$B$3-100)*3)+Inputs!$B$28+Inputs!$B$29)))</f>
        <v/>
      </c>
      <c r="E1323">
        <f>INDEX(FactorTable!$B$2:$Y$301, MATCH(ROUND(MIN(300,MAX(1,D1323)),0), FactorTable!$A$2:$A$301,0), Skills!M16+1)</f>
        <v/>
      </c>
      <c r="F1323">
        <f>IF(Skills!N16=TRUE,(Skills!L16/10)*(E1323/1000),Skills!L16/10)+Skills!O16</f>
        <v/>
      </c>
      <c r="G1323">
        <f>Skills!G16*IF(Skills!H16&gt;0,Skills!I16/Skills!H16,1)</f>
        <v/>
      </c>
      <c r="H1323">
        <f>1-(1-Skills!J16/100)^Skills!K16</f>
        <v/>
      </c>
      <c r="I1323" t="inlineStr">
        <is>
          <t>1</t>
        </is>
      </c>
      <c r="J1323" t="inlineStr"/>
      <c r="K1323" t="inlineStr"/>
      <c r="L1323" t="inlineStr"/>
      <c r="M1323" t="inlineStr"/>
      <c r="N1323" t="inlineStr"/>
      <c r="O1323">
        <f>(1-Summary!$B$55)*T1323+Summary!$B$55*V1323</f>
        <v/>
      </c>
      <c r="P1323">
        <f>IF(B1349=0,0,O1323/B1349)</f>
        <v/>
      </c>
      <c r="Q1323">
        <f>IFERROR(1/IF(Inputs!$B$38="pvp",15,MAX(0.1,Skills!D16-IF(Skills!E16=TRUE,1.5,0))),0)</f>
        <v/>
      </c>
      <c r="R1323">
        <f>IF(AND(Inputs!$B$38&lt;&gt;"pvp",Inputs!$B$43&gt;0),IF(Inputs!$B$43&lt;=0,0,(INT(Inputs!$B$43/IF(Inputs!$B$38="pvp",15,MAX(0.1,Skills!D16-IF(Skills!E16=TRUE,1.5,0))))+1)),0)</f>
        <v/>
      </c>
      <c r="S1323" t="n">
        <v>0</v>
      </c>
      <c r="T1323" t="n">
        <v>0</v>
      </c>
      <c r="V1323" t="n">
        <v>0</v>
      </c>
    </row>
    <row r="1324">
      <c r="A1324">
        <f>Skills!A17</f>
        <v/>
      </c>
      <c r="B1324">
        <f>Skills!B17</f>
        <v/>
      </c>
      <c r="C1324">
        <f>Inputs!$B$3&gt;=72</f>
        <v/>
      </c>
      <c r="D1324">
        <f>IF(Skills!C17=1,60+Inputs!$B$25+Inputs!$B$29,IF(Skills!C17=2,90+Inputs!$B$26+Inputs!$B$29,IF(Skills!C17=3,120+Inputs!$B$27+Inputs!$B$29,MAX(0,(Inputs!$B$3-100)*3)+Inputs!$B$28+Inputs!$B$29)))</f>
        <v/>
      </c>
      <c r="E1324">
        <f>INDEX(FactorTable!$B$2:$Y$301, MATCH(ROUND(MIN(300,MAX(1,D1324)),0), FactorTable!$A$2:$A$301,0), Skills!M17+1)</f>
        <v/>
      </c>
      <c r="F1324">
        <f>IF(Skills!N17=TRUE,(Skills!L17/10)*(E1324/1000),Skills!L17/10)+Skills!O17</f>
        <v/>
      </c>
      <c r="G1324">
        <f>Skills!G17*IF(Skills!H17&gt;0,Skills!I17/Skills!H17,1)</f>
        <v/>
      </c>
      <c r="H1324">
        <f>1-(1-Skills!J17/100)^Skills!K17</f>
        <v/>
      </c>
      <c r="I1324" t="inlineStr">
        <is>
          <t>1</t>
        </is>
      </c>
      <c r="J1324" t="inlineStr"/>
      <c r="K1324" t="inlineStr"/>
      <c r="L1324" t="inlineStr"/>
      <c r="M1324" t="inlineStr"/>
      <c r="N1324" t="inlineStr"/>
      <c r="O1324">
        <f>(1-Summary!$B$55)*T1324+Summary!$B$55*V1324</f>
        <v/>
      </c>
      <c r="P1324">
        <f>IF(B1349=0,0,O1324/B1349)</f>
        <v/>
      </c>
      <c r="Q1324" t="n">
        <v>0</v>
      </c>
      <c r="R1324" t="n">
        <v>0</v>
      </c>
      <c r="S1324" t="n">
        <v>0</v>
      </c>
      <c r="T1324" t="n">
        <v>0</v>
      </c>
      <c r="V1324" t="n">
        <v>0</v>
      </c>
    </row>
    <row r="1325">
      <c r="A1325">
        <f>Skills!A18</f>
        <v/>
      </c>
      <c r="B1325">
        <f>Skills!B18</f>
        <v/>
      </c>
      <c r="C1325">
        <f>TRUE</f>
        <v/>
      </c>
      <c r="D1325">
        <f>IF(Skills!C18=1,60+Inputs!$B$25+Inputs!$B$29,IF(Skills!C18=2,90+Inputs!$B$26+Inputs!$B$29,IF(Skills!C18=3,120+Inputs!$B$27+Inputs!$B$29,MAX(0,(Inputs!$B$3-100)*3)+Inputs!$B$28+Inputs!$B$29)))</f>
        <v/>
      </c>
      <c r="E1325">
        <f>INDEX(FactorTable!$B$2:$Y$301, MATCH(ROUND(MIN(300,MAX(1,D1325)),0), FactorTable!$A$2:$A$301,0), Skills!M18+1)</f>
        <v/>
      </c>
      <c r="F1325">
        <f>IF(Skills!N18=TRUE,(Skills!L18/10)*(E1325/1000),Skills!L18/10)+Skills!O18</f>
        <v/>
      </c>
      <c r="G1325">
        <f>Skills!G18*IF(Skills!H18&gt;0,Skills!I18/Skills!H18,1)</f>
        <v/>
      </c>
      <c r="H1325">
        <f>1-(1-Skills!J18/100)^Skills!K18</f>
        <v/>
      </c>
      <c r="I1325" t="inlineStr">
        <is>
          <t>1</t>
        </is>
      </c>
      <c r="J1325" t="inlineStr"/>
      <c r="K1325" t="inlineStr"/>
      <c r="L1325" t="inlineStr"/>
      <c r="M1325" t="inlineStr"/>
      <c r="N1325" t="inlineStr"/>
      <c r="O1325">
        <f>(1-Summary!$B$55)*T1325+Summary!$B$55*V1325</f>
        <v/>
      </c>
      <c r="P1325">
        <f>IF(B1349=0,0,O1325/B1349)</f>
        <v/>
      </c>
      <c r="Q1325">
        <f>IFERROR(1/IF(Inputs!$B$38="pvp",15,MAX(0.1,Skills!D18-IF(Skills!E18=TRUE,1.5,0))),0)</f>
        <v/>
      </c>
      <c r="R1325">
        <f>IF(AND(Inputs!$B$38&lt;&gt;"pvp",Inputs!$B$43&gt;0),IF(Inputs!$B$43&lt;=0,0,(INT(Inputs!$B$43/IF(Inputs!$B$38="pvp",15,MAX(0.1,Skills!D18-IF(Skills!E18=TRUE,1.5,0))))+1)),0)</f>
        <v/>
      </c>
      <c r="S1325" t="n">
        <v>0</v>
      </c>
      <c r="T1325" t="n">
        <v>0</v>
      </c>
      <c r="V1325" t="n">
        <v>0</v>
      </c>
    </row>
    <row r="1326">
      <c r="A1326">
        <f>Skills!A19</f>
        <v/>
      </c>
      <c r="B1326">
        <f>Skills!B19</f>
        <v/>
      </c>
      <c r="C1326">
        <f>Inputs!$B$3&gt;=15</f>
        <v/>
      </c>
      <c r="D1326">
        <f>IF(Skills!C19=1,60+Inputs!$B$25+Inputs!$B$29,IF(Skills!C19=2,90+Inputs!$B$26+Inputs!$B$29,IF(Skills!C19=3,120+Inputs!$B$27+Inputs!$B$29,MAX(0,(Inputs!$B$3-100)*3)+Inputs!$B$28+Inputs!$B$29)))</f>
        <v/>
      </c>
      <c r="E1326">
        <f>INDEX(FactorTable!$B$2:$Y$301, MATCH(ROUND(MIN(300,MAX(1,D1326)),0), FactorTable!$A$2:$A$301,0), Skills!M19+1)</f>
        <v/>
      </c>
      <c r="F1326">
        <f>IF(Skills!N19=TRUE,(Skills!L19/10)*(E1326/1000),Skills!L19/10)+Skills!O19</f>
        <v/>
      </c>
      <c r="G1326">
        <f>Skills!G19*IF(Skills!H19&gt;0,Skills!I19/Skills!H19,1)</f>
        <v/>
      </c>
      <c r="H1326">
        <f>1-(1-Skills!J19/100)^Skills!K19</f>
        <v/>
      </c>
      <c r="I1326" t="inlineStr">
        <is>
          <t>1</t>
        </is>
      </c>
      <c r="J1326" t="inlineStr"/>
      <c r="K1326" t="inlineStr"/>
      <c r="L1326" t="inlineStr"/>
      <c r="M1326" t="inlineStr"/>
      <c r="N1326" t="inlineStr"/>
      <c r="O1326">
        <f>(1-Summary!$B$55)*T1326+Summary!$B$55*V1326</f>
        <v/>
      </c>
      <c r="P1326">
        <f>IF(B1349=0,0,O1326/B1349)</f>
        <v/>
      </c>
      <c r="Q1326" t="n">
        <v>0</v>
      </c>
      <c r="R1326" t="n">
        <v>0</v>
      </c>
      <c r="S1326" t="n">
        <v>0</v>
      </c>
      <c r="T1326" t="n">
        <v>0</v>
      </c>
      <c r="V1326" t="n">
        <v>0</v>
      </c>
    </row>
    <row r="1327">
      <c r="A1327">
        <f>Skills!A20</f>
        <v/>
      </c>
      <c r="B1327">
        <f>Skills!B20</f>
        <v/>
      </c>
      <c r="C1327">
        <f>Inputs!$B$3&gt;=10</f>
        <v/>
      </c>
      <c r="D1327">
        <f>IF(Skills!C20=1,60+Inputs!$B$25+Inputs!$B$29,IF(Skills!C20=2,90+Inputs!$B$26+Inputs!$B$29,IF(Skills!C20=3,120+Inputs!$B$27+Inputs!$B$29,MAX(0,(Inputs!$B$3-100)*3)+Inputs!$B$28+Inputs!$B$29)))</f>
        <v/>
      </c>
      <c r="E1327">
        <f>INDEX(FactorTable!$B$2:$Y$301, MATCH(ROUND(MIN(300,MAX(1,D1327)),0), FactorTable!$A$2:$A$301,0), Skills!M20+1)</f>
        <v/>
      </c>
      <c r="F1327">
        <f>IF(Skills!N20=TRUE,(Skills!L20/10)*(E1327/1000),Skills!L20/10)+Skills!O20</f>
        <v/>
      </c>
      <c r="G1327">
        <f>Skills!G20*IF(Skills!H20&gt;0,Skills!I20/Skills!H20,1)</f>
        <v/>
      </c>
      <c r="H1327">
        <f>1-(1-Skills!J20/100)^Skills!K20</f>
        <v/>
      </c>
      <c r="I1327" t="inlineStr">
        <is>
          <t>1</t>
        </is>
      </c>
      <c r="J1327" t="inlineStr"/>
      <c r="K1327" t="inlineStr"/>
      <c r="L1327" t="inlineStr"/>
      <c r="M1327" t="inlineStr"/>
      <c r="N1327" t="inlineStr"/>
      <c r="O1327">
        <f>(1-Summary!$B$55)*T1327+Summary!$B$55*V1327</f>
        <v/>
      </c>
      <c r="P1327">
        <f>IF(B1349=0,0,O1327/B1349)</f>
        <v/>
      </c>
      <c r="Q1327" t="n">
        <v>0</v>
      </c>
      <c r="R1327" t="n">
        <v>0</v>
      </c>
      <c r="S1327" t="n">
        <v>0</v>
      </c>
      <c r="T1327" t="n">
        <v>0</v>
      </c>
      <c r="V1327" t="n">
        <v>0</v>
      </c>
    </row>
    <row r="1328">
      <c r="A1328">
        <f>Skills!A21</f>
        <v/>
      </c>
      <c r="B1328">
        <f>Skills!B21</f>
        <v/>
      </c>
      <c r="C1328">
        <f>Inputs!$B$3&gt;=33</f>
        <v/>
      </c>
      <c r="D1328">
        <f>IF(Skills!C21=1,60+Inputs!$B$25+Inputs!$B$29,IF(Skills!C21=2,90+Inputs!$B$26+Inputs!$B$29,IF(Skills!C21=3,120+Inputs!$B$27+Inputs!$B$29,MAX(0,(Inputs!$B$3-100)*3)+Inputs!$B$28+Inputs!$B$29)))</f>
        <v/>
      </c>
      <c r="E1328">
        <f>INDEX(FactorTable!$B$2:$Y$301, MATCH(ROUND(MIN(300,MAX(1,D1328)),0), FactorTable!$A$2:$A$301,0), Skills!M21+1)</f>
        <v/>
      </c>
      <c r="F1328">
        <f>IF(Skills!N21=TRUE,(Skills!L21/10)*(E1328/1000),Skills!L21/10)+Skills!O21</f>
        <v/>
      </c>
      <c r="G1328">
        <f>Skills!G21*IF(Skills!H21&gt;0,Skills!I21/Skills!H21,1)</f>
        <v/>
      </c>
      <c r="H1328">
        <f>1-(1-Skills!J21/100)^Skills!K21</f>
        <v/>
      </c>
      <c r="I1328" t="inlineStr">
        <is>
          <t>1</t>
        </is>
      </c>
      <c r="J1328" t="inlineStr"/>
      <c r="K1328" t="inlineStr"/>
      <c r="L1328" t="inlineStr"/>
      <c r="M1328" t="inlineStr"/>
      <c r="N1328" t="inlineStr"/>
      <c r="O1328">
        <f>(1-Summary!$B$55)*T1328+Summary!$B$55*V1328</f>
        <v/>
      </c>
      <c r="P1328">
        <f>IF(B1349=0,0,O1328/B1349)</f>
        <v/>
      </c>
      <c r="Q1328" t="n">
        <v>0</v>
      </c>
      <c r="R1328" t="n">
        <v>0</v>
      </c>
      <c r="S1328" t="n">
        <v>0</v>
      </c>
      <c r="T1328" t="n">
        <v>0</v>
      </c>
      <c r="V1328" t="n">
        <v>0</v>
      </c>
    </row>
    <row r="1329">
      <c r="A1329">
        <f>Skills!A22</f>
        <v/>
      </c>
      <c r="B1329">
        <f>Skills!B22</f>
        <v/>
      </c>
      <c r="C1329">
        <f>Inputs!$B$3&gt;=38</f>
        <v/>
      </c>
      <c r="D1329">
        <f>IF(Skills!C22=1,60+Inputs!$B$25+Inputs!$B$29,IF(Skills!C22=2,90+Inputs!$B$26+Inputs!$B$29,IF(Skills!C22=3,120+Inputs!$B$27+Inputs!$B$29,MAX(0,(Inputs!$B$3-100)*3)+Inputs!$B$28+Inputs!$B$29)))</f>
        <v/>
      </c>
      <c r="E1329">
        <f>INDEX(FactorTable!$B$2:$Y$301, MATCH(ROUND(MIN(300,MAX(1,D1329)),0), FactorTable!$A$2:$A$301,0), Skills!M22+1)</f>
        <v/>
      </c>
      <c r="F1329">
        <f>IF(Skills!N22=TRUE,(Skills!L22/10)*(E1329/1000),Skills!L22/10)+Skills!O22</f>
        <v/>
      </c>
      <c r="G1329">
        <f>Skills!G22*IF(Skills!H22&gt;0,Skills!I22/Skills!H22,1)</f>
        <v/>
      </c>
      <c r="H1329">
        <f>1-(1-Skills!J22/100)^Skills!K22</f>
        <v/>
      </c>
      <c r="I1329" t="inlineStr">
        <is>
          <t>1</t>
        </is>
      </c>
      <c r="J1329" t="inlineStr"/>
      <c r="K1329" t="inlineStr"/>
      <c r="L1329" t="inlineStr"/>
      <c r="M1329" t="inlineStr"/>
      <c r="N1329" t="inlineStr"/>
      <c r="O1329">
        <f>(1-Summary!$B$55)*T1329+Summary!$B$55*V1329</f>
        <v/>
      </c>
      <c r="P1329">
        <f>IF(B1349=0,0,O1329/B1349)</f>
        <v/>
      </c>
      <c r="Q1329" t="n">
        <v>0</v>
      </c>
      <c r="R1329" t="n">
        <v>0</v>
      </c>
      <c r="S1329" t="n">
        <v>0</v>
      </c>
      <c r="T1329" t="n">
        <v>0</v>
      </c>
      <c r="V1329" t="n">
        <v>0</v>
      </c>
    </row>
    <row r="1330">
      <c r="A1330">
        <f>Skills!A23</f>
        <v/>
      </c>
      <c r="B1330">
        <f>Skills!B23</f>
        <v/>
      </c>
      <c r="C1330">
        <f>Inputs!$B$3&gt;=43</f>
        <v/>
      </c>
      <c r="D1330">
        <f>IF(Skills!C23=1,60+Inputs!$B$25+Inputs!$B$29,IF(Skills!C23=2,90+Inputs!$B$26+Inputs!$B$29,IF(Skills!C23=3,120+Inputs!$B$27+Inputs!$B$29,MAX(0,(Inputs!$B$3-100)*3)+Inputs!$B$28+Inputs!$B$29)))</f>
        <v/>
      </c>
      <c r="E1330">
        <f>INDEX(FactorTable!$B$2:$Y$301, MATCH(ROUND(MIN(300,MAX(1,D1330)),0), FactorTable!$A$2:$A$301,0), Skills!M23+1)</f>
        <v/>
      </c>
      <c r="F1330">
        <f>IF(Skills!N23=TRUE,(Skills!L23/10)*(E1330/1000),Skills!L23/10)+Skills!O23</f>
        <v/>
      </c>
      <c r="G1330">
        <f>Skills!G23*IF(Skills!H23&gt;0,Skills!I23/Skills!H23,1)</f>
        <v/>
      </c>
      <c r="H1330">
        <f>1-(1-Skills!J23/100)^Skills!K23</f>
        <v/>
      </c>
      <c r="I1330" t="inlineStr">
        <is>
          <t>1</t>
        </is>
      </c>
      <c r="J1330" t="inlineStr"/>
      <c r="K1330" t="inlineStr"/>
      <c r="L1330" t="inlineStr"/>
      <c r="M1330" t="inlineStr"/>
      <c r="N1330" t="inlineStr"/>
      <c r="O1330">
        <f>(1-Summary!$B$55)*T1330+Summary!$B$55*V1330</f>
        <v/>
      </c>
      <c r="P1330">
        <f>IF(B1349=0,0,O1330/B1349)</f>
        <v/>
      </c>
      <c r="Q1330" t="n">
        <v>0</v>
      </c>
      <c r="R1330" t="n">
        <v>0</v>
      </c>
      <c r="S1330" t="n">
        <v>0</v>
      </c>
      <c r="T1330" t="n">
        <v>0</v>
      </c>
      <c r="V1330" t="n">
        <v>0</v>
      </c>
    </row>
    <row r="1331">
      <c r="A1331">
        <f>Skills!A24</f>
        <v/>
      </c>
      <c r="B1331">
        <f>Skills!B24</f>
        <v/>
      </c>
      <c r="C1331">
        <f>Inputs!$B$3&gt;=75</f>
        <v/>
      </c>
      <c r="D1331">
        <f>IF(Skills!C24=1,60+Inputs!$B$25+Inputs!$B$29,IF(Skills!C24=2,90+Inputs!$B$26+Inputs!$B$29,IF(Skills!C24=3,120+Inputs!$B$27+Inputs!$B$29,MAX(0,(Inputs!$B$3-100)*3)+Inputs!$B$28+Inputs!$B$29)))</f>
        <v/>
      </c>
      <c r="E1331">
        <f>INDEX(FactorTable!$B$2:$Y$301, MATCH(ROUND(MIN(300,MAX(1,D1331)),0), FactorTable!$A$2:$A$301,0), Skills!M24+1)</f>
        <v/>
      </c>
      <c r="F1331">
        <f>IF(Skills!N24=TRUE,(Skills!L24/10)*(E1331/1000),Skills!L24/10)+Skills!O24</f>
        <v/>
      </c>
      <c r="G1331">
        <f>Skills!G24*IF(Skills!H24&gt;0,Skills!I24/Skills!H24,1)</f>
        <v/>
      </c>
      <c r="H1331">
        <f>1-(1-Skills!J24/100)^Skills!K24</f>
        <v/>
      </c>
      <c r="I1331" t="inlineStr">
        <is>
          <t>1</t>
        </is>
      </c>
      <c r="J1331" t="inlineStr"/>
      <c r="K1331" t="inlineStr"/>
      <c r="L1331" t="inlineStr"/>
      <c r="M1331" t="inlineStr"/>
      <c r="N1331" t="inlineStr"/>
      <c r="O1331">
        <f>(1-Summary!$B$55)*T1331+Summary!$B$55*V1331</f>
        <v/>
      </c>
      <c r="P1331">
        <f>IF(B1349=0,0,O1331/B1349)</f>
        <v/>
      </c>
      <c r="Q1331" t="n">
        <v>0</v>
      </c>
      <c r="R1331" t="n">
        <v>0</v>
      </c>
      <c r="S1331" t="n">
        <v>0</v>
      </c>
      <c r="T1331" t="n">
        <v>0</v>
      </c>
      <c r="V1331" t="n">
        <v>0</v>
      </c>
    </row>
    <row r="1332">
      <c r="A1332">
        <f>Skills!A25</f>
        <v/>
      </c>
      <c r="B1332">
        <f>Skills!B25</f>
        <v/>
      </c>
      <c r="C1332">
        <f>Inputs!$B$3&gt;=125</f>
        <v/>
      </c>
      <c r="D1332">
        <f>IF(Skills!C25=1,60+Inputs!$B$25+Inputs!$B$29,IF(Skills!C25=2,90+Inputs!$B$26+Inputs!$B$29,IF(Skills!C25=3,120+Inputs!$B$27+Inputs!$B$29,MAX(0,(Inputs!$B$3-100)*3)+Inputs!$B$28+Inputs!$B$29)))</f>
        <v/>
      </c>
      <c r="E1332">
        <f>INDEX(FactorTable!$B$2:$Y$301, MATCH(ROUND(MIN(300,MAX(1,D1332)),0), FactorTable!$A$2:$A$301,0), Skills!M25+1)</f>
        <v/>
      </c>
      <c r="F1332">
        <f>IF(Skills!N25=TRUE,(Skills!L25/10)*(E1332/1000),Skills!L25/10)+Skills!O25</f>
        <v/>
      </c>
      <c r="G1332">
        <f>Skills!G25*IF(Skills!H25&gt;0,Skills!I25/Skills!H25,1)</f>
        <v/>
      </c>
      <c r="H1332">
        <f>1-(1-Skills!J25/100)^Skills!K25</f>
        <v/>
      </c>
      <c r="I1332" t="inlineStr">
        <is>
          <t>1</t>
        </is>
      </c>
      <c r="J1332" t="inlineStr"/>
      <c r="K1332" t="inlineStr"/>
      <c r="L1332" t="inlineStr"/>
      <c r="M1332" t="inlineStr"/>
      <c r="N1332" t="inlineStr"/>
      <c r="O1332">
        <f>(1-Summary!$B$55)*T1332+Summary!$B$55*V1332</f>
        <v/>
      </c>
      <c r="P1332">
        <f>IF(B1349=0,0,O1332/B1349)</f>
        <v/>
      </c>
      <c r="Q1332" t="n">
        <v>0</v>
      </c>
      <c r="R1332" t="n">
        <v>0</v>
      </c>
      <c r="S1332" t="n">
        <v>0</v>
      </c>
      <c r="T1332" t="n">
        <v>0</v>
      </c>
      <c r="V1332" t="n">
        <v>0</v>
      </c>
    </row>
    <row r="1333">
      <c r="A1333">
        <f>Skills!A26</f>
        <v/>
      </c>
      <c r="B1333">
        <f>Skills!B26</f>
        <v/>
      </c>
      <c r="C1333">
        <f>Inputs!$B$3&gt;=125</f>
        <v/>
      </c>
      <c r="D1333">
        <f>IF(Skills!C26=1,60+Inputs!$B$25+Inputs!$B$29,IF(Skills!C26=2,90+Inputs!$B$26+Inputs!$B$29,IF(Skills!C26=3,120+Inputs!$B$27+Inputs!$B$29,MAX(0,(Inputs!$B$3-100)*3)+Inputs!$B$28+Inputs!$B$29)))</f>
        <v/>
      </c>
      <c r="E1333">
        <f>INDEX(FactorTable!$B$2:$Y$301, MATCH(ROUND(MIN(300,MAX(1,D1333)),0), FactorTable!$A$2:$A$301,0), Skills!M26+1)</f>
        <v/>
      </c>
      <c r="F1333">
        <f>IF(Skills!N26=TRUE,(Skills!L26/10)*(E1333/1000),Skills!L26/10)+Skills!O26</f>
        <v/>
      </c>
      <c r="G1333">
        <f>Skills!G26*IF(Skills!H26&gt;0,Skills!I26/Skills!H26,1)</f>
        <v/>
      </c>
      <c r="H1333">
        <f>1-(1-Skills!J26/100)^Skills!K26</f>
        <v/>
      </c>
      <c r="I1333" t="inlineStr">
        <is>
          <t>1</t>
        </is>
      </c>
      <c r="J1333" t="inlineStr"/>
      <c r="K1333" t="inlineStr"/>
      <c r="L1333" t="inlineStr"/>
      <c r="M1333" t="inlineStr"/>
      <c r="N1333" t="inlineStr"/>
      <c r="O1333">
        <f>(1-Summary!$B$55)*T1333+Summary!$B$55*V1333</f>
        <v/>
      </c>
      <c r="P1333">
        <f>IF(B1349=0,0,O1333/B1349)</f>
        <v/>
      </c>
      <c r="Q1333" t="n">
        <v>0</v>
      </c>
      <c r="R1333" t="n">
        <v>0</v>
      </c>
      <c r="S1333" t="n">
        <v>0</v>
      </c>
      <c r="T1333" t="n">
        <v>0</v>
      </c>
      <c r="V1333" t="n">
        <v>0</v>
      </c>
    </row>
    <row r="1334">
      <c r="A1334">
        <f>Skills!A27</f>
        <v/>
      </c>
      <c r="B1334">
        <f>Skills!B27</f>
        <v/>
      </c>
      <c r="C1334">
        <f>Inputs!$B$3&gt;=120</f>
        <v/>
      </c>
      <c r="D1334">
        <f>IF(Skills!C27=1,60+Inputs!$B$25+Inputs!$B$29,IF(Skills!C27=2,90+Inputs!$B$26+Inputs!$B$29,IF(Skills!C27=3,120+Inputs!$B$27+Inputs!$B$29,MAX(0,(Inputs!$B$3-100)*3)+Inputs!$B$28+Inputs!$B$29)))</f>
        <v/>
      </c>
      <c r="E1334">
        <f>INDEX(FactorTable!$B$2:$Y$301, MATCH(ROUND(MIN(300,MAX(1,D1334)),0), FactorTable!$A$2:$A$301,0), Skills!M27+1)</f>
        <v/>
      </c>
      <c r="F1334">
        <f>IF(Skills!N27=TRUE,(Skills!L27/10)*(E1334/1000),Skills!L27/10)+Skills!O27</f>
        <v/>
      </c>
      <c r="G1334">
        <f>Skills!G27*IF(Skills!H27&gt;0,Skills!I27/Skills!H27,1)</f>
        <v/>
      </c>
      <c r="H1334">
        <f>1-(1-Skills!J27/100)^Skills!K27</f>
        <v/>
      </c>
      <c r="I1334" t="inlineStr">
        <is>
          <t>1</t>
        </is>
      </c>
      <c r="J1334" t="inlineStr"/>
      <c r="K1334" t="inlineStr"/>
      <c r="L1334" t="inlineStr"/>
      <c r="M1334" t="inlineStr"/>
      <c r="N1334" t="inlineStr"/>
      <c r="O1334">
        <f>(1-Summary!$B$55)*T1334+Summary!$B$55*V1334</f>
        <v/>
      </c>
      <c r="P1334">
        <f>IF(B1349=0,0,O1334/B1349)</f>
        <v/>
      </c>
      <c r="Q1334" t="n">
        <v>0</v>
      </c>
      <c r="R1334" t="n">
        <v>0</v>
      </c>
      <c r="S1334" t="n">
        <v>0</v>
      </c>
      <c r="T1334" t="n">
        <v>0</v>
      </c>
      <c r="V1334" t="n">
        <v>0</v>
      </c>
    </row>
    <row r="1335">
      <c r="A1335">
        <f>Skills!A28</f>
        <v/>
      </c>
      <c r="B1335">
        <f>Skills!B28</f>
        <v/>
      </c>
      <c r="C1335">
        <f>Inputs!$B$3&gt;=120</f>
        <v/>
      </c>
      <c r="D1335">
        <f>IF(Skills!C28=1,60+Inputs!$B$25+Inputs!$B$29,IF(Skills!C28=2,90+Inputs!$B$26+Inputs!$B$29,IF(Skills!C28=3,120+Inputs!$B$27+Inputs!$B$29,MAX(0,(Inputs!$B$3-100)*3)+Inputs!$B$28+Inputs!$B$29)))</f>
        <v/>
      </c>
      <c r="E1335">
        <f>INDEX(FactorTable!$B$2:$Y$301, MATCH(ROUND(MIN(300,MAX(1,D1335)),0), FactorTable!$A$2:$A$301,0), Skills!M28+1)</f>
        <v/>
      </c>
      <c r="F1335">
        <f>IF(Skills!N28=TRUE,(Skills!L28/10)*(E1335/1000),Skills!L28/10)+Skills!O28</f>
        <v/>
      </c>
      <c r="G1335">
        <f>Skills!G28*IF(Skills!H28&gt;0,Skills!I28/Skills!H28,1)</f>
        <v/>
      </c>
      <c r="H1335">
        <f>1-(1-Skills!J28/100)^Skills!K28</f>
        <v/>
      </c>
      <c r="I1335" t="inlineStr">
        <is>
          <t>1</t>
        </is>
      </c>
      <c r="J1335" t="inlineStr"/>
      <c r="K1335" t="inlineStr"/>
      <c r="L1335" t="inlineStr"/>
      <c r="M1335" t="inlineStr"/>
      <c r="N1335" t="inlineStr"/>
      <c r="O1335">
        <f>(1-Summary!$B$55)*T1335+Summary!$B$55*V1335</f>
        <v/>
      </c>
      <c r="P1335">
        <f>IF(B1349=0,0,O1335/B1349)</f>
        <v/>
      </c>
      <c r="Q1335" t="n">
        <v>0</v>
      </c>
      <c r="R1335" t="n">
        <v>0</v>
      </c>
      <c r="S1335" t="n">
        <v>0</v>
      </c>
      <c r="T1335" t="n">
        <v>0</v>
      </c>
      <c r="V1335" t="n">
        <v>0</v>
      </c>
    </row>
    <row r="1336">
      <c r="A1336">
        <f>Skills!A29</f>
        <v/>
      </c>
      <c r="B1336">
        <f>Skills!B29</f>
        <v/>
      </c>
      <c r="C1336">
        <f>Inputs!$B$3&gt;=45</f>
        <v/>
      </c>
      <c r="D1336">
        <f>IF(Skills!C29=1,60+Inputs!$B$25+Inputs!$B$29,IF(Skills!C29=2,90+Inputs!$B$26+Inputs!$B$29,IF(Skills!C29=3,120+Inputs!$B$27+Inputs!$B$29,MAX(0,(Inputs!$B$3-100)*3)+Inputs!$B$28+Inputs!$B$29)))</f>
        <v/>
      </c>
      <c r="E1336">
        <f>INDEX(FactorTable!$B$2:$Y$301, MATCH(ROUND(MIN(300,MAX(1,D1336)),0), FactorTable!$A$2:$A$301,0), Skills!M29+1)</f>
        <v/>
      </c>
      <c r="F1336">
        <f>IF(Skills!N29=TRUE,(Skills!L29/10)*(E1336/1000),Skills!L29/10)+Skills!O29</f>
        <v/>
      </c>
      <c r="G1336">
        <f>Skills!G29*IF(Skills!H29&gt;0,Skills!I29/Skills!H29,1)</f>
        <v/>
      </c>
      <c r="H1336">
        <f>1-(1-Skills!J29/100)^Skills!K29</f>
        <v/>
      </c>
      <c r="I1336" t="inlineStr">
        <is>
          <t>1</t>
        </is>
      </c>
      <c r="J1336" t="inlineStr"/>
      <c r="K1336" t="inlineStr"/>
      <c r="L1336" t="inlineStr"/>
      <c r="M1336" t="inlineStr"/>
      <c r="N1336" t="inlineStr"/>
      <c r="O1336">
        <f>(1-Summary!$B$55)*T1336+Summary!$B$55*V1336</f>
        <v/>
      </c>
      <c r="P1336">
        <f>IF(B1349=0,0,O1336/B1349)</f>
        <v/>
      </c>
      <c r="Q1336" t="n">
        <v>0</v>
      </c>
      <c r="R1336" t="n">
        <v>0</v>
      </c>
      <c r="S1336" t="n">
        <v>0</v>
      </c>
      <c r="T1336" t="n">
        <v>0</v>
      </c>
      <c r="V1336" t="n">
        <v>0</v>
      </c>
    </row>
    <row r="1338">
      <c r="A1338" t="inlineStr">
        <is>
          <t>Attack% Bucket Multiplier</t>
        </is>
      </c>
      <c r="B1338">
        <f>(1+(((C1320=TRUE)*F1320)+((C1321=TRUE)*IF(Inputs!$B$38="pvp",F1321,(1-Summary!$B$55)*(F1321)+Summary!$B$55*(0)))+((C1322=TRUE)*F1322*IF(AND(Inputs!$B$38&lt;&gt;"pvp",Inputs!$B$43&gt;0),(((R1322-1)*(Skills!T15*(1+Inputs!$B$34/100))+MIN((Skills!T15*(1+Inputs!$B$34/100)),MAX(0,Inputs!$B$43-((R1322-1)*Skills!D15))))/Inputs!$B$43),IF(Inputs!$B$38="pvp",MIN((Skills!T15*(1+Inputs!$B$34/100)),15)/15,(Skills!T15*(1+Inputs!$B$34/100))/Skills!D15)))+((C1319=TRUE)*F1319)+((C1336=TRUE)*(F1336-Calc!F29)))/100)</f>
        <v/>
      </c>
    </row>
    <row r="1339">
      <c r="A1339" t="inlineStr">
        <is>
          <t>Global Crit Rate Bonus %</t>
        </is>
      </c>
      <c r="B1339">
        <f>(C1323=TRUE)*20*IF(AND(Inputs!$B$38&lt;&gt;"pvp",Inputs!$B$43&gt;0),(((R1323-1)*(Skills!T16*(1+Inputs!$B$34/100))+MIN((Skills!T16*(1+Inputs!$B$34/100)),MAX(0,Inputs!$B$43-((R1323-1)*Skills!D16))))/Inputs!$B$43),IF(Inputs!$B$38="pvp",MIN((Skills!T16*(1+Inputs!$B$34/100)),15)/15,(Skills!T16*(1+Inputs!$B$34/100))/Skills!D16))</f>
        <v/>
      </c>
    </row>
    <row r="1340">
      <c r="A1340" t="inlineStr">
        <is>
          <t>Attack Speed Buff Bonus %</t>
        </is>
      </c>
      <c r="B1340">
        <f>((C1325=TRUE)*F1325*IF(AND(Inputs!$B$38&lt;&gt;"pvp",Inputs!$B$43&gt;0),(((R1325-1)*(Skills!T18*(1+Inputs!$B$34/100))+MIN((Skills!T18*(1+Inputs!$B$34/100)),MAX(0,Inputs!$B$43-((R1325-1)*Skills!D18))))/Inputs!$B$43),IF(Inputs!$B$38="pvp",MIN((Skills!T18*(1+Inputs!$B$34/100)),15)/15,(Skills!T18*(1+Inputs!$B$34/100))/Skills!D18)))</f>
        <v/>
      </c>
    </row>
    <row r="1341">
      <c r="A1341" t="inlineStr">
        <is>
          <t>Actions Per Second</t>
        </is>
      </c>
      <c r="B1341">
        <f>1+MIN(150,150*(1-(1-(Inputs!$B$11+((C1327=TRUE)*(F1327-Calc!F20))+((C1328=TRUE)*(F1328-Calc!F21)))/150)*(1-B1340/150)))/100</f>
        <v/>
      </c>
    </row>
    <row r="1342">
      <c r="A1342" t="inlineStr">
        <is>
          <t>Skill + Buff Cast Rate</t>
        </is>
      </c>
      <c r="B1342">
        <f>IF(AND(Inputs!$B$38&lt;&gt;"pvp",Inputs!$B$43&gt;0),SUMPRODUCT((Skills!E2:E29=TRUE)*(C1309:C1336=TRUE)*R1309:R1336*Skills!F2:F29)/Inputs!$B$43,SUMPRODUCT((Skills!E2:E29=TRUE)*(C1309:C1336=TRUE)*Q1309:Q1336*Skills!F2:F29))</f>
        <v/>
      </c>
    </row>
    <row r="1343">
      <c r="A1343" t="inlineStr">
        <is>
          <t>Empowered Piercing Arrow Casts Per Second</t>
        </is>
      </c>
      <c r="B1343">
        <f>MAX(0,B1341-B1342)</f>
        <v/>
      </c>
    </row>
    <row r="1344">
      <c r="A1344" t="inlineStr">
        <is>
          <t>Global Critical Damage Bonus % (Sharp Eyes)</t>
        </is>
      </c>
      <c r="B1344">
        <f>(C1323=TRUE)*F1323*IF(AND(Inputs!$B$38&lt;&gt;"pvp",Inputs!$B$43&gt;0),(((R1323-1)*(Skills!T16*(1+Inputs!$B$34/100))+MIN((Skills!T16*(1+Inputs!$B$34/100)),MAX(0,Inputs!$B$43-((R1323-1)*Skills!D16))))/Inputs!$B$43),IF(Inputs!$B$38="pvp",MIN((Skills!T16*(1+Inputs!$B$34/100)),15)/15,(Skills!T16*(1+Inputs!$B$34/100))/Skills!D16))</f>
        <v/>
      </c>
    </row>
    <row r="1345">
      <c r="A1345" t="inlineStr">
        <is>
          <t>Global Final Damage Bonus % (Mortal Blow + Last Man Standing conditional half)</t>
        </is>
      </c>
      <c r="B1345">
        <f>(C1324=TRUE)*F1324+((C1333=TRUE)*IF(Inputs!$B$38="pvp",F1333,(1-Summary!$B$55)*(F1333)+Summary!$B$55*(0)))</f>
        <v/>
      </c>
    </row>
    <row r="1346">
      <c r="A1346" t="inlineStr">
        <is>
          <t>Buff-Casting Startup Delay (s, fixed-duration only)</t>
        </is>
      </c>
      <c r="B1346">
        <f>IF(AND(Inputs!$B$38&lt;&gt;"pvp",Inputs!$B$43&gt;0),SUMPRODUCT((Skills!T2:T29&gt;0)*(Skills!E2:E29=TRUE)*(C1309:C1336=TRUE))/B1341,0)</f>
        <v/>
      </c>
    </row>
    <row r="1347">
      <c r="A1347" t="inlineStr">
        <is>
          <t>Boss-Only Total DPS (this block's swept value)</t>
        </is>
      </c>
      <c r="B1347">
        <f>SUM(T1309:T1336)</f>
        <v/>
      </c>
    </row>
    <row r="1348">
      <c r="A1348" t="inlineStr">
        <is>
          <t>Normal-Only Total DPS (this block's swept value)</t>
        </is>
      </c>
      <c r="B1348">
        <f>SUM(V1309:V1336)</f>
        <v/>
      </c>
    </row>
    <row r="1349">
      <c r="A1349" s="5" t="inlineStr">
        <is>
          <t>TOTAL DPS</t>
        </is>
      </c>
      <c r="B1349" s="5">
        <f>SUM(O1309:O1336)</f>
        <v/>
      </c>
    </row>
    <row r="1352">
      <c r="A1352" s="5" t="inlineStr">
        <is>
          <t>Stat: CDR = 2.0s</t>
        </is>
      </c>
    </row>
    <row r="1353">
      <c r="A1353" s="9" t="inlineStr">
        <is>
          <t>Key</t>
        </is>
      </c>
      <c r="B1353" s="9" t="inlineStr">
        <is>
          <t>Name</t>
        </is>
      </c>
      <c r="C1353" s="9" t="inlineStr">
        <is>
          <t>Unlocked</t>
        </is>
      </c>
      <c r="D1353" s="9" t="inlineStr">
        <is>
          <t>InputLevel</t>
        </is>
      </c>
      <c r="E1353" s="9" t="inlineStr">
        <is>
          <t>Factor</t>
        </is>
      </c>
      <c r="F1353" s="9" t="inlineStr">
        <is>
          <t>CoefficientPercent</t>
        </is>
      </c>
      <c r="G1353" s="9" t="inlineStr">
        <is>
          <t>EffectiveHits</t>
        </is>
      </c>
      <c r="H1353" s="9" t="inlineStr">
        <is>
          <t>ProcProbability</t>
        </is>
      </c>
      <c r="I1353" s="9" t="inlineStr">
        <is>
          <t>MapleHeroMultiplier</t>
        </is>
      </c>
      <c r="J1353" s="9" t="inlineStr">
        <is>
          <t>BaseDamage</t>
        </is>
      </c>
      <c r="K1353" s="9" t="inlineStr">
        <is>
          <t>BaseHitDamage</t>
        </is>
      </c>
      <c r="L1353" s="9" t="inlineStr">
        <is>
          <t>NonCritAvg</t>
        </is>
      </c>
      <c r="M1353" s="9" t="inlineStr">
        <is>
          <t>CritAvg</t>
        </is>
      </c>
      <c r="N1353" s="9" t="inlineStr">
        <is>
          <t>ExpectedDamage(perHit)</t>
        </is>
      </c>
      <c r="O1353" s="9" t="inlineStr">
        <is>
          <t>DPS</t>
        </is>
      </c>
      <c r="P1353" s="9" t="inlineStr">
        <is>
          <t>% of Total</t>
        </is>
      </c>
      <c r="Q1353" s="9" t="inlineStr">
        <is>
          <t>InvCooldown</t>
        </is>
      </c>
      <c r="R1353" s="9" t="inlineStr">
        <is>
          <t>CastsInFight</t>
        </is>
      </c>
      <c r="S1353" s="9" t="inlineStr">
        <is>
          <t>HitRate(perSec)</t>
        </is>
      </c>
      <c r="U1353" t="inlineStr">
        <is>
          <t>helpers</t>
        </is>
      </c>
    </row>
    <row r="1354">
      <c r="A1354">
        <f>Skills!A2</f>
        <v/>
      </c>
      <c r="B1354">
        <f>Skills!B2</f>
        <v/>
      </c>
      <c r="C1354">
        <f>Inputs!$B$3&gt;=100</f>
        <v/>
      </c>
      <c r="D1354" t="inlineStr"/>
      <c r="E1354" t="inlineStr"/>
      <c r="F1354">
        <f>U1356+Skills!O2</f>
        <v/>
      </c>
      <c r="G1354">
        <f>Skills!G2*IF(Skills!H2&gt;0,Skills!I2/Skills!H2,1)</f>
        <v/>
      </c>
      <c r="H1354">
        <f>1-(1-Skills!J2/100)^Skills!K2</f>
        <v/>
      </c>
      <c r="I1354" t="inlineStr">
        <is>
          <t>1</t>
        </is>
      </c>
      <c r="J1354">
        <f>((Inputs!$B$6*(1+Inputs!$B$7/100))+(((Inputs!$B$12*(1+Inputs!$B$13/100))-(Inputs!$B$12*(1+Inputs!$B$13/100)))+0.25*(Inputs!$B$14-Inputs!$B$14))*(1+Inputs!$B$7/100))*(F1354/100)</f>
        <v/>
      </c>
      <c r="K1354">
        <f>J1354*(1+((Inputs!$B$12*(1+Inputs!$B$13/100))*0.01+Inputs!$B$14*0.0025)/100)*(1+Inputs!$B$15/100)*(1+Inputs!$B$16/100)*(5000/(6000+Inputs!$B$42*(1-(Inputs!$B$19+0)/100)))*(1+(Inputs!$B$24+((C1376=TRUE)*(F1376-Calc!F24))+((C1377=TRUE)*(F1377-Calc!F25))+B1390)/100)*(1+(IF(Skills!A2="EMPOWERED_PIERCING_ARROW",Inputs!$B$17+((C1374=TRUE)*(F1374-Calc!F22)),Inputs!$B$18+((C1379=TRUE)*(F1379-Calc!F27))))/100)*((1+(((C1365=TRUE)*F1365)+((C1366=TRUE)*IF(Inputs!$B$38="pvp",F1366,(1-Summary!$B$55)*(F1366)+Summary!$B$55*(0)))+((C1367=TRUE)*F1367*IF(AND(Inputs!$B$38&lt;&gt;"pvp",Inputs!$B$43&gt;0),(((R1367-1)*(Skills!T15*(1+Inputs!$B$34/100))+MIN((Skills!T15*(1+Inputs!$B$34/100)),MAX(0,Inputs!$B$43-((R1367-1)*Skills!D15))))/Inputs!$B$43),IF(Inputs!$B$38="pvp",MIN((Skills!T15*(1+Inputs!$B$34/100)),15)/15,(Skills!T15*(1+Inputs!$B$34/100))/Skills!D15)))+((C1364=TRUE)*F1364)+((C1381=TRUE)*(F1381-Calc!F29)))/100)*I1354)</f>
        <v/>
      </c>
      <c r="L1354">
        <f>K1354*(MIN(Inputs!$B$22+((C1375=TRUE)*(F1375-Calc!F23)),Inputs!$B$23+((C1380=TRUE)*(F1380-Calc!F28)))/100+(Inputs!$B$23+((C1380=TRUE)*(F1380-Calc!F28)))/100)/2</f>
        <v/>
      </c>
      <c r="M1354">
        <f>L1354*(1+(Inputs!$B$10+0+B1389)/100)</f>
        <v/>
      </c>
      <c r="N1354">
        <f>L1354*(1-MIN((Inputs!$B$9+((C1371=TRUE)*(F1371-Calc!F19))+B1384),100)/100)+M1354*(MIN((Inputs!$B$9+((C1371=TRUE)*(F1371-Calc!F19))+B1384),100)/100)</f>
        <v/>
      </c>
      <c r="O1354">
        <f>(1-Summary!$B$55)*T1354+Summary!$B$55*V1354</f>
        <v/>
      </c>
      <c r="P1354">
        <f>IF(B1394=0,0,O1354/B1394)</f>
        <v/>
      </c>
      <c r="Q1354" t="n">
        <v>0</v>
      </c>
      <c r="R1354" t="n">
        <v>0</v>
      </c>
      <c r="S1354">
        <f>IFERROR((Skills!G2*N1354*B1388)/N1354*IF(Inputs!$B$38="pvp",1,(1-Summary!$B$55)*1+Summary!$B$55*(MIN((6+Inputs!$B$33),Inputs!$B$37))),0)</f>
        <v/>
      </c>
      <c r="T1354">
        <f>IF(C1354,(Skills!G2*N1354*B1388)*IF(Inputs!$B$38="pvp",1,1+(Inputs!$B$20+0+Skills!P2)/100),0)</f>
        <v/>
      </c>
      <c r="U1354">
        <f>MAX(0,(Inputs!$B$3-100)*3)+Inputs!$B$28+Inputs!$B$29</f>
        <v/>
      </c>
      <c r="V1354">
        <f>IF(C1354,(Skills!G2*N1354*B1388)*IF(Inputs!$B$38="pvp",1,(1+(Inputs!$B$21+Skills!Q2)/100)*(MIN((6+Inputs!$B$33),Inputs!$B$37))),0)</f>
        <v/>
      </c>
    </row>
    <row r="1355">
      <c r="A1355">
        <f>Skills!A3</f>
        <v/>
      </c>
      <c r="B1355">
        <f>Skills!B3</f>
        <v/>
      </c>
      <c r="C1355">
        <f>Inputs!$B$3&gt;=50</f>
        <v/>
      </c>
      <c r="D1355">
        <f>IF(Skills!C3=1,60+Inputs!$B$25+Inputs!$B$29,IF(Skills!C3=2,90+Inputs!$B$26+Inputs!$B$29,IF(Skills!C3=3,120+Inputs!$B$27+Inputs!$B$29,MAX(0,(Inputs!$B$3-100)*3)+Inputs!$B$28+Inputs!$B$29)))</f>
        <v/>
      </c>
      <c r="E1355">
        <f>INDEX(FactorTable!$B$2:$Y$301, MATCH(ROUND(MIN(300,MAX(1,D1355)),0), FactorTable!$A$2:$A$301,0), Skills!M3+1)</f>
        <v/>
      </c>
      <c r="F1355">
        <f>IF(Skills!N3=TRUE,(Skills!L3/10)*(E1355/1000),Skills!L3/10)+Skills!O3</f>
        <v/>
      </c>
      <c r="G1355" t="inlineStr"/>
      <c r="H1355" t="inlineStr"/>
      <c r="I1355" t="inlineStr">
        <is>
          <t>1</t>
        </is>
      </c>
      <c r="J1355" t="inlineStr"/>
      <c r="K1355" t="inlineStr"/>
      <c r="L1355" t="inlineStr"/>
      <c r="M1355" t="inlineStr"/>
      <c r="N1355" t="inlineStr"/>
      <c r="O1355" t="inlineStr"/>
      <c r="P1355" t="inlineStr"/>
      <c r="Q1355" t="inlineStr"/>
      <c r="R1355" t="inlineStr"/>
      <c r="S1355" t="inlineStr"/>
      <c r="T1355" t="inlineStr"/>
      <c r="U1355">
        <f>INDEX(FactorTable!$B$2:$Y$301, MATCH(ROUND(MIN(300,MAX(1,U1354)),0), FactorTable!$A$2:$A$301,0), 22)</f>
        <v/>
      </c>
      <c r="V1355" t="inlineStr"/>
    </row>
    <row r="1356">
      <c r="A1356">
        <f>Skills!A4</f>
        <v/>
      </c>
      <c r="B1356">
        <f>Skills!B4</f>
        <v/>
      </c>
      <c r="C1356">
        <f>Inputs!$B$3&gt;=105</f>
        <v/>
      </c>
      <c r="D1356">
        <f>IF(Skills!C4=1,60+Inputs!$B$25+Inputs!$B$29,IF(Skills!C4=2,90+Inputs!$B$26+Inputs!$B$29,IF(Skills!C4=3,120+Inputs!$B$27+Inputs!$B$29,MAX(0,(Inputs!$B$3-100)*3)+Inputs!$B$28+Inputs!$B$29)))</f>
        <v/>
      </c>
      <c r="E1356">
        <f>INDEX(FactorTable!$B$2:$Y$301, MATCH(ROUND(MIN(300,MAX(1,D1356)),0), FactorTable!$A$2:$A$301,0), Skills!M4+1)</f>
        <v/>
      </c>
      <c r="F1356">
        <f>IF(Skills!N4=TRUE,(Skills!L4/10)*(E1356/1000),Skills!L4/10)+Skills!O4</f>
        <v/>
      </c>
      <c r="G1356" t="inlineStr"/>
      <c r="H1356" t="inlineStr"/>
      <c r="I1356" t="inlineStr">
        <is>
          <t>1</t>
        </is>
      </c>
      <c r="J1356" t="inlineStr"/>
      <c r="K1356" t="inlineStr"/>
      <c r="L1356" t="inlineStr"/>
      <c r="M1356" t="inlineStr"/>
      <c r="N1356" t="inlineStr"/>
      <c r="O1356" t="inlineStr"/>
      <c r="P1356" t="inlineStr"/>
      <c r="Q1356" t="inlineStr"/>
      <c r="R1356" t="inlineStr"/>
      <c r="S1356" t="inlineStr"/>
      <c r="T1356" t="inlineStr"/>
      <c r="U1356">
        <f>290*U1355/1000</f>
        <v/>
      </c>
      <c r="V1356" t="inlineStr"/>
    </row>
    <row r="1357">
      <c r="A1357">
        <f>Skills!A5</f>
        <v/>
      </c>
      <c r="B1357">
        <f>Skills!B5</f>
        <v/>
      </c>
      <c r="C1357">
        <f>Inputs!$B$3&gt;=35</f>
        <v/>
      </c>
      <c r="D1357">
        <f>IF(Skills!C5=1,60+Inputs!$B$25+Inputs!$B$29,IF(Skills!C5=2,90+Inputs!$B$26+Inputs!$B$29,IF(Skills!C5=3,120+Inputs!$B$27+Inputs!$B$29,MAX(0,(Inputs!$B$3-100)*3)+Inputs!$B$28+Inputs!$B$29)))</f>
        <v/>
      </c>
      <c r="E1357">
        <f>INDEX(FactorTable!$B$2:$Y$301, MATCH(ROUND(MIN(300,MAX(1,D1357)),0), FactorTable!$A$2:$A$301,0), Skills!M5+1)</f>
        <v/>
      </c>
      <c r="F1357">
        <f>IF(Skills!N5=TRUE,(Skills!L5/10)*(E1357/1000),Skills!L5/10)+Skills!O5</f>
        <v/>
      </c>
      <c r="G1357">
        <f>Skills!G5*IF(Skills!H5&gt;0,Skills!I5/Skills!H5,1)</f>
        <v/>
      </c>
      <c r="H1357">
        <f>1-(1-Skills!J5/100)^Skills!K5</f>
        <v/>
      </c>
      <c r="I1357" t="inlineStr">
        <is>
          <t>1</t>
        </is>
      </c>
      <c r="J1357">
        <f>((Inputs!$B$6*(1+Inputs!$B$7/100))+(((Inputs!$B$12*(1+Inputs!$B$13/100))-(Inputs!$B$12*(1+Inputs!$B$13/100)))+0.25*(Inputs!$B$14-Inputs!$B$14))*(1+Inputs!$B$7/100))*(F1357/100)</f>
        <v/>
      </c>
      <c r="K1357">
        <f>J1357*(1+((Inputs!$B$12*(1+Inputs!$B$13/100))*0.01+Inputs!$B$14*0.0025)/100)*(1+Inputs!$B$15/100)*(1+Inputs!$B$16/100)*(5000/(6000+Inputs!$B$42*(1-(Inputs!$B$19+0)/100)))*(1+(Inputs!$B$24+((C1376=TRUE)*(F1376-Calc!F24))+((C1377=TRUE)*(F1377-Calc!F25))+B1390)/100)*(1+4.0*IF(C1360=TRUE,F1360,0)/100)*(1+(IF(Skills!A5="EMPOWERED_PIERCING_ARROW",Inputs!$B$17+((C1374=TRUE)*(F1374-Calc!F22)),Inputs!$B$18+((C1379=TRUE)*(F1379-Calc!F27))))/100)*((1+(((C1365=TRUE)*F1365)+((C1366=TRUE)*IF(Inputs!$B$38="pvp",F1366,(1-Summary!$B$55)*(F1366)+Summary!$B$55*(0)))+((C1367=TRUE)*F1367*IF(AND(Inputs!$B$38&lt;&gt;"pvp",Inputs!$B$43&gt;0),(((R1367-1)*(Skills!T15*(1+Inputs!$B$34/100))+MIN((Skills!T15*(1+Inputs!$B$34/100)),MAX(0,Inputs!$B$43-((R1367-1)*Skills!D15))))/Inputs!$B$43),IF(Inputs!$B$38="pvp",MIN((Skills!T15*(1+Inputs!$B$34/100)),15)/15,(Skills!T15*(1+Inputs!$B$34/100))/Skills!D15)))+((C1364=TRUE)*F1364)+((C1381=TRUE)*(F1381-Calc!F29)))/100)*I1357)</f>
        <v/>
      </c>
      <c r="L1357">
        <f>K1357*(MIN(Inputs!$B$22+((C1375=TRUE)*(F1375-Calc!F23)),Inputs!$B$23+((C1380=TRUE)*(F1380-Calc!F28)))/100+(Inputs!$B$23+((C1380=TRUE)*(F1380-Calc!F28)))/100)/2</f>
        <v/>
      </c>
      <c r="M1357">
        <f>L1357*(1+(Inputs!$B$10+0+B1389)/100)</f>
        <v/>
      </c>
      <c r="N1357">
        <f>L1357*(1-MIN((Inputs!$B$9+((C1371=TRUE)*(F1371-Calc!F19))+B1384),100)/100)+M1357*(MIN((Inputs!$B$9+((C1371=TRUE)*(F1371-Calc!F19))+B1384),100)/100)</f>
        <v/>
      </c>
      <c r="O1357">
        <f>(1-Summary!$B$55)*T1357+Summary!$B$55*V1357</f>
        <v/>
      </c>
      <c r="P1357">
        <f>IF(B1394=0,0,O1357/B1394)</f>
        <v/>
      </c>
      <c r="Q1357">
        <f>IFERROR(1/IF(Inputs!$B$38="pvp",15,MAX(0.1,Skills!D5-IF(Skills!E5=TRUE,2.0,0))),0)</f>
        <v/>
      </c>
      <c r="R1357">
        <f>IF(AND(Inputs!$B$38&lt;&gt;"pvp",Inputs!$B$43&gt;0),IF(MAX(0,Inputs!$B$43-B1391)&lt;=0,0,(INT(MAX(0,Inputs!$B$43-B1391)/IF(Inputs!$B$38="pvp",15,MAX(0.1,Skills!D5-IF(Skills!E5=TRUE,2.0,0))))+1)),0)</f>
        <v/>
      </c>
      <c r="S1357">
        <f>IFERROR((H1357*N1357*IF(AND(Inputs!$B$38&lt;&gt;"pvp",Inputs!$B$43&gt;0),((Skills!G5*((R1357-1)*IF(Skills!H5&gt;0,Skills!I5/Skills!H5,1)+IF(Skills!H5&gt;0,MIN(Skills!I5,MAX(0,MAX(0,Inputs!$B$43-B1391)-((R1357-1)*IF(Inputs!$B$38="pvp",15,MAX(0.1,Skills!D5-IF(Skills!E5=TRUE,2.0,0))))))/Skills!H5,1)))/Inputs!$B$43),G1357*Q1357))/N1357*IF(Inputs!$B$38="pvp",1,(1-Summary!$B$55)*1+Summary!$B$55*(MIN(Skills!R5,Inputs!$B$37))),0)</f>
        <v/>
      </c>
      <c r="T1357">
        <f>IF(C1357,(H1357*N1357*IF(AND(Inputs!$B$38&lt;&gt;"pvp",Inputs!$B$43&gt;0),((Skills!G5*((R1357-1)*IF(Skills!H5&gt;0,Skills!I5/Skills!H5,1)+IF(Skills!H5&gt;0,MIN(Skills!I5,MAX(0,MAX(0,Inputs!$B$43-B1391)-((R1357-1)*IF(Inputs!$B$38="pvp",15,MAX(0.1,Skills!D5-IF(Skills!E5=TRUE,2.0,0))))))/Skills!H5,1)))/Inputs!$B$43),G1357*Q1357))*IF(Inputs!$B$38="pvp",1,1+(Inputs!$B$20+0+Skills!P5)/100),0)</f>
        <v/>
      </c>
      <c r="V1357">
        <f>IF(C1357,(H1357*N1357*IF(AND(Inputs!$B$38&lt;&gt;"pvp",Inputs!$B$43&gt;0),((Skills!G5*((R1357-1)*IF(Skills!H5&gt;0,Skills!I5/Skills!H5,1)+IF(Skills!H5&gt;0,MIN(Skills!I5,MAX(0,MAX(0,Inputs!$B$43-B1391)-((R1357-1)*IF(Inputs!$B$38="pvp",15,MAX(0.1,Skills!D5-IF(Skills!E5=TRUE,2.0,0))))))/Skills!H5,1)))/Inputs!$B$43),G1357*Q1357))*IF(Inputs!$B$38="pvp",1,(1+(Inputs!$B$21+Skills!Q5)/100)*(MIN(Skills!R5,Inputs!$B$37))),0)</f>
        <v/>
      </c>
    </row>
    <row r="1358">
      <c r="A1358">
        <f>Skills!A6</f>
        <v/>
      </c>
      <c r="B1358">
        <f>Skills!B6</f>
        <v/>
      </c>
      <c r="C1358">
        <f>Inputs!$B$3&gt;=63</f>
        <v/>
      </c>
      <c r="D1358">
        <f>IF(Skills!C6=1,60+Inputs!$B$25+Inputs!$B$29,IF(Skills!C6=2,90+Inputs!$B$26+Inputs!$B$29,IF(Skills!C6=3,120+Inputs!$B$27+Inputs!$B$29,MAX(0,(Inputs!$B$3-100)*3)+Inputs!$B$28+Inputs!$B$29)))</f>
        <v/>
      </c>
      <c r="E1358">
        <f>INDEX(FactorTable!$B$2:$Y$301, MATCH(ROUND(MIN(300,MAX(1,D1358)),0), FactorTable!$A$2:$A$301,0), Skills!M6+1)</f>
        <v/>
      </c>
      <c r="F1358">
        <f>IF(Skills!N6=TRUE,(Skills!L6/10)*(E1358/1000),Skills!L6/10)+Skills!O6</f>
        <v/>
      </c>
      <c r="G1358">
        <f>Skills!G6*IF(Skills!H6&gt;0,Skills!I6/Skills!H6,1)</f>
        <v/>
      </c>
      <c r="H1358">
        <f>1-(1-Skills!J6/100)^Skills!K6</f>
        <v/>
      </c>
      <c r="I1358" t="inlineStr">
        <is>
          <t>1</t>
        </is>
      </c>
      <c r="J1358">
        <f>((Inputs!$B$6*(1+Inputs!$B$7/100))+(((Inputs!$B$12*(1+Inputs!$B$13/100))-(Inputs!$B$12*(1+Inputs!$B$13/100)))+0.25*(Inputs!$B$14-Inputs!$B$14))*(1+Inputs!$B$7/100))*(F1358/100)</f>
        <v/>
      </c>
      <c r="K1358">
        <f>J1358*(1+((Inputs!$B$12*(1+Inputs!$B$13/100))*0.01+Inputs!$B$14*0.0025)/100)*(1+Inputs!$B$15/100)*(1+Inputs!$B$16/100)*(5000/(6000+Inputs!$B$42*(1-(Inputs!$B$19+0)/100)))*(1+(Inputs!$B$24+((C1376=TRUE)*(F1376-Calc!F24))+((C1377=TRUE)*(F1377-Calc!F25))+B1390)/100)*(1+1.0*IF(C1360=TRUE,F1360,0)/100)*(1+(IF(Skills!A6="EMPOWERED_PIERCING_ARROW",Inputs!$B$17+((C1374=TRUE)*(F1374-Calc!F22)),Inputs!$B$18+((C1379=TRUE)*(F1379-Calc!F27))))/100)*((1+(((C1365=TRUE)*F1365)+((C1366=TRUE)*IF(Inputs!$B$38="pvp",F1366,(1-Summary!$B$55)*(F1366)+Summary!$B$55*(0)))+((C1367=TRUE)*F1367*IF(AND(Inputs!$B$38&lt;&gt;"pvp",Inputs!$B$43&gt;0),(((R1367-1)*(Skills!T15*(1+Inputs!$B$34/100))+MIN((Skills!T15*(1+Inputs!$B$34/100)),MAX(0,Inputs!$B$43-((R1367-1)*Skills!D15))))/Inputs!$B$43),IF(Inputs!$B$38="pvp",MIN((Skills!T15*(1+Inputs!$B$34/100)),15)/15,(Skills!T15*(1+Inputs!$B$34/100))/Skills!D15)))+((C1364=TRUE)*F1364)+((C1381=TRUE)*(F1381-Calc!F29)))/100)*I1358)</f>
        <v/>
      </c>
      <c r="L1358">
        <f>K1358*(MIN(Inputs!$B$22+((C1375=TRUE)*(F1375-Calc!F23)),Inputs!$B$23+((C1380=TRUE)*(F1380-Calc!F28)))/100+(Inputs!$B$23+((C1380=TRUE)*(F1380-Calc!F28)))/100)/2</f>
        <v/>
      </c>
      <c r="M1358">
        <f>L1358*(1+(Inputs!$B$10+0+B1389)/100)</f>
        <v/>
      </c>
      <c r="N1358">
        <f>L1358*(1-MIN((Inputs!$B$9+((C1371=TRUE)*(F1371-Calc!F19))+B1384),100)/100)+M1358*(MIN((Inputs!$B$9+((C1371=TRUE)*(F1371-Calc!F19))+B1384),100)/100)</f>
        <v/>
      </c>
      <c r="O1358">
        <f>(1-Summary!$B$55)*T1358+Summary!$B$55*V1358</f>
        <v/>
      </c>
      <c r="P1358">
        <f>IF(B1394=0,0,O1358/B1394)</f>
        <v/>
      </c>
      <c r="Q1358">
        <f>IFERROR(1/IF(Inputs!$B$38="pvp",15,MAX(0.1,Skills!D6-IF(Skills!E6=TRUE,2.0,0))),0)</f>
        <v/>
      </c>
      <c r="R1358">
        <f>IF(AND(Inputs!$B$38&lt;&gt;"pvp",Inputs!$B$43&gt;0),IF(MAX(0,Inputs!$B$43-B1391)&lt;=0,0,(INT(MAX(0,Inputs!$B$43-B1391)/IF(Inputs!$B$38="pvp",15,MAX(0.1,Skills!D6-IF(Skills!E6=TRUE,2.0,0))))+1)),0)</f>
        <v/>
      </c>
      <c r="S1358">
        <f>IFERROR((H1358*N1358*IF(AND(Inputs!$B$38&lt;&gt;"pvp",Inputs!$B$43&gt;0),((Skills!G6*((R1358-1)*IF(Skills!H6&gt;0,Skills!I6/Skills!H6,1)+IF(Skills!H6&gt;0,MIN(Skills!I6,MAX(0,MAX(0,Inputs!$B$43-B1391)-((R1358-1)*IF(Inputs!$B$38="pvp",15,MAX(0.1,Skills!D6-IF(Skills!E6=TRUE,2.0,0))))))/Skills!H6,1)))/Inputs!$B$43),G1358*Q1358))/N1358*IF(Inputs!$B$38="pvp",1,(1-Summary!$B$55)*1+Summary!$B$55*(MIN(Skills!R6,Inputs!$B$37))),0)</f>
        <v/>
      </c>
      <c r="T1358">
        <f>IF(C1358,(H1358*N1358*IF(AND(Inputs!$B$38&lt;&gt;"pvp",Inputs!$B$43&gt;0),((Skills!G6*((R1358-1)*IF(Skills!H6&gt;0,Skills!I6/Skills!H6,1)+IF(Skills!H6&gt;0,MIN(Skills!I6,MAX(0,MAX(0,Inputs!$B$43-B1391)-((R1358-1)*IF(Inputs!$B$38="pvp",15,MAX(0.1,Skills!D6-IF(Skills!E6=TRUE,2.0,0))))))/Skills!H6,1)))/Inputs!$B$43),G1358*Q1358))*IF(Inputs!$B$38="pvp",1,1+(Inputs!$B$20+0+Skills!P6)/100),0)</f>
        <v/>
      </c>
      <c r="V1358">
        <f>IF(C1358,(H1358*N1358*IF(AND(Inputs!$B$38&lt;&gt;"pvp",Inputs!$B$43&gt;0),((Skills!G6*((R1358-1)*IF(Skills!H6&gt;0,Skills!I6/Skills!H6,1)+IF(Skills!H6&gt;0,MIN(Skills!I6,MAX(0,MAX(0,Inputs!$B$43-B1391)-((R1358-1)*IF(Inputs!$B$38="pvp",15,MAX(0.1,Skills!D6-IF(Skills!E6=TRUE,2.0,0))))))/Skills!H6,1)))/Inputs!$B$43),G1358*Q1358))*IF(Inputs!$B$38="pvp",1,(1+(Inputs!$B$21+Skills!Q6)/100)*(MIN(Skills!R6,Inputs!$B$37))),0)</f>
        <v/>
      </c>
    </row>
    <row r="1359">
      <c r="A1359">
        <f>Skills!A7</f>
        <v/>
      </c>
      <c r="B1359">
        <f>Skills!B7</f>
        <v/>
      </c>
      <c r="C1359">
        <f>Inputs!$B$3&gt;=69</f>
        <v/>
      </c>
      <c r="D1359">
        <f>IF(Skills!C7=1,60+Inputs!$B$25+Inputs!$B$29,IF(Skills!C7=2,90+Inputs!$B$26+Inputs!$B$29,IF(Skills!C7=3,120+Inputs!$B$27+Inputs!$B$29,MAX(0,(Inputs!$B$3-100)*3)+Inputs!$B$28+Inputs!$B$29)))</f>
        <v/>
      </c>
      <c r="E1359">
        <f>INDEX(FactorTable!$B$2:$Y$301, MATCH(ROUND(MIN(300,MAX(1,D1359)),0), FactorTable!$A$2:$A$301,0), Skills!M7+1)</f>
        <v/>
      </c>
      <c r="F1359">
        <f>IF(Skills!N7=TRUE,(Skills!L7/10)*(E1359/1000),Skills!L7/10)+Skills!O7</f>
        <v/>
      </c>
      <c r="G1359">
        <f>Skills!G7*IF(Skills!H7&gt;0,Skills!I7/Skills!H7,1)</f>
        <v/>
      </c>
      <c r="H1359">
        <f>1-(1-Skills!J7/100)^Skills!K7</f>
        <v/>
      </c>
      <c r="I1359" t="inlineStr">
        <is>
          <t>1</t>
        </is>
      </c>
      <c r="J1359">
        <f>((Inputs!$B$6*(1+Inputs!$B$7/100))+(((Inputs!$B$12*(1+Inputs!$B$13/100))-(Inputs!$B$12*(1+Inputs!$B$13/100)))+0.25*(Inputs!$B$14-Inputs!$B$14))*(1+Inputs!$B$7/100))*(F1359/100)</f>
        <v/>
      </c>
      <c r="K1359">
        <f>J1359*(1+((Inputs!$B$12*(1+Inputs!$B$13/100))*0.01+Inputs!$B$14*0.0025)/100)*(1+Inputs!$B$15/100)*(1+Inputs!$B$16/100)*(5000/(6000+Inputs!$B$42*(1-(Inputs!$B$19+0)/100)))*(1+(Inputs!$B$24+((C1376=TRUE)*(F1376-Calc!F24))+((C1377=TRUE)*(F1377-Calc!F25))+B1390)/100)*(1+1.2*IF(C1360=TRUE,F1360,0)/100)*(1+(IF(Skills!A7="EMPOWERED_PIERCING_ARROW",Inputs!$B$17+((C1374=TRUE)*(F1374-Calc!F22)),Inputs!$B$18+((C1379=TRUE)*(F1379-Calc!F27))))/100)*((1+(((C1365=TRUE)*F1365)+((C1366=TRUE)*IF(Inputs!$B$38="pvp",F1366,(1-Summary!$B$55)*(F1366)+Summary!$B$55*(0)))+((C1367=TRUE)*F1367*IF(AND(Inputs!$B$38&lt;&gt;"pvp",Inputs!$B$43&gt;0),(((R1367-1)*(Skills!T15*(1+Inputs!$B$34/100))+MIN((Skills!T15*(1+Inputs!$B$34/100)),MAX(0,Inputs!$B$43-((R1367-1)*Skills!D15))))/Inputs!$B$43),IF(Inputs!$B$38="pvp",MIN((Skills!T15*(1+Inputs!$B$34/100)),15)/15,(Skills!T15*(1+Inputs!$B$34/100))/Skills!D15)))+((C1364=TRUE)*F1364)+((C1381=TRUE)*(F1381-Calc!F29)))/100)*I1359)</f>
        <v/>
      </c>
      <c r="L1359">
        <f>K1359*(MIN(Inputs!$B$22+((C1375=TRUE)*(F1375-Calc!F23)),Inputs!$B$23+((C1380=TRUE)*(F1380-Calc!F28)))/100+(Inputs!$B$23+((C1380=TRUE)*(F1380-Calc!F28)))/100)/2</f>
        <v/>
      </c>
      <c r="M1359">
        <f>L1359*(1+(Inputs!$B$10+0+B1389)/100)</f>
        <v/>
      </c>
      <c r="N1359">
        <f>L1359*(1-MIN((Inputs!$B$9+((C1371=TRUE)*(F1371-Calc!F19))+B1384),100)/100)+M1359*(MIN((Inputs!$B$9+((C1371=TRUE)*(F1371-Calc!F19))+B1384),100)/100)</f>
        <v/>
      </c>
      <c r="O1359">
        <f>(1-Summary!$B$55)*T1359+Summary!$B$55*V1359</f>
        <v/>
      </c>
      <c r="P1359">
        <f>IF(B1394=0,0,O1359/B1394)</f>
        <v/>
      </c>
      <c r="Q1359">
        <f>IFERROR(1/IF(Inputs!$B$38="pvp",15,MAX(0.1,Skills!D7-IF(Skills!E7=TRUE,2.0,0))),0)</f>
        <v/>
      </c>
      <c r="R1359">
        <f>IF(AND(Inputs!$B$38&lt;&gt;"pvp",Inputs!$B$43&gt;0),IF(MAX(0,Inputs!$B$43-B1391)&lt;=0,0,(INT(MAX(0,Inputs!$B$43-B1391)/IF(Inputs!$B$38="pvp",15,MAX(0.1,Skills!D7-IF(Skills!E7=TRUE,2.0,0))))+1)),0)</f>
        <v/>
      </c>
      <c r="S1359">
        <f>IFERROR((H1359*N1359*IF(AND(Inputs!$B$38&lt;&gt;"pvp",Inputs!$B$43&gt;0),((Skills!G7*((R1359-1)*IF(Skills!H7&gt;0,Skills!I7/Skills!H7,1)+IF(Skills!H7&gt;0,MIN(Skills!I7,MAX(0,MAX(0,Inputs!$B$43-B1391)-((R1359-1)*IF(Inputs!$B$38="pvp",15,MAX(0.1,Skills!D7-IF(Skills!E7=TRUE,2.0,0))))))/Skills!H7,1)))/Inputs!$B$43),G1359*Q1359))/N1359*IF(Inputs!$B$38="pvp",1,(1-Summary!$B$55)*1+Summary!$B$55*(MIN(Skills!R7,Inputs!$B$37))),0)</f>
        <v/>
      </c>
      <c r="T1359">
        <f>IF(C1359,(H1359*N1359*IF(AND(Inputs!$B$38&lt;&gt;"pvp",Inputs!$B$43&gt;0),((Skills!G7*((R1359-1)*IF(Skills!H7&gt;0,Skills!I7/Skills!H7,1)+IF(Skills!H7&gt;0,MIN(Skills!I7,MAX(0,MAX(0,Inputs!$B$43-B1391)-((R1359-1)*IF(Inputs!$B$38="pvp",15,MAX(0.1,Skills!D7-IF(Skills!E7=TRUE,2.0,0))))))/Skills!H7,1)))/Inputs!$B$43),G1359*Q1359))*IF(Inputs!$B$38="pvp",1,1+(Inputs!$B$20+0+Skills!P7)/100),0)</f>
        <v/>
      </c>
      <c r="V1359">
        <f>IF(C1359,(H1359*N1359*IF(AND(Inputs!$B$38&lt;&gt;"pvp",Inputs!$B$43&gt;0),((Skills!G7*((R1359-1)*IF(Skills!H7&gt;0,Skills!I7/Skills!H7,1)+IF(Skills!H7&gt;0,MIN(Skills!I7,MAX(0,MAX(0,Inputs!$B$43-B1391)-((R1359-1)*IF(Inputs!$B$38="pvp",15,MAX(0.1,Skills!D7-IF(Skills!E7=TRUE,2.0,0))))))/Skills!H7,1)))/Inputs!$B$43),G1359*Q1359))*IF(Inputs!$B$38="pvp",1,(1+(Inputs!$B$21+Skills!Q7)/100)*(MIN(Skills!R7,Inputs!$B$37))),0)</f>
        <v/>
      </c>
    </row>
    <row r="1360">
      <c r="A1360">
        <f>Skills!A8</f>
        <v/>
      </c>
      <c r="B1360">
        <f>Skills!B8</f>
        <v/>
      </c>
      <c r="C1360">
        <f>Inputs!$B$3&gt;=100</f>
        <v/>
      </c>
      <c r="D1360">
        <f>IF(Skills!C8=1,60+Inputs!$B$25+Inputs!$B$29,IF(Skills!C8=2,90+Inputs!$B$26+Inputs!$B$29,IF(Skills!C8=3,120+Inputs!$B$27+Inputs!$B$29,MAX(0,(Inputs!$B$3-100)*3)+Inputs!$B$28+Inputs!$B$29)))</f>
        <v/>
      </c>
      <c r="E1360">
        <f>INDEX(FactorTable!$B$2:$Y$301, MATCH(ROUND(MIN(300,MAX(1,D1360)),0), FactorTable!$A$2:$A$301,0), Skills!M8+1)</f>
        <v/>
      </c>
      <c r="F1360">
        <f>IF(Skills!N8=TRUE,(Skills!L8/10)*(E1360/1000),Skills!L8/10)+Skills!O8</f>
        <v/>
      </c>
      <c r="G1360" t="inlineStr"/>
      <c r="H1360" t="inlineStr"/>
      <c r="I1360" t="inlineStr">
        <is>
          <t>1</t>
        </is>
      </c>
      <c r="J1360" t="inlineStr"/>
      <c r="K1360" t="inlineStr"/>
      <c r="L1360" t="inlineStr"/>
      <c r="M1360" t="inlineStr"/>
      <c r="N1360" t="inlineStr"/>
      <c r="O1360" t="inlineStr"/>
      <c r="P1360" t="inlineStr"/>
      <c r="Q1360" t="inlineStr"/>
      <c r="R1360" t="inlineStr"/>
      <c r="S1360" t="inlineStr"/>
      <c r="T1360" t="inlineStr"/>
      <c r="V1360" t="inlineStr"/>
    </row>
    <row r="1361">
      <c r="A1361">
        <f>Skills!A9</f>
        <v/>
      </c>
      <c r="B1361">
        <f>Skills!B9</f>
        <v/>
      </c>
      <c r="C1361">
        <f>Inputs!$B$3&gt;=103</f>
        <v/>
      </c>
      <c r="D1361">
        <f>IF(Skills!C9=1,60+Inputs!$B$25+Inputs!$B$29,IF(Skills!C9=2,90+Inputs!$B$26+Inputs!$B$29,IF(Skills!C9=3,120+Inputs!$B$27+Inputs!$B$29,MAX(0,(Inputs!$B$3-100)*3)+Inputs!$B$28+Inputs!$B$29)))</f>
        <v/>
      </c>
      <c r="E1361">
        <f>INDEX(FactorTable!$B$2:$Y$301, MATCH(ROUND(MIN(300,MAX(1,D1361)),0), FactorTable!$A$2:$A$301,0), Skills!M9+1)</f>
        <v/>
      </c>
      <c r="F1361">
        <f>IF(Skills!N9=TRUE,(Skills!L9/10)*(E1361/1000),Skills!L9/10)+Skills!O9</f>
        <v/>
      </c>
      <c r="G1361">
        <f>Skills!G9*IF(Skills!H9&gt;0,Skills!I9/Skills!H9,1)</f>
        <v/>
      </c>
      <c r="H1361">
        <f>1-(1-Skills!J9/100)^Skills!K9</f>
        <v/>
      </c>
      <c r="I1361" t="inlineStr">
        <is>
          <t>1</t>
        </is>
      </c>
      <c r="J1361">
        <f>((Inputs!$B$6*(1+Inputs!$B$7/100))+(((Inputs!$B$12*(1+Inputs!$B$13/100))-(Inputs!$B$12*(1+Inputs!$B$13/100)))+0.25*(Inputs!$B$14-Inputs!$B$14))*(1+Inputs!$B$7/100))*(F1361/100)</f>
        <v/>
      </c>
      <c r="K1361">
        <f>J1361*(1+((Inputs!$B$12*(1+Inputs!$B$13/100))*0.01+Inputs!$B$14*0.0025)/100)*(1+Inputs!$B$15/100)*(1+Inputs!$B$16/100)*(5000/(6000+Inputs!$B$42*(1-(Inputs!$B$19+0)/100)))*(1+(Inputs!$B$24+((C1376=TRUE)*(F1376-Calc!F24))+((C1377=TRUE)*(F1377-Calc!F25))+B1390)/100)*(1+(IF(Skills!A9="EMPOWERED_PIERCING_ARROW",Inputs!$B$17+((C1374=TRUE)*(F1374-Calc!F22)),Inputs!$B$18+((C1379=TRUE)*(F1379-Calc!F27))))/100)*((1+(((C1365=TRUE)*F1365)+((C1366=TRUE)*IF(Inputs!$B$38="pvp",F1366,(1-Summary!$B$55)*(F1366)+Summary!$B$55*(0)))+((C1367=TRUE)*F1367*IF(AND(Inputs!$B$38&lt;&gt;"pvp",Inputs!$B$43&gt;0),(((R1367-1)*(Skills!T15*(1+Inputs!$B$34/100))+MIN((Skills!T15*(1+Inputs!$B$34/100)),MAX(0,Inputs!$B$43-((R1367-1)*Skills!D15))))/Inputs!$B$43),IF(Inputs!$B$38="pvp",MIN((Skills!T15*(1+Inputs!$B$34/100)),15)/15,(Skills!T15*(1+Inputs!$B$34/100))/Skills!D15)))+((C1364=TRUE)*F1364)+((C1381=TRUE)*(F1381-Calc!F29)))/100)*I1361)</f>
        <v/>
      </c>
      <c r="L1361">
        <f>K1361*(MIN(Inputs!$B$22+((C1375=TRUE)*(F1375-Calc!F23)),Inputs!$B$23+((C1380=TRUE)*(F1380-Calc!F28)))/100+(Inputs!$B$23+((C1380=TRUE)*(F1380-Calc!F28)))/100)/2</f>
        <v/>
      </c>
      <c r="M1361">
        <f>L1361*(1+(Inputs!$B$10+0+B1389)/100)</f>
        <v/>
      </c>
      <c r="N1361">
        <f>L1361*(1-MIN((Inputs!$B$9+((C1371=TRUE)*(F1371-Calc!F19))+B1384),100)/100)+M1361*(MIN((Inputs!$B$9+((C1371=TRUE)*(F1371-Calc!F19))+B1384),100)/100)</f>
        <v/>
      </c>
      <c r="O1361">
        <f>(1-Summary!$B$55)*T1361+Summary!$B$55*V1361</f>
        <v/>
      </c>
      <c r="P1361">
        <f>IF(B1394=0,0,O1361/B1394)</f>
        <v/>
      </c>
      <c r="Q1361">
        <f>IFERROR(1/IF(Inputs!$B$38="pvp",15,MAX(0.1,Skills!D9-IF(Skills!E9=TRUE,2.0,0))),0)</f>
        <v/>
      </c>
      <c r="R1361">
        <f>IF(AND(Inputs!$B$38&lt;&gt;"pvp",Inputs!$B$43&gt;0),IF(MAX(0,Inputs!$B$43-B1391)&lt;=0,0,(INT(MAX(0,Inputs!$B$43-B1391)/IF(Inputs!$B$38="pvp",15,MAX(0.1,Skills!D9-IF(Skills!E9=TRUE,2.0,0))))+1)),0)</f>
        <v/>
      </c>
      <c r="S1361">
        <f>IFERROR((H1361*N1361*IF(AND(Inputs!$B$38&lt;&gt;"pvp",Inputs!$B$43&gt;0),((Skills!G9*((R1361-1)*IF(Skills!H9&gt;0,Skills!I9/Skills!H9,1)+IF(Skills!H9&gt;0,MIN(Skills!I9,MAX(0,MAX(0,Inputs!$B$43-B1391)-((R1361-1)*IF(Inputs!$B$38="pvp",15,MAX(0.1,Skills!D9-IF(Skills!E9=TRUE,2.0,0))))))/Skills!H9,1)))/Inputs!$B$43),G1361*Q1361))/N1361*IF(Inputs!$B$38="pvp",1,(1-Summary!$B$55)*1+Summary!$B$55*(MIN(Skills!R9,Inputs!$B$37))),0)</f>
        <v/>
      </c>
      <c r="T1361">
        <f>IF(C1361,(H1361*N1361*IF(AND(Inputs!$B$38&lt;&gt;"pvp",Inputs!$B$43&gt;0),((Skills!G9*((R1361-1)*IF(Skills!H9&gt;0,Skills!I9/Skills!H9,1)+IF(Skills!H9&gt;0,MIN(Skills!I9,MAX(0,MAX(0,Inputs!$B$43-B1391)-((R1361-1)*IF(Inputs!$B$38="pvp",15,MAX(0.1,Skills!D9-IF(Skills!E9=TRUE,2.0,0))))))/Skills!H9,1)))/Inputs!$B$43),G1361*Q1361))*IF(Inputs!$B$38="pvp",1,1+(Inputs!$B$20+0+Skills!P9)/100),0)</f>
        <v/>
      </c>
      <c r="V1361">
        <f>IF(C1361,(H1361*N1361*IF(AND(Inputs!$B$38&lt;&gt;"pvp",Inputs!$B$43&gt;0),((Skills!G9*((R1361-1)*IF(Skills!H9&gt;0,Skills!I9/Skills!H9,1)+IF(Skills!H9&gt;0,MIN(Skills!I9,MAX(0,MAX(0,Inputs!$B$43-B1391)-((R1361-1)*IF(Inputs!$B$38="pvp",15,MAX(0.1,Skills!D9-IF(Skills!E9=TRUE,2.0,0))))))/Skills!H9,1)))/Inputs!$B$43),G1361*Q1361))*IF(Inputs!$B$38="pvp",1,(1+(Inputs!$B$21+Skills!Q9)/100)*(MIN(Skills!R9,Inputs!$B$37))),0)</f>
        <v/>
      </c>
    </row>
    <row r="1362">
      <c r="A1362">
        <f>Skills!A10</f>
        <v/>
      </c>
      <c r="B1362">
        <f>Skills!B10</f>
        <v/>
      </c>
      <c r="C1362">
        <f>Inputs!$B$3&gt;=107</f>
        <v/>
      </c>
      <c r="D1362">
        <f>IF(Skills!C10=1,60+Inputs!$B$25+Inputs!$B$29,IF(Skills!C10=2,90+Inputs!$B$26+Inputs!$B$29,IF(Skills!C10=3,120+Inputs!$B$27+Inputs!$B$29,MAX(0,(Inputs!$B$3-100)*3)+Inputs!$B$28+Inputs!$B$29)))</f>
        <v/>
      </c>
      <c r="E1362">
        <f>INDEX(FactorTable!$B$2:$Y$301, MATCH(ROUND(MIN(300,MAX(1,D1362)),0), FactorTable!$A$2:$A$301,0), Skills!M10+1)</f>
        <v/>
      </c>
      <c r="F1362">
        <f>IF(Skills!N10=TRUE,(Skills!L10/10)*(E1362/1000),Skills!L10/10)+Skills!O10</f>
        <v/>
      </c>
      <c r="G1362">
        <f>Skills!G10*IF(Skills!H10&gt;0,Skills!I10/Skills!H10,1)</f>
        <v/>
      </c>
      <c r="H1362">
        <f>1-(1-Skills!J10/100)^Skills!K10</f>
        <v/>
      </c>
      <c r="I1362" t="inlineStr">
        <is>
          <t>1</t>
        </is>
      </c>
      <c r="J1362">
        <f>((Inputs!$B$6*(1+Inputs!$B$7/100))+(((Inputs!$B$12*(1+Inputs!$B$13/100))-(Inputs!$B$12*(1+Inputs!$B$13/100)))+0.25*(Inputs!$B$14-Inputs!$B$14))*(1+Inputs!$B$7/100))*(F1362/100)</f>
        <v/>
      </c>
      <c r="K1362">
        <f>J1362*(1+((Inputs!$B$12*(1+Inputs!$B$13/100))*0.01+Inputs!$B$14*0.0025)/100)*(1+Inputs!$B$15/100)*(1+Inputs!$B$16/100)*(5000/(6000+Inputs!$B$42*(1-(Inputs!$B$19+0)/100)))*(1+(Inputs!$B$24+((C1376=TRUE)*(F1376-Calc!F24))+((C1377=TRUE)*(F1377-Calc!F25))+B1390)/100)*(1+(IF(Skills!A10="EMPOWERED_PIERCING_ARROW",Inputs!$B$17+((C1374=TRUE)*(F1374-Calc!F22)),Inputs!$B$18+((C1379=TRUE)*(F1379-Calc!F27))))/100)*((1+(((C1365=TRUE)*F1365)+((C1366=TRUE)*IF(Inputs!$B$38="pvp",F1366,(1-Summary!$B$55)*(F1366)+Summary!$B$55*(0)))+((C1367=TRUE)*F1367*IF(AND(Inputs!$B$38&lt;&gt;"pvp",Inputs!$B$43&gt;0),(((R1367-1)*(Skills!T15*(1+Inputs!$B$34/100))+MIN((Skills!T15*(1+Inputs!$B$34/100)),MAX(0,Inputs!$B$43-((R1367-1)*Skills!D15))))/Inputs!$B$43),IF(Inputs!$B$38="pvp",MIN((Skills!T15*(1+Inputs!$B$34/100)),15)/15,(Skills!T15*(1+Inputs!$B$34/100))/Skills!D15)))+((C1364=TRUE)*F1364)+((C1381=TRUE)*(F1381-Calc!F29)))/100)*I1362)</f>
        <v/>
      </c>
      <c r="L1362">
        <f>K1362*(MIN(Inputs!$B$22+((C1375=TRUE)*(F1375-Calc!F23)),Inputs!$B$23+((C1380=TRUE)*(F1380-Calc!F28)))/100+(Inputs!$B$23+((C1380=TRUE)*(F1380-Calc!F28)))/100)/2</f>
        <v/>
      </c>
      <c r="M1362">
        <f>L1362*(1+(Inputs!$B$10+0+B1389)/100)</f>
        <v/>
      </c>
      <c r="N1362">
        <f>L1362*(1-MIN((Inputs!$B$9+((C1371=TRUE)*(F1371-Calc!F19))+B1384),100)/100)+M1362*(MIN((Inputs!$B$9+((C1371=TRUE)*(F1371-Calc!F19))+B1384),100)/100)</f>
        <v/>
      </c>
      <c r="O1362">
        <f>(1-Summary!$B$55)*T1362+Summary!$B$55*V1362</f>
        <v/>
      </c>
      <c r="P1362">
        <f>IF(B1394=0,0,O1362/B1394)</f>
        <v/>
      </c>
      <c r="Q1362" t="n">
        <v>0</v>
      </c>
      <c r="R1362" t="n">
        <v>0</v>
      </c>
      <c r="S1362" t="n">
        <v>0</v>
      </c>
      <c r="T1362">
        <f>IF(C1362,(0.15*SUMPRODUCT((Skills!U2:U29=TRUE)*(C1354:C1381=TRUE)*S1354:S1381)*Skills!G10*N1362)*IF(Inputs!$B$38="pvp",1,1+(Inputs!$B$20+0+Skills!P10)/100),0)</f>
        <v/>
      </c>
      <c r="V1362">
        <f>IF(C1362,(0.15*SUMPRODUCT((Skills!U2:U29=TRUE)*(C1354:C1381=TRUE)*S1354:S1381)*Skills!G10*N1362)*IF(Inputs!$B$38="pvp",1,(1+(Inputs!$B$21+Skills!Q10)/100)*(MIN(Skills!R10,Inputs!$B$37))),0)</f>
        <v/>
      </c>
    </row>
    <row r="1363">
      <c r="A1363">
        <f>Skills!A11</f>
        <v/>
      </c>
      <c r="B1363">
        <f>Skills!B11</f>
        <v/>
      </c>
      <c r="C1363">
        <f>Inputs!$B$3&gt;=110</f>
        <v/>
      </c>
      <c r="D1363">
        <f>IF(Skills!C11=1,60+Inputs!$B$25+Inputs!$B$29,IF(Skills!C11=2,90+Inputs!$B$26+Inputs!$B$29,IF(Skills!C11=3,120+Inputs!$B$27+Inputs!$B$29,MAX(0,(Inputs!$B$3-100)*3)+Inputs!$B$28+Inputs!$B$29)))</f>
        <v/>
      </c>
      <c r="E1363">
        <f>INDEX(FactorTable!$B$2:$Y$301, MATCH(ROUND(MIN(300,MAX(1,D1363)),0), FactorTable!$A$2:$A$301,0), Skills!M11+1)</f>
        <v/>
      </c>
      <c r="F1363">
        <f>IF(Skills!N11=TRUE,(Skills!L11/10)*(E1363/1000),Skills!L11/10)+Skills!O11</f>
        <v/>
      </c>
      <c r="G1363">
        <f>Skills!G11*IF(Skills!H11&gt;0,Skills!I11/Skills!H11,1)</f>
        <v/>
      </c>
      <c r="H1363">
        <f>1-(1-Skills!J11/100)^Skills!K11</f>
        <v/>
      </c>
      <c r="I1363" t="inlineStr">
        <is>
          <t>1</t>
        </is>
      </c>
      <c r="J1363">
        <f>((Inputs!$B$6*(1+Inputs!$B$7/100))+(((Inputs!$B$12*(1+Inputs!$B$13/100))-(Inputs!$B$12*(1+Inputs!$B$13/100)))+0.25*(Inputs!$B$14-Inputs!$B$14))*(1+Inputs!$B$7/100))*(F1363/100)</f>
        <v/>
      </c>
      <c r="K1363">
        <f>J1363*(1+((Inputs!$B$12*(1+Inputs!$B$13/100))*0.01+Inputs!$B$14*0.0025)/100)*(1+Inputs!$B$15/100)*(1+Inputs!$B$16/100)*(5000/(6000+Inputs!$B$42*(1-(Inputs!$B$19+0)/100)))*(1+(Inputs!$B$24+((C1376=TRUE)*(F1376-Calc!F24))+((C1377=TRUE)*(F1377-Calc!F25))+B1390)/100)*(1+(IF(Skills!A11="EMPOWERED_PIERCING_ARROW",Inputs!$B$17+((C1374=TRUE)*(F1374-Calc!F22)),Inputs!$B$18+((C1379=TRUE)*(F1379-Calc!F27))))/100)*((1+(((C1365=TRUE)*F1365)+((C1366=TRUE)*IF(Inputs!$B$38="pvp",F1366,(1-Summary!$B$55)*(F1366)+Summary!$B$55*(0)))+((C1367=TRUE)*F1367*IF(AND(Inputs!$B$38&lt;&gt;"pvp",Inputs!$B$43&gt;0),(((R1367-1)*(Skills!T15*(1+Inputs!$B$34/100))+MIN((Skills!T15*(1+Inputs!$B$34/100)),MAX(0,Inputs!$B$43-((R1367-1)*Skills!D15))))/Inputs!$B$43),IF(Inputs!$B$38="pvp",MIN((Skills!T15*(1+Inputs!$B$34/100)),15)/15,(Skills!T15*(1+Inputs!$B$34/100))/Skills!D15)))+((C1364=TRUE)*F1364)+((C1381=TRUE)*(F1381-Calc!F29)))/100)*I1363)</f>
        <v/>
      </c>
      <c r="L1363">
        <f>K1363*(MIN(Inputs!$B$22+((C1375=TRUE)*(F1375-Calc!F23)),Inputs!$B$23+((C1380=TRUE)*(F1380-Calc!F28)))/100+(Inputs!$B$23+((C1380=TRUE)*(F1380-Calc!F28)))/100)/2</f>
        <v/>
      </c>
      <c r="M1363">
        <f>L1363*(1+(Inputs!$B$10+0+B1389)/100)</f>
        <v/>
      </c>
      <c r="N1363">
        <f>L1363*(1-MIN((Inputs!$B$9+((C1371=TRUE)*(F1371-Calc!F19))+B1384),100)/100)+M1363*(MIN((Inputs!$B$9+((C1371=TRUE)*(F1371-Calc!F19))+B1384),100)/100)</f>
        <v/>
      </c>
      <c r="O1363">
        <f>(1-Summary!$B$55)*T1363+Summary!$B$55*V1363</f>
        <v/>
      </c>
      <c r="P1363">
        <f>IF(B1394=0,0,O1363/B1394)</f>
        <v/>
      </c>
      <c r="Q1363">
        <f>IFERROR(1/IF(Inputs!$B$38="pvp",15,MAX(0.1,Skills!D11-IF(Skills!E11=TRUE,2.0,0))),0)</f>
        <v/>
      </c>
      <c r="R1363">
        <f>IF(AND(Inputs!$B$38&lt;&gt;"pvp",Inputs!$B$43&gt;0),IF(MAX(0,Inputs!$B$43-B1391)&lt;=0,0,(INT(MAX(0,Inputs!$B$43-B1391)/IF(Inputs!$B$38="pvp",15,MAX(0.1,Skills!D11-IF(Skills!E11=TRUE,2.0,0))))+1)),0)</f>
        <v/>
      </c>
      <c r="S1363">
        <f>IFERROR((H1363*N1363*IF(AND(Inputs!$B$38&lt;&gt;"pvp",Inputs!$B$43&gt;0),((Skills!G11*((R1363-1)*IF(Skills!H11&gt;0,Skills!I11/Skills!H11,1)+IF(Skills!H11&gt;0,MIN(Skills!I11,MAX(0,MAX(0,Inputs!$B$43-B1391)-((R1363-1)*IF(Inputs!$B$38="pvp",15,MAX(0.1,Skills!D11-IF(Skills!E11=TRUE,2.0,0))))))/Skills!H11,1)))/Inputs!$B$43),G1363*Q1363))/N1363*IF(Inputs!$B$38="pvp",1,(1-Summary!$B$55)*1+Summary!$B$55*(MIN(Skills!R11,Inputs!$B$37))),0)</f>
        <v/>
      </c>
      <c r="T1363">
        <f>IF(C1363,(H1363*N1363*IF(AND(Inputs!$B$38&lt;&gt;"pvp",Inputs!$B$43&gt;0),((Skills!G11*((R1363-1)*IF(Skills!H11&gt;0,Skills!I11/Skills!H11,1)+IF(Skills!H11&gt;0,MIN(Skills!I11,MAX(0,MAX(0,Inputs!$B$43-B1391)-((R1363-1)*IF(Inputs!$B$38="pvp",15,MAX(0.1,Skills!D11-IF(Skills!E11=TRUE,2.0,0))))))/Skills!H11,1)))/Inputs!$B$43),G1363*Q1363))*IF(Inputs!$B$38="pvp",1,1+(Inputs!$B$20+0+Skills!P11)/100),0)</f>
        <v/>
      </c>
      <c r="V1363">
        <f>IF(C1363,(H1363*N1363*IF(AND(Inputs!$B$38&lt;&gt;"pvp",Inputs!$B$43&gt;0),((Skills!G11*((R1363-1)*IF(Skills!H11&gt;0,Skills!I11/Skills!H11,1)+IF(Skills!H11&gt;0,MIN(Skills!I11,MAX(0,MAX(0,Inputs!$B$43-B1391)-((R1363-1)*IF(Inputs!$B$38="pvp",15,MAX(0.1,Skills!D11-IF(Skills!E11=TRUE,2.0,0))))))/Skills!H11,1)))/Inputs!$B$43),G1363*Q1363))*IF(Inputs!$B$38="pvp",1,(1+(Inputs!$B$21+Skills!Q11)/100)*(MIN(Skills!R11,Inputs!$B$37))),0)</f>
        <v/>
      </c>
    </row>
    <row r="1364">
      <c r="A1364">
        <f>Skills!A12</f>
        <v/>
      </c>
      <c r="B1364">
        <f>Skills!B12</f>
        <v/>
      </c>
      <c r="C1364">
        <f>Inputs!$B$3&gt;=60</f>
        <v/>
      </c>
      <c r="D1364">
        <f>IF(Skills!C12=1,60+Inputs!$B$25+Inputs!$B$29,IF(Skills!C12=2,90+Inputs!$B$26+Inputs!$B$29,IF(Skills!C12=3,120+Inputs!$B$27+Inputs!$B$29,MAX(0,(Inputs!$B$3-100)*3)+Inputs!$B$28+Inputs!$B$29)))</f>
        <v/>
      </c>
      <c r="E1364">
        <f>INDEX(FactorTable!$B$2:$Y$301, MATCH(ROUND(MIN(300,MAX(1,D1364)),0), FactorTable!$A$2:$A$301,0), Skills!M12+1)</f>
        <v/>
      </c>
      <c r="F1364">
        <f>IF(Skills!N12=TRUE,(Skills!L12/10)*(E1364/1000),Skills!L12/10)+Skills!O12</f>
        <v/>
      </c>
      <c r="G1364">
        <f>Skills!G12*IF(Skills!H12&gt;0,Skills!I12/Skills!H12,1)</f>
        <v/>
      </c>
      <c r="H1364">
        <f>1-(1-Skills!J12/100)^Skills!K12</f>
        <v/>
      </c>
      <c r="I1364" t="inlineStr">
        <is>
          <t>1</t>
        </is>
      </c>
      <c r="J1364" t="inlineStr"/>
      <c r="K1364" t="inlineStr"/>
      <c r="L1364" t="inlineStr"/>
      <c r="M1364" t="inlineStr"/>
      <c r="N1364" t="inlineStr"/>
      <c r="O1364">
        <f>(1-Summary!$B$55)*T1364+Summary!$B$55*V1364</f>
        <v/>
      </c>
      <c r="P1364">
        <f>IF(B1394=0,0,O1364/B1394)</f>
        <v/>
      </c>
      <c r="Q1364" t="n">
        <v>0</v>
      </c>
      <c r="R1364" t="n">
        <v>0</v>
      </c>
      <c r="S1364" t="n">
        <v>0</v>
      </c>
      <c r="T1364" t="n">
        <v>0</v>
      </c>
      <c r="V1364" t="n">
        <v>0</v>
      </c>
    </row>
    <row r="1365">
      <c r="A1365">
        <f>Skills!A13</f>
        <v/>
      </c>
      <c r="B1365">
        <f>Skills!B13</f>
        <v/>
      </c>
      <c r="C1365">
        <f>Inputs!$B$3&gt;=74</f>
        <v/>
      </c>
      <c r="D1365">
        <f>IF(Skills!C13=1,60+Inputs!$B$25+Inputs!$B$29,IF(Skills!C13=2,90+Inputs!$B$26+Inputs!$B$29,IF(Skills!C13=3,120+Inputs!$B$27+Inputs!$B$29,MAX(0,(Inputs!$B$3-100)*3)+Inputs!$B$28+Inputs!$B$29)))</f>
        <v/>
      </c>
      <c r="E1365">
        <f>INDEX(FactorTable!$B$2:$Y$301, MATCH(ROUND(MIN(300,MAX(1,D1365)),0), FactorTable!$A$2:$A$301,0), Skills!M13+1)</f>
        <v/>
      </c>
      <c r="F1365">
        <f>IF(Skills!N13=TRUE,(Skills!L13/10)*(E1365/1000),Skills!L13/10)+Skills!O13</f>
        <v/>
      </c>
      <c r="G1365">
        <f>Skills!G13*IF(Skills!H13&gt;0,Skills!I13/Skills!H13,1)</f>
        <v/>
      </c>
      <c r="H1365">
        <f>1-(1-Skills!J13/100)^Skills!K13</f>
        <v/>
      </c>
      <c r="I1365" t="inlineStr">
        <is>
          <t>1</t>
        </is>
      </c>
      <c r="J1365" t="inlineStr"/>
      <c r="K1365" t="inlineStr"/>
      <c r="L1365" t="inlineStr"/>
      <c r="M1365" t="inlineStr"/>
      <c r="N1365" t="inlineStr"/>
      <c r="O1365">
        <f>(1-Summary!$B$55)*T1365+Summary!$B$55*V1365</f>
        <v/>
      </c>
      <c r="P1365">
        <f>IF(B1394=0,0,O1365/B1394)</f>
        <v/>
      </c>
      <c r="Q1365" t="n">
        <v>0</v>
      </c>
      <c r="R1365" t="n">
        <v>0</v>
      </c>
      <c r="S1365" t="n">
        <v>0</v>
      </c>
      <c r="T1365" t="n">
        <v>0</v>
      </c>
      <c r="V1365" t="n">
        <v>0</v>
      </c>
    </row>
    <row r="1366">
      <c r="A1366">
        <f>Skills!A14</f>
        <v/>
      </c>
      <c r="B1366">
        <f>Skills!B14</f>
        <v/>
      </c>
      <c r="C1366">
        <f>Inputs!$B$3&gt;=74</f>
        <v/>
      </c>
      <c r="D1366">
        <f>IF(Skills!C14=1,60+Inputs!$B$25+Inputs!$B$29,IF(Skills!C14=2,90+Inputs!$B$26+Inputs!$B$29,IF(Skills!C14=3,120+Inputs!$B$27+Inputs!$B$29,MAX(0,(Inputs!$B$3-100)*3)+Inputs!$B$28+Inputs!$B$29)))</f>
        <v/>
      </c>
      <c r="E1366">
        <f>INDEX(FactorTable!$B$2:$Y$301, MATCH(ROUND(MIN(300,MAX(1,D1366)),0), FactorTable!$A$2:$A$301,0), Skills!M14+1)</f>
        <v/>
      </c>
      <c r="F1366">
        <f>IF(Skills!N14=TRUE,(Skills!L14/10)*(E1366/1000),Skills!L14/10)+Skills!O14</f>
        <v/>
      </c>
      <c r="G1366">
        <f>Skills!G14*IF(Skills!H14&gt;0,Skills!I14/Skills!H14,1)</f>
        <v/>
      </c>
      <c r="H1366">
        <f>1-(1-Skills!J14/100)^Skills!K14</f>
        <v/>
      </c>
      <c r="I1366" t="inlineStr">
        <is>
          <t>1</t>
        </is>
      </c>
      <c r="J1366" t="inlineStr"/>
      <c r="K1366" t="inlineStr"/>
      <c r="L1366" t="inlineStr"/>
      <c r="M1366" t="inlineStr"/>
      <c r="N1366" t="inlineStr"/>
      <c r="O1366">
        <f>(1-Summary!$B$55)*T1366+Summary!$B$55*V1366</f>
        <v/>
      </c>
      <c r="P1366">
        <f>IF(B1394=0,0,O1366/B1394)</f>
        <v/>
      </c>
      <c r="Q1366" t="n">
        <v>0</v>
      </c>
      <c r="R1366" t="n">
        <v>0</v>
      </c>
      <c r="S1366" t="n">
        <v>0</v>
      </c>
      <c r="T1366" t="n">
        <v>0</v>
      </c>
      <c r="V1366" t="n">
        <v>0</v>
      </c>
    </row>
    <row r="1367">
      <c r="A1367">
        <f>Skills!A15</f>
        <v/>
      </c>
      <c r="B1367">
        <f>Skills!B15</f>
        <v/>
      </c>
      <c r="C1367">
        <f>Inputs!$B$3&gt;=117</f>
        <v/>
      </c>
      <c r="D1367">
        <f>IF(Skills!C15=1,60+Inputs!$B$25+Inputs!$B$29,IF(Skills!C15=2,90+Inputs!$B$26+Inputs!$B$29,IF(Skills!C15=3,120+Inputs!$B$27+Inputs!$B$29,MAX(0,(Inputs!$B$3-100)*3)+Inputs!$B$28+Inputs!$B$29)))</f>
        <v/>
      </c>
      <c r="E1367">
        <f>INDEX(FactorTable!$B$2:$Y$301, MATCH(ROUND(MIN(300,MAX(1,D1367)),0), FactorTable!$A$2:$A$301,0), Skills!M15+1)</f>
        <v/>
      </c>
      <c r="F1367">
        <f>IF(Skills!N15=TRUE,(Skills!L15/10)*(E1367/1000),Skills!L15/10)+Skills!O15</f>
        <v/>
      </c>
      <c r="G1367">
        <f>Skills!G15*IF(Skills!H15&gt;0,Skills!I15/Skills!H15,1)</f>
        <v/>
      </c>
      <c r="H1367">
        <f>1-(1-Skills!J15/100)^Skills!K15</f>
        <v/>
      </c>
      <c r="I1367" t="inlineStr">
        <is>
          <t>1</t>
        </is>
      </c>
      <c r="J1367" t="inlineStr"/>
      <c r="K1367" t="inlineStr"/>
      <c r="L1367" t="inlineStr"/>
      <c r="M1367" t="inlineStr"/>
      <c r="N1367" t="inlineStr"/>
      <c r="O1367">
        <f>(1-Summary!$B$55)*T1367+Summary!$B$55*V1367</f>
        <v/>
      </c>
      <c r="P1367">
        <f>IF(B1394=0,0,O1367/B1394)</f>
        <v/>
      </c>
      <c r="Q1367">
        <f>IFERROR(1/IF(Inputs!$B$38="pvp",15,MAX(0.1,Skills!D15-IF(Skills!E15=TRUE,2.0,0))),0)</f>
        <v/>
      </c>
      <c r="R1367">
        <f>IF(AND(Inputs!$B$38&lt;&gt;"pvp",Inputs!$B$43&gt;0),IF(Inputs!$B$43&lt;=0,0,(INT(Inputs!$B$43/IF(Inputs!$B$38="pvp",15,MAX(0.1,Skills!D15-IF(Skills!E15=TRUE,2.0,0))))+1)),0)</f>
        <v/>
      </c>
      <c r="S1367" t="n">
        <v>0</v>
      </c>
      <c r="T1367" t="n">
        <v>0</v>
      </c>
      <c r="V1367" t="n">
        <v>0</v>
      </c>
    </row>
    <row r="1368">
      <c r="A1368">
        <f>Skills!A16</f>
        <v/>
      </c>
      <c r="B1368">
        <f>Skills!B16</f>
        <v/>
      </c>
      <c r="C1368">
        <f>Inputs!$B$3&gt;=115</f>
        <v/>
      </c>
      <c r="D1368">
        <f>IF(Skills!C16=1,60+Inputs!$B$25+Inputs!$B$29,IF(Skills!C16=2,90+Inputs!$B$26+Inputs!$B$29,IF(Skills!C16=3,120+Inputs!$B$27+Inputs!$B$29,MAX(0,(Inputs!$B$3-100)*3)+Inputs!$B$28+Inputs!$B$29)))</f>
        <v/>
      </c>
      <c r="E1368">
        <f>INDEX(FactorTable!$B$2:$Y$301, MATCH(ROUND(MIN(300,MAX(1,D1368)),0), FactorTable!$A$2:$A$301,0), Skills!M16+1)</f>
        <v/>
      </c>
      <c r="F1368">
        <f>IF(Skills!N16=TRUE,(Skills!L16/10)*(E1368/1000),Skills!L16/10)+Skills!O16</f>
        <v/>
      </c>
      <c r="G1368">
        <f>Skills!G16*IF(Skills!H16&gt;0,Skills!I16/Skills!H16,1)</f>
        <v/>
      </c>
      <c r="H1368">
        <f>1-(1-Skills!J16/100)^Skills!K16</f>
        <v/>
      </c>
      <c r="I1368" t="inlineStr">
        <is>
          <t>1</t>
        </is>
      </c>
      <c r="J1368" t="inlineStr"/>
      <c r="K1368" t="inlineStr"/>
      <c r="L1368" t="inlineStr"/>
      <c r="M1368" t="inlineStr"/>
      <c r="N1368" t="inlineStr"/>
      <c r="O1368">
        <f>(1-Summary!$B$55)*T1368+Summary!$B$55*V1368</f>
        <v/>
      </c>
      <c r="P1368">
        <f>IF(B1394=0,0,O1368/B1394)</f>
        <v/>
      </c>
      <c r="Q1368">
        <f>IFERROR(1/IF(Inputs!$B$38="pvp",15,MAX(0.1,Skills!D16-IF(Skills!E16=TRUE,2.0,0))),0)</f>
        <v/>
      </c>
      <c r="R1368">
        <f>IF(AND(Inputs!$B$38&lt;&gt;"pvp",Inputs!$B$43&gt;0),IF(Inputs!$B$43&lt;=0,0,(INT(Inputs!$B$43/IF(Inputs!$B$38="pvp",15,MAX(0.1,Skills!D16-IF(Skills!E16=TRUE,2.0,0))))+1)),0)</f>
        <v/>
      </c>
      <c r="S1368" t="n">
        <v>0</v>
      </c>
      <c r="T1368" t="n">
        <v>0</v>
      </c>
      <c r="V1368" t="n">
        <v>0</v>
      </c>
    </row>
    <row r="1369">
      <c r="A1369">
        <f>Skills!A17</f>
        <v/>
      </c>
      <c r="B1369">
        <f>Skills!B17</f>
        <v/>
      </c>
      <c r="C1369">
        <f>Inputs!$B$3&gt;=72</f>
        <v/>
      </c>
      <c r="D1369">
        <f>IF(Skills!C17=1,60+Inputs!$B$25+Inputs!$B$29,IF(Skills!C17=2,90+Inputs!$B$26+Inputs!$B$29,IF(Skills!C17=3,120+Inputs!$B$27+Inputs!$B$29,MAX(0,(Inputs!$B$3-100)*3)+Inputs!$B$28+Inputs!$B$29)))</f>
        <v/>
      </c>
      <c r="E1369">
        <f>INDEX(FactorTable!$B$2:$Y$301, MATCH(ROUND(MIN(300,MAX(1,D1369)),0), FactorTable!$A$2:$A$301,0), Skills!M17+1)</f>
        <v/>
      </c>
      <c r="F1369">
        <f>IF(Skills!N17=TRUE,(Skills!L17/10)*(E1369/1000),Skills!L17/10)+Skills!O17</f>
        <v/>
      </c>
      <c r="G1369">
        <f>Skills!G17*IF(Skills!H17&gt;0,Skills!I17/Skills!H17,1)</f>
        <v/>
      </c>
      <c r="H1369">
        <f>1-(1-Skills!J17/100)^Skills!K17</f>
        <v/>
      </c>
      <c r="I1369" t="inlineStr">
        <is>
          <t>1</t>
        </is>
      </c>
      <c r="J1369" t="inlineStr"/>
      <c r="K1369" t="inlineStr"/>
      <c r="L1369" t="inlineStr"/>
      <c r="M1369" t="inlineStr"/>
      <c r="N1369" t="inlineStr"/>
      <c r="O1369">
        <f>(1-Summary!$B$55)*T1369+Summary!$B$55*V1369</f>
        <v/>
      </c>
      <c r="P1369">
        <f>IF(B1394=0,0,O1369/B1394)</f>
        <v/>
      </c>
      <c r="Q1369" t="n">
        <v>0</v>
      </c>
      <c r="R1369" t="n">
        <v>0</v>
      </c>
      <c r="S1369" t="n">
        <v>0</v>
      </c>
      <c r="T1369" t="n">
        <v>0</v>
      </c>
      <c r="V1369" t="n">
        <v>0</v>
      </c>
    </row>
    <row r="1370">
      <c r="A1370">
        <f>Skills!A18</f>
        <v/>
      </c>
      <c r="B1370">
        <f>Skills!B18</f>
        <v/>
      </c>
      <c r="C1370">
        <f>TRUE</f>
        <v/>
      </c>
      <c r="D1370">
        <f>IF(Skills!C18=1,60+Inputs!$B$25+Inputs!$B$29,IF(Skills!C18=2,90+Inputs!$B$26+Inputs!$B$29,IF(Skills!C18=3,120+Inputs!$B$27+Inputs!$B$29,MAX(0,(Inputs!$B$3-100)*3)+Inputs!$B$28+Inputs!$B$29)))</f>
        <v/>
      </c>
      <c r="E1370">
        <f>INDEX(FactorTable!$B$2:$Y$301, MATCH(ROUND(MIN(300,MAX(1,D1370)),0), FactorTable!$A$2:$A$301,0), Skills!M18+1)</f>
        <v/>
      </c>
      <c r="F1370">
        <f>IF(Skills!N18=TRUE,(Skills!L18/10)*(E1370/1000),Skills!L18/10)+Skills!O18</f>
        <v/>
      </c>
      <c r="G1370">
        <f>Skills!G18*IF(Skills!H18&gt;0,Skills!I18/Skills!H18,1)</f>
        <v/>
      </c>
      <c r="H1370">
        <f>1-(1-Skills!J18/100)^Skills!K18</f>
        <v/>
      </c>
      <c r="I1370" t="inlineStr">
        <is>
          <t>1</t>
        </is>
      </c>
      <c r="J1370" t="inlineStr"/>
      <c r="K1370" t="inlineStr"/>
      <c r="L1370" t="inlineStr"/>
      <c r="M1370" t="inlineStr"/>
      <c r="N1370" t="inlineStr"/>
      <c r="O1370">
        <f>(1-Summary!$B$55)*T1370+Summary!$B$55*V1370</f>
        <v/>
      </c>
      <c r="P1370">
        <f>IF(B1394=0,0,O1370/B1394)</f>
        <v/>
      </c>
      <c r="Q1370">
        <f>IFERROR(1/IF(Inputs!$B$38="pvp",15,MAX(0.1,Skills!D18-IF(Skills!E18=TRUE,2.0,0))),0)</f>
        <v/>
      </c>
      <c r="R1370">
        <f>IF(AND(Inputs!$B$38&lt;&gt;"pvp",Inputs!$B$43&gt;0),IF(Inputs!$B$43&lt;=0,0,(INT(Inputs!$B$43/IF(Inputs!$B$38="pvp",15,MAX(0.1,Skills!D18-IF(Skills!E18=TRUE,2.0,0))))+1)),0)</f>
        <v/>
      </c>
      <c r="S1370" t="n">
        <v>0</v>
      </c>
      <c r="T1370" t="n">
        <v>0</v>
      </c>
      <c r="V1370" t="n">
        <v>0</v>
      </c>
    </row>
    <row r="1371">
      <c r="A1371">
        <f>Skills!A19</f>
        <v/>
      </c>
      <c r="B1371">
        <f>Skills!B19</f>
        <v/>
      </c>
      <c r="C1371">
        <f>Inputs!$B$3&gt;=15</f>
        <v/>
      </c>
      <c r="D1371">
        <f>IF(Skills!C19=1,60+Inputs!$B$25+Inputs!$B$29,IF(Skills!C19=2,90+Inputs!$B$26+Inputs!$B$29,IF(Skills!C19=3,120+Inputs!$B$27+Inputs!$B$29,MAX(0,(Inputs!$B$3-100)*3)+Inputs!$B$28+Inputs!$B$29)))</f>
        <v/>
      </c>
      <c r="E1371">
        <f>INDEX(FactorTable!$B$2:$Y$301, MATCH(ROUND(MIN(300,MAX(1,D1371)),0), FactorTable!$A$2:$A$301,0), Skills!M19+1)</f>
        <v/>
      </c>
      <c r="F1371">
        <f>IF(Skills!N19=TRUE,(Skills!L19/10)*(E1371/1000),Skills!L19/10)+Skills!O19</f>
        <v/>
      </c>
      <c r="G1371">
        <f>Skills!G19*IF(Skills!H19&gt;0,Skills!I19/Skills!H19,1)</f>
        <v/>
      </c>
      <c r="H1371">
        <f>1-(1-Skills!J19/100)^Skills!K19</f>
        <v/>
      </c>
      <c r="I1371" t="inlineStr">
        <is>
          <t>1</t>
        </is>
      </c>
      <c r="J1371" t="inlineStr"/>
      <c r="K1371" t="inlineStr"/>
      <c r="L1371" t="inlineStr"/>
      <c r="M1371" t="inlineStr"/>
      <c r="N1371" t="inlineStr"/>
      <c r="O1371">
        <f>(1-Summary!$B$55)*T1371+Summary!$B$55*V1371</f>
        <v/>
      </c>
      <c r="P1371">
        <f>IF(B1394=0,0,O1371/B1394)</f>
        <v/>
      </c>
      <c r="Q1371" t="n">
        <v>0</v>
      </c>
      <c r="R1371" t="n">
        <v>0</v>
      </c>
      <c r="S1371" t="n">
        <v>0</v>
      </c>
      <c r="T1371" t="n">
        <v>0</v>
      </c>
      <c r="V1371" t="n">
        <v>0</v>
      </c>
    </row>
    <row r="1372">
      <c r="A1372">
        <f>Skills!A20</f>
        <v/>
      </c>
      <c r="B1372">
        <f>Skills!B20</f>
        <v/>
      </c>
      <c r="C1372">
        <f>Inputs!$B$3&gt;=10</f>
        <v/>
      </c>
      <c r="D1372">
        <f>IF(Skills!C20=1,60+Inputs!$B$25+Inputs!$B$29,IF(Skills!C20=2,90+Inputs!$B$26+Inputs!$B$29,IF(Skills!C20=3,120+Inputs!$B$27+Inputs!$B$29,MAX(0,(Inputs!$B$3-100)*3)+Inputs!$B$28+Inputs!$B$29)))</f>
        <v/>
      </c>
      <c r="E1372">
        <f>INDEX(FactorTable!$B$2:$Y$301, MATCH(ROUND(MIN(300,MAX(1,D1372)),0), FactorTable!$A$2:$A$301,0), Skills!M20+1)</f>
        <v/>
      </c>
      <c r="F1372">
        <f>IF(Skills!N20=TRUE,(Skills!L20/10)*(E1372/1000),Skills!L20/10)+Skills!O20</f>
        <v/>
      </c>
      <c r="G1372">
        <f>Skills!G20*IF(Skills!H20&gt;0,Skills!I20/Skills!H20,1)</f>
        <v/>
      </c>
      <c r="H1372">
        <f>1-(1-Skills!J20/100)^Skills!K20</f>
        <v/>
      </c>
      <c r="I1372" t="inlineStr">
        <is>
          <t>1</t>
        </is>
      </c>
      <c r="J1372" t="inlineStr"/>
      <c r="K1372" t="inlineStr"/>
      <c r="L1372" t="inlineStr"/>
      <c r="M1372" t="inlineStr"/>
      <c r="N1372" t="inlineStr"/>
      <c r="O1372">
        <f>(1-Summary!$B$55)*T1372+Summary!$B$55*V1372</f>
        <v/>
      </c>
      <c r="P1372">
        <f>IF(B1394=0,0,O1372/B1394)</f>
        <v/>
      </c>
      <c r="Q1372" t="n">
        <v>0</v>
      </c>
      <c r="R1372" t="n">
        <v>0</v>
      </c>
      <c r="S1372" t="n">
        <v>0</v>
      </c>
      <c r="T1372" t="n">
        <v>0</v>
      </c>
      <c r="V1372" t="n">
        <v>0</v>
      </c>
    </row>
    <row r="1373">
      <c r="A1373">
        <f>Skills!A21</f>
        <v/>
      </c>
      <c r="B1373">
        <f>Skills!B21</f>
        <v/>
      </c>
      <c r="C1373">
        <f>Inputs!$B$3&gt;=33</f>
        <v/>
      </c>
      <c r="D1373">
        <f>IF(Skills!C21=1,60+Inputs!$B$25+Inputs!$B$29,IF(Skills!C21=2,90+Inputs!$B$26+Inputs!$B$29,IF(Skills!C21=3,120+Inputs!$B$27+Inputs!$B$29,MAX(0,(Inputs!$B$3-100)*3)+Inputs!$B$28+Inputs!$B$29)))</f>
        <v/>
      </c>
      <c r="E1373">
        <f>INDEX(FactorTable!$B$2:$Y$301, MATCH(ROUND(MIN(300,MAX(1,D1373)),0), FactorTable!$A$2:$A$301,0), Skills!M21+1)</f>
        <v/>
      </c>
      <c r="F1373">
        <f>IF(Skills!N21=TRUE,(Skills!L21/10)*(E1373/1000),Skills!L21/10)+Skills!O21</f>
        <v/>
      </c>
      <c r="G1373">
        <f>Skills!G21*IF(Skills!H21&gt;0,Skills!I21/Skills!H21,1)</f>
        <v/>
      </c>
      <c r="H1373">
        <f>1-(1-Skills!J21/100)^Skills!K21</f>
        <v/>
      </c>
      <c r="I1373" t="inlineStr">
        <is>
          <t>1</t>
        </is>
      </c>
      <c r="J1373" t="inlineStr"/>
      <c r="K1373" t="inlineStr"/>
      <c r="L1373" t="inlineStr"/>
      <c r="M1373" t="inlineStr"/>
      <c r="N1373" t="inlineStr"/>
      <c r="O1373">
        <f>(1-Summary!$B$55)*T1373+Summary!$B$55*V1373</f>
        <v/>
      </c>
      <c r="P1373">
        <f>IF(B1394=0,0,O1373/B1394)</f>
        <v/>
      </c>
      <c r="Q1373" t="n">
        <v>0</v>
      </c>
      <c r="R1373" t="n">
        <v>0</v>
      </c>
      <c r="S1373" t="n">
        <v>0</v>
      </c>
      <c r="T1373" t="n">
        <v>0</v>
      </c>
      <c r="V1373" t="n">
        <v>0</v>
      </c>
    </row>
    <row r="1374">
      <c r="A1374">
        <f>Skills!A22</f>
        <v/>
      </c>
      <c r="B1374">
        <f>Skills!B22</f>
        <v/>
      </c>
      <c r="C1374">
        <f>Inputs!$B$3&gt;=38</f>
        <v/>
      </c>
      <c r="D1374">
        <f>IF(Skills!C22=1,60+Inputs!$B$25+Inputs!$B$29,IF(Skills!C22=2,90+Inputs!$B$26+Inputs!$B$29,IF(Skills!C22=3,120+Inputs!$B$27+Inputs!$B$29,MAX(0,(Inputs!$B$3-100)*3)+Inputs!$B$28+Inputs!$B$29)))</f>
        <v/>
      </c>
      <c r="E1374">
        <f>INDEX(FactorTable!$B$2:$Y$301, MATCH(ROUND(MIN(300,MAX(1,D1374)),0), FactorTable!$A$2:$A$301,0), Skills!M22+1)</f>
        <v/>
      </c>
      <c r="F1374">
        <f>IF(Skills!N22=TRUE,(Skills!L22/10)*(E1374/1000),Skills!L22/10)+Skills!O22</f>
        <v/>
      </c>
      <c r="G1374">
        <f>Skills!G22*IF(Skills!H22&gt;0,Skills!I22/Skills!H22,1)</f>
        <v/>
      </c>
      <c r="H1374">
        <f>1-(1-Skills!J22/100)^Skills!K22</f>
        <v/>
      </c>
      <c r="I1374" t="inlineStr">
        <is>
          <t>1</t>
        </is>
      </c>
      <c r="J1374" t="inlineStr"/>
      <c r="K1374" t="inlineStr"/>
      <c r="L1374" t="inlineStr"/>
      <c r="M1374" t="inlineStr"/>
      <c r="N1374" t="inlineStr"/>
      <c r="O1374">
        <f>(1-Summary!$B$55)*T1374+Summary!$B$55*V1374</f>
        <v/>
      </c>
      <c r="P1374">
        <f>IF(B1394=0,0,O1374/B1394)</f>
        <v/>
      </c>
      <c r="Q1374" t="n">
        <v>0</v>
      </c>
      <c r="R1374" t="n">
        <v>0</v>
      </c>
      <c r="S1374" t="n">
        <v>0</v>
      </c>
      <c r="T1374" t="n">
        <v>0</v>
      </c>
      <c r="V1374" t="n">
        <v>0</v>
      </c>
    </row>
    <row r="1375">
      <c r="A1375">
        <f>Skills!A23</f>
        <v/>
      </c>
      <c r="B1375">
        <f>Skills!B23</f>
        <v/>
      </c>
      <c r="C1375">
        <f>Inputs!$B$3&gt;=43</f>
        <v/>
      </c>
      <c r="D1375">
        <f>IF(Skills!C23=1,60+Inputs!$B$25+Inputs!$B$29,IF(Skills!C23=2,90+Inputs!$B$26+Inputs!$B$29,IF(Skills!C23=3,120+Inputs!$B$27+Inputs!$B$29,MAX(0,(Inputs!$B$3-100)*3)+Inputs!$B$28+Inputs!$B$29)))</f>
        <v/>
      </c>
      <c r="E1375">
        <f>INDEX(FactorTable!$B$2:$Y$301, MATCH(ROUND(MIN(300,MAX(1,D1375)),0), FactorTable!$A$2:$A$301,0), Skills!M23+1)</f>
        <v/>
      </c>
      <c r="F1375">
        <f>IF(Skills!N23=TRUE,(Skills!L23/10)*(E1375/1000),Skills!L23/10)+Skills!O23</f>
        <v/>
      </c>
      <c r="G1375">
        <f>Skills!G23*IF(Skills!H23&gt;0,Skills!I23/Skills!H23,1)</f>
        <v/>
      </c>
      <c r="H1375">
        <f>1-(1-Skills!J23/100)^Skills!K23</f>
        <v/>
      </c>
      <c r="I1375" t="inlineStr">
        <is>
          <t>1</t>
        </is>
      </c>
      <c r="J1375" t="inlineStr"/>
      <c r="K1375" t="inlineStr"/>
      <c r="L1375" t="inlineStr"/>
      <c r="M1375" t="inlineStr"/>
      <c r="N1375" t="inlineStr"/>
      <c r="O1375">
        <f>(1-Summary!$B$55)*T1375+Summary!$B$55*V1375</f>
        <v/>
      </c>
      <c r="P1375">
        <f>IF(B1394=0,0,O1375/B1394)</f>
        <v/>
      </c>
      <c r="Q1375" t="n">
        <v>0</v>
      </c>
      <c r="R1375" t="n">
        <v>0</v>
      </c>
      <c r="S1375" t="n">
        <v>0</v>
      </c>
      <c r="T1375" t="n">
        <v>0</v>
      </c>
      <c r="V1375" t="n">
        <v>0</v>
      </c>
    </row>
    <row r="1376">
      <c r="A1376">
        <f>Skills!A24</f>
        <v/>
      </c>
      <c r="B1376">
        <f>Skills!B24</f>
        <v/>
      </c>
      <c r="C1376">
        <f>Inputs!$B$3&gt;=75</f>
        <v/>
      </c>
      <c r="D1376">
        <f>IF(Skills!C24=1,60+Inputs!$B$25+Inputs!$B$29,IF(Skills!C24=2,90+Inputs!$B$26+Inputs!$B$29,IF(Skills!C24=3,120+Inputs!$B$27+Inputs!$B$29,MAX(0,(Inputs!$B$3-100)*3)+Inputs!$B$28+Inputs!$B$29)))</f>
        <v/>
      </c>
      <c r="E1376">
        <f>INDEX(FactorTable!$B$2:$Y$301, MATCH(ROUND(MIN(300,MAX(1,D1376)),0), FactorTable!$A$2:$A$301,0), Skills!M24+1)</f>
        <v/>
      </c>
      <c r="F1376">
        <f>IF(Skills!N24=TRUE,(Skills!L24/10)*(E1376/1000),Skills!L24/10)+Skills!O24</f>
        <v/>
      </c>
      <c r="G1376">
        <f>Skills!G24*IF(Skills!H24&gt;0,Skills!I24/Skills!H24,1)</f>
        <v/>
      </c>
      <c r="H1376">
        <f>1-(1-Skills!J24/100)^Skills!K24</f>
        <v/>
      </c>
      <c r="I1376" t="inlineStr">
        <is>
          <t>1</t>
        </is>
      </c>
      <c r="J1376" t="inlineStr"/>
      <c r="K1376" t="inlineStr"/>
      <c r="L1376" t="inlineStr"/>
      <c r="M1376" t="inlineStr"/>
      <c r="N1376" t="inlineStr"/>
      <c r="O1376">
        <f>(1-Summary!$B$55)*T1376+Summary!$B$55*V1376</f>
        <v/>
      </c>
      <c r="P1376">
        <f>IF(B1394=0,0,O1376/B1394)</f>
        <v/>
      </c>
      <c r="Q1376" t="n">
        <v>0</v>
      </c>
      <c r="R1376" t="n">
        <v>0</v>
      </c>
      <c r="S1376" t="n">
        <v>0</v>
      </c>
      <c r="T1376" t="n">
        <v>0</v>
      </c>
      <c r="V1376" t="n">
        <v>0</v>
      </c>
    </row>
    <row r="1377">
      <c r="A1377">
        <f>Skills!A25</f>
        <v/>
      </c>
      <c r="B1377">
        <f>Skills!B25</f>
        <v/>
      </c>
      <c r="C1377">
        <f>Inputs!$B$3&gt;=125</f>
        <v/>
      </c>
      <c r="D1377">
        <f>IF(Skills!C25=1,60+Inputs!$B$25+Inputs!$B$29,IF(Skills!C25=2,90+Inputs!$B$26+Inputs!$B$29,IF(Skills!C25=3,120+Inputs!$B$27+Inputs!$B$29,MAX(0,(Inputs!$B$3-100)*3)+Inputs!$B$28+Inputs!$B$29)))</f>
        <v/>
      </c>
      <c r="E1377">
        <f>INDEX(FactorTable!$B$2:$Y$301, MATCH(ROUND(MIN(300,MAX(1,D1377)),0), FactorTable!$A$2:$A$301,0), Skills!M25+1)</f>
        <v/>
      </c>
      <c r="F1377">
        <f>IF(Skills!N25=TRUE,(Skills!L25/10)*(E1377/1000),Skills!L25/10)+Skills!O25</f>
        <v/>
      </c>
      <c r="G1377">
        <f>Skills!G25*IF(Skills!H25&gt;0,Skills!I25/Skills!H25,1)</f>
        <v/>
      </c>
      <c r="H1377">
        <f>1-(1-Skills!J25/100)^Skills!K25</f>
        <v/>
      </c>
      <c r="I1377" t="inlineStr">
        <is>
          <t>1</t>
        </is>
      </c>
      <c r="J1377" t="inlineStr"/>
      <c r="K1377" t="inlineStr"/>
      <c r="L1377" t="inlineStr"/>
      <c r="M1377" t="inlineStr"/>
      <c r="N1377" t="inlineStr"/>
      <c r="O1377">
        <f>(1-Summary!$B$55)*T1377+Summary!$B$55*V1377</f>
        <v/>
      </c>
      <c r="P1377">
        <f>IF(B1394=0,0,O1377/B1394)</f>
        <v/>
      </c>
      <c r="Q1377" t="n">
        <v>0</v>
      </c>
      <c r="R1377" t="n">
        <v>0</v>
      </c>
      <c r="S1377" t="n">
        <v>0</v>
      </c>
      <c r="T1377" t="n">
        <v>0</v>
      </c>
      <c r="V1377" t="n">
        <v>0</v>
      </c>
    </row>
    <row r="1378">
      <c r="A1378">
        <f>Skills!A26</f>
        <v/>
      </c>
      <c r="B1378">
        <f>Skills!B26</f>
        <v/>
      </c>
      <c r="C1378">
        <f>Inputs!$B$3&gt;=125</f>
        <v/>
      </c>
      <c r="D1378">
        <f>IF(Skills!C26=1,60+Inputs!$B$25+Inputs!$B$29,IF(Skills!C26=2,90+Inputs!$B$26+Inputs!$B$29,IF(Skills!C26=3,120+Inputs!$B$27+Inputs!$B$29,MAX(0,(Inputs!$B$3-100)*3)+Inputs!$B$28+Inputs!$B$29)))</f>
        <v/>
      </c>
      <c r="E1378">
        <f>INDEX(FactorTable!$B$2:$Y$301, MATCH(ROUND(MIN(300,MAX(1,D1378)),0), FactorTable!$A$2:$A$301,0), Skills!M26+1)</f>
        <v/>
      </c>
      <c r="F1378">
        <f>IF(Skills!N26=TRUE,(Skills!L26/10)*(E1378/1000),Skills!L26/10)+Skills!O26</f>
        <v/>
      </c>
      <c r="G1378">
        <f>Skills!G26*IF(Skills!H26&gt;0,Skills!I26/Skills!H26,1)</f>
        <v/>
      </c>
      <c r="H1378">
        <f>1-(1-Skills!J26/100)^Skills!K26</f>
        <v/>
      </c>
      <c r="I1378" t="inlineStr">
        <is>
          <t>1</t>
        </is>
      </c>
      <c r="J1378" t="inlineStr"/>
      <c r="K1378" t="inlineStr"/>
      <c r="L1378" t="inlineStr"/>
      <c r="M1378" t="inlineStr"/>
      <c r="N1378" t="inlineStr"/>
      <c r="O1378">
        <f>(1-Summary!$B$55)*T1378+Summary!$B$55*V1378</f>
        <v/>
      </c>
      <c r="P1378">
        <f>IF(B1394=0,0,O1378/B1394)</f>
        <v/>
      </c>
      <c r="Q1378" t="n">
        <v>0</v>
      </c>
      <c r="R1378" t="n">
        <v>0</v>
      </c>
      <c r="S1378" t="n">
        <v>0</v>
      </c>
      <c r="T1378" t="n">
        <v>0</v>
      </c>
      <c r="V1378" t="n">
        <v>0</v>
      </c>
    </row>
    <row r="1379">
      <c r="A1379">
        <f>Skills!A27</f>
        <v/>
      </c>
      <c r="B1379">
        <f>Skills!B27</f>
        <v/>
      </c>
      <c r="C1379">
        <f>Inputs!$B$3&gt;=120</f>
        <v/>
      </c>
      <c r="D1379">
        <f>IF(Skills!C27=1,60+Inputs!$B$25+Inputs!$B$29,IF(Skills!C27=2,90+Inputs!$B$26+Inputs!$B$29,IF(Skills!C27=3,120+Inputs!$B$27+Inputs!$B$29,MAX(0,(Inputs!$B$3-100)*3)+Inputs!$B$28+Inputs!$B$29)))</f>
        <v/>
      </c>
      <c r="E1379">
        <f>INDEX(FactorTable!$B$2:$Y$301, MATCH(ROUND(MIN(300,MAX(1,D1379)),0), FactorTable!$A$2:$A$301,0), Skills!M27+1)</f>
        <v/>
      </c>
      <c r="F1379">
        <f>IF(Skills!N27=TRUE,(Skills!L27/10)*(E1379/1000),Skills!L27/10)+Skills!O27</f>
        <v/>
      </c>
      <c r="G1379">
        <f>Skills!G27*IF(Skills!H27&gt;0,Skills!I27/Skills!H27,1)</f>
        <v/>
      </c>
      <c r="H1379">
        <f>1-(1-Skills!J27/100)^Skills!K27</f>
        <v/>
      </c>
      <c r="I1379" t="inlineStr">
        <is>
          <t>1</t>
        </is>
      </c>
      <c r="J1379" t="inlineStr"/>
      <c r="K1379" t="inlineStr"/>
      <c r="L1379" t="inlineStr"/>
      <c r="M1379" t="inlineStr"/>
      <c r="N1379" t="inlineStr"/>
      <c r="O1379">
        <f>(1-Summary!$B$55)*T1379+Summary!$B$55*V1379</f>
        <v/>
      </c>
      <c r="P1379">
        <f>IF(B1394=0,0,O1379/B1394)</f>
        <v/>
      </c>
      <c r="Q1379" t="n">
        <v>0</v>
      </c>
      <c r="R1379" t="n">
        <v>0</v>
      </c>
      <c r="S1379" t="n">
        <v>0</v>
      </c>
      <c r="T1379" t="n">
        <v>0</v>
      </c>
      <c r="V1379" t="n">
        <v>0</v>
      </c>
    </row>
    <row r="1380">
      <c r="A1380">
        <f>Skills!A28</f>
        <v/>
      </c>
      <c r="B1380">
        <f>Skills!B28</f>
        <v/>
      </c>
      <c r="C1380">
        <f>Inputs!$B$3&gt;=120</f>
        <v/>
      </c>
      <c r="D1380">
        <f>IF(Skills!C28=1,60+Inputs!$B$25+Inputs!$B$29,IF(Skills!C28=2,90+Inputs!$B$26+Inputs!$B$29,IF(Skills!C28=3,120+Inputs!$B$27+Inputs!$B$29,MAX(0,(Inputs!$B$3-100)*3)+Inputs!$B$28+Inputs!$B$29)))</f>
        <v/>
      </c>
      <c r="E1380">
        <f>INDEX(FactorTable!$B$2:$Y$301, MATCH(ROUND(MIN(300,MAX(1,D1380)),0), FactorTable!$A$2:$A$301,0), Skills!M28+1)</f>
        <v/>
      </c>
      <c r="F1380">
        <f>IF(Skills!N28=TRUE,(Skills!L28/10)*(E1380/1000),Skills!L28/10)+Skills!O28</f>
        <v/>
      </c>
      <c r="G1380">
        <f>Skills!G28*IF(Skills!H28&gt;0,Skills!I28/Skills!H28,1)</f>
        <v/>
      </c>
      <c r="H1380">
        <f>1-(1-Skills!J28/100)^Skills!K28</f>
        <v/>
      </c>
      <c r="I1380" t="inlineStr">
        <is>
          <t>1</t>
        </is>
      </c>
      <c r="J1380" t="inlineStr"/>
      <c r="K1380" t="inlineStr"/>
      <c r="L1380" t="inlineStr"/>
      <c r="M1380" t="inlineStr"/>
      <c r="N1380" t="inlineStr"/>
      <c r="O1380">
        <f>(1-Summary!$B$55)*T1380+Summary!$B$55*V1380</f>
        <v/>
      </c>
      <c r="P1380">
        <f>IF(B1394=0,0,O1380/B1394)</f>
        <v/>
      </c>
      <c r="Q1380" t="n">
        <v>0</v>
      </c>
      <c r="R1380" t="n">
        <v>0</v>
      </c>
      <c r="S1380" t="n">
        <v>0</v>
      </c>
      <c r="T1380" t="n">
        <v>0</v>
      </c>
      <c r="V1380" t="n">
        <v>0</v>
      </c>
    </row>
    <row r="1381">
      <c r="A1381">
        <f>Skills!A29</f>
        <v/>
      </c>
      <c r="B1381">
        <f>Skills!B29</f>
        <v/>
      </c>
      <c r="C1381">
        <f>Inputs!$B$3&gt;=45</f>
        <v/>
      </c>
      <c r="D1381">
        <f>IF(Skills!C29=1,60+Inputs!$B$25+Inputs!$B$29,IF(Skills!C29=2,90+Inputs!$B$26+Inputs!$B$29,IF(Skills!C29=3,120+Inputs!$B$27+Inputs!$B$29,MAX(0,(Inputs!$B$3-100)*3)+Inputs!$B$28+Inputs!$B$29)))</f>
        <v/>
      </c>
      <c r="E1381">
        <f>INDEX(FactorTable!$B$2:$Y$301, MATCH(ROUND(MIN(300,MAX(1,D1381)),0), FactorTable!$A$2:$A$301,0), Skills!M29+1)</f>
        <v/>
      </c>
      <c r="F1381">
        <f>IF(Skills!N29=TRUE,(Skills!L29/10)*(E1381/1000),Skills!L29/10)+Skills!O29</f>
        <v/>
      </c>
      <c r="G1381">
        <f>Skills!G29*IF(Skills!H29&gt;0,Skills!I29/Skills!H29,1)</f>
        <v/>
      </c>
      <c r="H1381">
        <f>1-(1-Skills!J29/100)^Skills!K29</f>
        <v/>
      </c>
      <c r="I1381" t="inlineStr">
        <is>
          <t>1</t>
        </is>
      </c>
      <c r="J1381" t="inlineStr"/>
      <c r="K1381" t="inlineStr"/>
      <c r="L1381" t="inlineStr"/>
      <c r="M1381" t="inlineStr"/>
      <c r="N1381" t="inlineStr"/>
      <c r="O1381">
        <f>(1-Summary!$B$55)*T1381+Summary!$B$55*V1381</f>
        <v/>
      </c>
      <c r="P1381">
        <f>IF(B1394=0,0,O1381/B1394)</f>
        <v/>
      </c>
      <c r="Q1381" t="n">
        <v>0</v>
      </c>
      <c r="R1381" t="n">
        <v>0</v>
      </c>
      <c r="S1381" t="n">
        <v>0</v>
      </c>
      <c r="T1381" t="n">
        <v>0</v>
      </c>
      <c r="V1381" t="n">
        <v>0</v>
      </c>
    </row>
    <row r="1383">
      <c r="A1383" t="inlineStr">
        <is>
          <t>Attack% Bucket Multiplier</t>
        </is>
      </c>
      <c r="B1383">
        <f>(1+(((C1365=TRUE)*F1365)+((C1366=TRUE)*IF(Inputs!$B$38="pvp",F1366,(1-Summary!$B$55)*(F1366)+Summary!$B$55*(0)))+((C1367=TRUE)*F1367*IF(AND(Inputs!$B$38&lt;&gt;"pvp",Inputs!$B$43&gt;0),(((R1367-1)*(Skills!T15*(1+Inputs!$B$34/100))+MIN((Skills!T15*(1+Inputs!$B$34/100)),MAX(0,Inputs!$B$43-((R1367-1)*Skills!D15))))/Inputs!$B$43),IF(Inputs!$B$38="pvp",MIN((Skills!T15*(1+Inputs!$B$34/100)),15)/15,(Skills!T15*(1+Inputs!$B$34/100))/Skills!D15)))+((C1364=TRUE)*F1364)+((C1381=TRUE)*(F1381-Calc!F29)))/100)</f>
        <v/>
      </c>
    </row>
    <row r="1384">
      <c r="A1384" t="inlineStr">
        <is>
          <t>Global Crit Rate Bonus %</t>
        </is>
      </c>
      <c r="B1384">
        <f>(C1368=TRUE)*20*IF(AND(Inputs!$B$38&lt;&gt;"pvp",Inputs!$B$43&gt;0),(((R1368-1)*(Skills!T16*(1+Inputs!$B$34/100))+MIN((Skills!T16*(1+Inputs!$B$34/100)),MAX(0,Inputs!$B$43-((R1368-1)*Skills!D16))))/Inputs!$B$43),IF(Inputs!$B$38="pvp",MIN((Skills!T16*(1+Inputs!$B$34/100)),15)/15,(Skills!T16*(1+Inputs!$B$34/100))/Skills!D16))</f>
        <v/>
      </c>
    </row>
    <row r="1385">
      <c r="A1385" t="inlineStr">
        <is>
          <t>Attack Speed Buff Bonus %</t>
        </is>
      </c>
      <c r="B1385">
        <f>((C1370=TRUE)*F1370*IF(AND(Inputs!$B$38&lt;&gt;"pvp",Inputs!$B$43&gt;0),(((R1370-1)*(Skills!T18*(1+Inputs!$B$34/100))+MIN((Skills!T18*(1+Inputs!$B$34/100)),MAX(0,Inputs!$B$43-((R1370-1)*Skills!D18))))/Inputs!$B$43),IF(Inputs!$B$38="pvp",MIN((Skills!T18*(1+Inputs!$B$34/100)),15)/15,(Skills!T18*(1+Inputs!$B$34/100))/Skills!D18)))</f>
        <v/>
      </c>
    </row>
    <row r="1386">
      <c r="A1386" t="inlineStr">
        <is>
          <t>Actions Per Second</t>
        </is>
      </c>
      <c r="B1386">
        <f>1+MIN(150,150*(1-(1-(Inputs!$B$11+((C1372=TRUE)*(F1372-Calc!F20))+((C1373=TRUE)*(F1373-Calc!F21)))/150)*(1-B1385/150)))/100</f>
        <v/>
      </c>
    </row>
    <row r="1387">
      <c r="A1387" t="inlineStr">
        <is>
          <t>Skill + Buff Cast Rate</t>
        </is>
      </c>
      <c r="B1387">
        <f>IF(AND(Inputs!$B$38&lt;&gt;"pvp",Inputs!$B$43&gt;0),SUMPRODUCT((Skills!E2:E29=TRUE)*(C1354:C1381=TRUE)*R1354:R1381*Skills!F2:F29)/Inputs!$B$43,SUMPRODUCT((Skills!E2:E29=TRUE)*(C1354:C1381=TRUE)*Q1354:Q1381*Skills!F2:F29))</f>
        <v/>
      </c>
    </row>
    <row r="1388">
      <c r="A1388" t="inlineStr">
        <is>
          <t>Empowered Piercing Arrow Casts Per Second</t>
        </is>
      </c>
      <c r="B1388">
        <f>MAX(0,B1386-B1387)</f>
        <v/>
      </c>
    </row>
    <row r="1389">
      <c r="A1389" t="inlineStr">
        <is>
          <t>Global Critical Damage Bonus % (Sharp Eyes)</t>
        </is>
      </c>
      <c r="B1389">
        <f>(C1368=TRUE)*F1368*IF(AND(Inputs!$B$38&lt;&gt;"pvp",Inputs!$B$43&gt;0),(((R1368-1)*(Skills!T16*(1+Inputs!$B$34/100))+MIN((Skills!T16*(1+Inputs!$B$34/100)),MAX(0,Inputs!$B$43-((R1368-1)*Skills!D16))))/Inputs!$B$43),IF(Inputs!$B$38="pvp",MIN((Skills!T16*(1+Inputs!$B$34/100)),15)/15,(Skills!T16*(1+Inputs!$B$34/100))/Skills!D16))</f>
        <v/>
      </c>
    </row>
    <row r="1390">
      <c r="A1390" t="inlineStr">
        <is>
          <t>Global Final Damage Bonus % (Mortal Blow + Last Man Standing conditional half)</t>
        </is>
      </c>
      <c r="B1390">
        <f>(C1369=TRUE)*F1369+((C1378=TRUE)*IF(Inputs!$B$38="pvp",F1378,(1-Summary!$B$55)*(F1378)+Summary!$B$55*(0)))</f>
        <v/>
      </c>
    </row>
    <row r="1391">
      <c r="A1391" t="inlineStr">
        <is>
          <t>Buff-Casting Startup Delay (s, fixed-duration only)</t>
        </is>
      </c>
      <c r="B1391">
        <f>IF(AND(Inputs!$B$38&lt;&gt;"pvp",Inputs!$B$43&gt;0),SUMPRODUCT((Skills!T2:T29&gt;0)*(Skills!E2:E29=TRUE)*(C1354:C1381=TRUE))/B1386,0)</f>
        <v/>
      </c>
    </row>
    <row r="1392">
      <c r="A1392" t="inlineStr">
        <is>
          <t>Boss-Only Total DPS (this block's swept value)</t>
        </is>
      </c>
      <c r="B1392">
        <f>SUM(T1354:T1381)</f>
        <v/>
      </c>
    </row>
    <row r="1393">
      <c r="A1393" t="inlineStr">
        <is>
          <t>Normal-Only Total DPS (this block's swept value)</t>
        </is>
      </c>
      <c r="B1393">
        <f>SUM(V1354:V1381)</f>
        <v/>
      </c>
    </row>
    <row r="1394">
      <c r="A1394" s="5" t="inlineStr">
        <is>
          <t>TOTAL DPS</t>
        </is>
      </c>
      <c r="B1394" s="5">
        <f>SUM(O1354:O1381)</f>
        <v/>
      </c>
    </row>
    <row r="1397">
      <c r="A1397" s="5" t="inlineStr">
        <is>
          <t>Stat: CDR = 2.5s</t>
        </is>
      </c>
    </row>
    <row r="1398">
      <c r="A1398" s="9" t="inlineStr">
        <is>
          <t>Key</t>
        </is>
      </c>
      <c r="B1398" s="9" t="inlineStr">
        <is>
          <t>Name</t>
        </is>
      </c>
      <c r="C1398" s="9" t="inlineStr">
        <is>
          <t>Unlocked</t>
        </is>
      </c>
      <c r="D1398" s="9" t="inlineStr">
        <is>
          <t>InputLevel</t>
        </is>
      </c>
      <c r="E1398" s="9" t="inlineStr">
        <is>
          <t>Factor</t>
        </is>
      </c>
      <c r="F1398" s="9" t="inlineStr">
        <is>
          <t>CoefficientPercent</t>
        </is>
      </c>
      <c r="G1398" s="9" t="inlineStr">
        <is>
          <t>EffectiveHits</t>
        </is>
      </c>
      <c r="H1398" s="9" t="inlineStr">
        <is>
          <t>ProcProbability</t>
        </is>
      </c>
      <c r="I1398" s="9" t="inlineStr">
        <is>
          <t>MapleHeroMultiplier</t>
        </is>
      </c>
      <c r="J1398" s="9" t="inlineStr">
        <is>
          <t>BaseDamage</t>
        </is>
      </c>
      <c r="K1398" s="9" t="inlineStr">
        <is>
          <t>BaseHitDamage</t>
        </is>
      </c>
      <c r="L1398" s="9" t="inlineStr">
        <is>
          <t>NonCritAvg</t>
        </is>
      </c>
      <c r="M1398" s="9" t="inlineStr">
        <is>
          <t>CritAvg</t>
        </is>
      </c>
      <c r="N1398" s="9" t="inlineStr">
        <is>
          <t>ExpectedDamage(perHit)</t>
        </is>
      </c>
      <c r="O1398" s="9" t="inlineStr">
        <is>
          <t>DPS</t>
        </is>
      </c>
      <c r="P1398" s="9" t="inlineStr">
        <is>
          <t>% of Total</t>
        </is>
      </c>
      <c r="Q1398" s="9" t="inlineStr">
        <is>
          <t>InvCooldown</t>
        </is>
      </c>
      <c r="R1398" s="9" t="inlineStr">
        <is>
          <t>CastsInFight</t>
        </is>
      </c>
      <c r="S1398" s="9" t="inlineStr">
        <is>
          <t>HitRate(perSec)</t>
        </is>
      </c>
      <c r="U1398" t="inlineStr">
        <is>
          <t>helpers</t>
        </is>
      </c>
    </row>
    <row r="1399">
      <c r="A1399">
        <f>Skills!A2</f>
        <v/>
      </c>
      <c r="B1399">
        <f>Skills!B2</f>
        <v/>
      </c>
      <c r="C1399">
        <f>Inputs!$B$3&gt;=100</f>
        <v/>
      </c>
      <c r="D1399" t="inlineStr"/>
      <c r="E1399" t="inlineStr"/>
      <c r="F1399">
        <f>U1401+Skills!O2</f>
        <v/>
      </c>
      <c r="G1399">
        <f>Skills!G2*IF(Skills!H2&gt;0,Skills!I2/Skills!H2,1)</f>
        <v/>
      </c>
      <c r="H1399">
        <f>1-(1-Skills!J2/100)^Skills!K2</f>
        <v/>
      </c>
      <c r="I1399" t="inlineStr">
        <is>
          <t>1</t>
        </is>
      </c>
      <c r="J1399">
        <f>((Inputs!$B$6*(1+Inputs!$B$7/100))+(((Inputs!$B$12*(1+Inputs!$B$13/100))-(Inputs!$B$12*(1+Inputs!$B$13/100)))+0.25*(Inputs!$B$14-Inputs!$B$14))*(1+Inputs!$B$7/100))*(F1399/100)</f>
        <v/>
      </c>
      <c r="K1399">
        <f>J1399*(1+((Inputs!$B$12*(1+Inputs!$B$13/100))*0.01+Inputs!$B$14*0.0025)/100)*(1+Inputs!$B$15/100)*(1+Inputs!$B$16/100)*(5000/(6000+Inputs!$B$42*(1-(Inputs!$B$19+0)/100)))*(1+(Inputs!$B$24+((C1421=TRUE)*(F1421-Calc!F24))+((C1422=TRUE)*(F1422-Calc!F25))+B1435)/100)*(1+(IF(Skills!A2="EMPOWERED_PIERCING_ARROW",Inputs!$B$17+((C1419=TRUE)*(F1419-Calc!F22)),Inputs!$B$18+((C1424=TRUE)*(F1424-Calc!F27))))/100)*((1+(((C1410=TRUE)*F1410)+((C1411=TRUE)*IF(Inputs!$B$38="pvp",F1411,(1-Summary!$B$55)*(F1411)+Summary!$B$55*(0)))+((C1412=TRUE)*F1412*IF(AND(Inputs!$B$38&lt;&gt;"pvp",Inputs!$B$43&gt;0),(((R1412-1)*(Skills!T15*(1+Inputs!$B$34/100))+MIN((Skills!T15*(1+Inputs!$B$34/100)),MAX(0,Inputs!$B$43-((R1412-1)*Skills!D15))))/Inputs!$B$43),IF(Inputs!$B$38="pvp",MIN((Skills!T15*(1+Inputs!$B$34/100)),15)/15,(Skills!T15*(1+Inputs!$B$34/100))/Skills!D15)))+((C1409=TRUE)*F1409)+((C1426=TRUE)*(F1426-Calc!F29)))/100)*I1399)</f>
        <v/>
      </c>
      <c r="L1399">
        <f>K1399*(MIN(Inputs!$B$22+((C1420=TRUE)*(F1420-Calc!F23)),Inputs!$B$23+((C1425=TRUE)*(F1425-Calc!F28)))/100+(Inputs!$B$23+((C1425=TRUE)*(F1425-Calc!F28)))/100)/2</f>
        <v/>
      </c>
      <c r="M1399">
        <f>L1399*(1+(Inputs!$B$10+0+B1434)/100)</f>
        <v/>
      </c>
      <c r="N1399">
        <f>L1399*(1-MIN((Inputs!$B$9+((C1416=TRUE)*(F1416-Calc!F19))+B1429),100)/100)+M1399*(MIN((Inputs!$B$9+((C1416=TRUE)*(F1416-Calc!F19))+B1429),100)/100)</f>
        <v/>
      </c>
      <c r="O1399">
        <f>(1-Summary!$B$55)*T1399+Summary!$B$55*V1399</f>
        <v/>
      </c>
      <c r="P1399">
        <f>IF(B1439=0,0,O1399/B1439)</f>
        <v/>
      </c>
      <c r="Q1399" t="n">
        <v>0</v>
      </c>
      <c r="R1399" t="n">
        <v>0</v>
      </c>
      <c r="S1399">
        <f>IFERROR((Skills!G2*N1399*B1433)/N1399*IF(Inputs!$B$38="pvp",1,(1-Summary!$B$55)*1+Summary!$B$55*(MIN((6+Inputs!$B$33),Inputs!$B$37))),0)</f>
        <v/>
      </c>
      <c r="T1399">
        <f>IF(C1399,(Skills!G2*N1399*B1433)*IF(Inputs!$B$38="pvp",1,1+(Inputs!$B$20+0+Skills!P2)/100),0)</f>
        <v/>
      </c>
      <c r="U1399">
        <f>MAX(0,(Inputs!$B$3-100)*3)+Inputs!$B$28+Inputs!$B$29</f>
        <v/>
      </c>
      <c r="V1399">
        <f>IF(C1399,(Skills!G2*N1399*B1433)*IF(Inputs!$B$38="pvp",1,(1+(Inputs!$B$21+Skills!Q2)/100)*(MIN((6+Inputs!$B$33),Inputs!$B$37))),0)</f>
        <v/>
      </c>
    </row>
    <row r="1400">
      <c r="A1400">
        <f>Skills!A3</f>
        <v/>
      </c>
      <c r="B1400">
        <f>Skills!B3</f>
        <v/>
      </c>
      <c r="C1400">
        <f>Inputs!$B$3&gt;=50</f>
        <v/>
      </c>
      <c r="D1400">
        <f>IF(Skills!C3=1,60+Inputs!$B$25+Inputs!$B$29,IF(Skills!C3=2,90+Inputs!$B$26+Inputs!$B$29,IF(Skills!C3=3,120+Inputs!$B$27+Inputs!$B$29,MAX(0,(Inputs!$B$3-100)*3)+Inputs!$B$28+Inputs!$B$29)))</f>
        <v/>
      </c>
      <c r="E1400">
        <f>INDEX(FactorTable!$B$2:$Y$301, MATCH(ROUND(MIN(300,MAX(1,D1400)),0), FactorTable!$A$2:$A$301,0), Skills!M3+1)</f>
        <v/>
      </c>
      <c r="F1400">
        <f>IF(Skills!N3=TRUE,(Skills!L3/10)*(E1400/1000),Skills!L3/10)+Skills!O3</f>
        <v/>
      </c>
      <c r="G1400" t="inlineStr"/>
      <c r="H1400" t="inlineStr"/>
      <c r="I1400" t="inlineStr">
        <is>
          <t>1</t>
        </is>
      </c>
      <c r="J1400" t="inlineStr"/>
      <c r="K1400" t="inlineStr"/>
      <c r="L1400" t="inlineStr"/>
      <c r="M1400" t="inlineStr"/>
      <c r="N1400" t="inlineStr"/>
      <c r="O1400" t="inlineStr"/>
      <c r="P1400" t="inlineStr"/>
      <c r="Q1400" t="inlineStr"/>
      <c r="R1400" t="inlineStr"/>
      <c r="S1400" t="inlineStr"/>
      <c r="T1400" t="inlineStr"/>
      <c r="U1400">
        <f>INDEX(FactorTable!$B$2:$Y$301, MATCH(ROUND(MIN(300,MAX(1,U1399)),0), FactorTable!$A$2:$A$301,0), 22)</f>
        <v/>
      </c>
      <c r="V1400" t="inlineStr"/>
    </row>
    <row r="1401">
      <c r="A1401">
        <f>Skills!A4</f>
        <v/>
      </c>
      <c r="B1401">
        <f>Skills!B4</f>
        <v/>
      </c>
      <c r="C1401">
        <f>Inputs!$B$3&gt;=105</f>
        <v/>
      </c>
      <c r="D1401">
        <f>IF(Skills!C4=1,60+Inputs!$B$25+Inputs!$B$29,IF(Skills!C4=2,90+Inputs!$B$26+Inputs!$B$29,IF(Skills!C4=3,120+Inputs!$B$27+Inputs!$B$29,MAX(0,(Inputs!$B$3-100)*3)+Inputs!$B$28+Inputs!$B$29)))</f>
        <v/>
      </c>
      <c r="E1401">
        <f>INDEX(FactorTable!$B$2:$Y$301, MATCH(ROUND(MIN(300,MAX(1,D1401)),0), FactorTable!$A$2:$A$301,0), Skills!M4+1)</f>
        <v/>
      </c>
      <c r="F1401">
        <f>IF(Skills!N4=TRUE,(Skills!L4/10)*(E1401/1000),Skills!L4/10)+Skills!O4</f>
        <v/>
      </c>
      <c r="G1401" t="inlineStr"/>
      <c r="H1401" t="inlineStr"/>
      <c r="I1401" t="inlineStr">
        <is>
          <t>1</t>
        </is>
      </c>
      <c r="J1401" t="inlineStr"/>
      <c r="K1401" t="inlineStr"/>
      <c r="L1401" t="inlineStr"/>
      <c r="M1401" t="inlineStr"/>
      <c r="N1401" t="inlineStr"/>
      <c r="O1401" t="inlineStr"/>
      <c r="P1401" t="inlineStr"/>
      <c r="Q1401" t="inlineStr"/>
      <c r="R1401" t="inlineStr"/>
      <c r="S1401" t="inlineStr"/>
      <c r="T1401" t="inlineStr"/>
      <c r="U1401">
        <f>290*U1400/1000</f>
        <v/>
      </c>
      <c r="V1401" t="inlineStr"/>
    </row>
    <row r="1402">
      <c r="A1402">
        <f>Skills!A5</f>
        <v/>
      </c>
      <c r="B1402">
        <f>Skills!B5</f>
        <v/>
      </c>
      <c r="C1402">
        <f>Inputs!$B$3&gt;=35</f>
        <v/>
      </c>
      <c r="D1402">
        <f>IF(Skills!C5=1,60+Inputs!$B$25+Inputs!$B$29,IF(Skills!C5=2,90+Inputs!$B$26+Inputs!$B$29,IF(Skills!C5=3,120+Inputs!$B$27+Inputs!$B$29,MAX(0,(Inputs!$B$3-100)*3)+Inputs!$B$28+Inputs!$B$29)))</f>
        <v/>
      </c>
      <c r="E1402">
        <f>INDEX(FactorTable!$B$2:$Y$301, MATCH(ROUND(MIN(300,MAX(1,D1402)),0), FactorTable!$A$2:$A$301,0), Skills!M5+1)</f>
        <v/>
      </c>
      <c r="F1402">
        <f>IF(Skills!N5=TRUE,(Skills!L5/10)*(E1402/1000),Skills!L5/10)+Skills!O5</f>
        <v/>
      </c>
      <c r="G1402">
        <f>Skills!G5*IF(Skills!H5&gt;0,Skills!I5/Skills!H5,1)</f>
        <v/>
      </c>
      <c r="H1402">
        <f>1-(1-Skills!J5/100)^Skills!K5</f>
        <v/>
      </c>
      <c r="I1402" t="inlineStr">
        <is>
          <t>1</t>
        </is>
      </c>
      <c r="J1402">
        <f>((Inputs!$B$6*(1+Inputs!$B$7/100))+(((Inputs!$B$12*(1+Inputs!$B$13/100))-(Inputs!$B$12*(1+Inputs!$B$13/100)))+0.25*(Inputs!$B$14-Inputs!$B$14))*(1+Inputs!$B$7/100))*(F1402/100)</f>
        <v/>
      </c>
      <c r="K1402">
        <f>J1402*(1+((Inputs!$B$12*(1+Inputs!$B$13/100))*0.01+Inputs!$B$14*0.0025)/100)*(1+Inputs!$B$15/100)*(1+Inputs!$B$16/100)*(5000/(6000+Inputs!$B$42*(1-(Inputs!$B$19+0)/100)))*(1+(Inputs!$B$24+((C1421=TRUE)*(F1421-Calc!F24))+((C1422=TRUE)*(F1422-Calc!F25))+B1435)/100)*(1+4.0*IF(C1405=TRUE,F1405,0)/100)*(1+(IF(Skills!A5="EMPOWERED_PIERCING_ARROW",Inputs!$B$17+((C1419=TRUE)*(F1419-Calc!F22)),Inputs!$B$18+((C1424=TRUE)*(F1424-Calc!F27))))/100)*((1+(((C1410=TRUE)*F1410)+((C1411=TRUE)*IF(Inputs!$B$38="pvp",F1411,(1-Summary!$B$55)*(F1411)+Summary!$B$55*(0)))+((C1412=TRUE)*F1412*IF(AND(Inputs!$B$38&lt;&gt;"pvp",Inputs!$B$43&gt;0),(((R1412-1)*(Skills!T15*(1+Inputs!$B$34/100))+MIN((Skills!T15*(1+Inputs!$B$34/100)),MAX(0,Inputs!$B$43-((R1412-1)*Skills!D15))))/Inputs!$B$43),IF(Inputs!$B$38="pvp",MIN((Skills!T15*(1+Inputs!$B$34/100)),15)/15,(Skills!T15*(1+Inputs!$B$34/100))/Skills!D15)))+((C1409=TRUE)*F1409)+((C1426=TRUE)*(F1426-Calc!F29)))/100)*I1402)</f>
        <v/>
      </c>
      <c r="L1402">
        <f>K1402*(MIN(Inputs!$B$22+((C1420=TRUE)*(F1420-Calc!F23)),Inputs!$B$23+((C1425=TRUE)*(F1425-Calc!F28)))/100+(Inputs!$B$23+((C1425=TRUE)*(F1425-Calc!F28)))/100)/2</f>
        <v/>
      </c>
      <c r="M1402">
        <f>L1402*(1+(Inputs!$B$10+0+B1434)/100)</f>
        <v/>
      </c>
      <c r="N1402">
        <f>L1402*(1-MIN((Inputs!$B$9+((C1416=TRUE)*(F1416-Calc!F19))+B1429),100)/100)+M1402*(MIN((Inputs!$B$9+((C1416=TRUE)*(F1416-Calc!F19))+B1429),100)/100)</f>
        <v/>
      </c>
      <c r="O1402">
        <f>(1-Summary!$B$55)*T1402+Summary!$B$55*V1402</f>
        <v/>
      </c>
      <c r="P1402">
        <f>IF(B1439=0,0,O1402/B1439)</f>
        <v/>
      </c>
      <c r="Q1402">
        <f>IFERROR(1/IF(Inputs!$B$38="pvp",15,MAX(0.1,Skills!D5-IF(Skills!E5=TRUE,2.5,0))),0)</f>
        <v/>
      </c>
      <c r="R1402">
        <f>IF(AND(Inputs!$B$38&lt;&gt;"pvp",Inputs!$B$43&gt;0),IF(MAX(0,Inputs!$B$43-B1436)&lt;=0,0,(INT(MAX(0,Inputs!$B$43-B1436)/IF(Inputs!$B$38="pvp",15,MAX(0.1,Skills!D5-IF(Skills!E5=TRUE,2.5,0))))+1)),0)</f>
        <v/>
      </c>
      <c r="S1402">
        <f>IFERROR((H1402*N1402*IF(AND(Inputs!$B$38&lt;&gt;"pvp",Inputs!$B$43&gt;0),((Skills!G5*((R1402-1)*IF(Skills!H5&gt;0,Skills!I5/Skills!H5,1)+IF(Skills!H5&gt;0,MIN(Skills!I5,MAX(0,MAX(0,Inputs!$B$43-B1436)-((R1402-1)*IF(Inputs!$B$38="pvp",15,MAX(0.1,Skills!D5-IF(Skills!E5=TRUE,2.5,0))))))/Skills!H5,1)))/Inputs!$B$43),G1402*Q1402))/N1402*IF(Inputs!$B$38="pvp",1,(1-Summary!$B$55)*1+Summary!$B$55*(MIN(Skills!R5,Inputs!$B$37))),0)</f>
        <v/>
      </c>
      <c r="T1402">
        <f>IF(C1402,(H1402*N1402*IF(AND(Inputs!$B$38&lt;&gt;"pvp",Inputs!$B$43&gt;0),((Skills!G5*((R1402-1)*IF(Skills!H5&gt;0,Skills!I5/Skills!H5,1)+IF(Skills!H5&gt;0,MIN(Skills!I5,MAX(0,MAX(0,Inputs!$B$43-B1436)-((R1402-1)*IF(Inputs!$B$38="pvp",15,MAX(0.1,Skills!D5-IF(Skills!E5=TRUE,2.5,0))))))/Skills!H5,1)))/Inputs!$B$43),G1402*Q1402))*IF(Inputs!$B$38="pvp",1,1+(Inputs!$B$20+0+Skills!P5)/100),0)</f>
        <v/>
      </c>
      <c r="V1402">
        <f>IF(C1402,(H1402*N1402*IF(AND(Inputs!$B$38&lt;&gt;"pvp",Inputs!$B$43&gt;0),((Skills!G5*((R1402-1)*IF(Skills!H5&gt;0,Skills!I5/Skills!H5,1)+IF(Skills!H5&gt;0,MIN(Skills!I5,MAX(0,MAX(0,Inputs!$B$43-B1436)-((R1402-1)*IF(Inputs!$B$38="pvp",15,MAX(0.1,Skills!D5-IF(Skills!E5=TRUE,2.5,0))))))/Skills!H5,1)))/Inputs!$B$43),G1402*Q1402))*IF(Inputs!$B$38="pvp",1,(1+(Inputs!$B$21+Skills!Q5)/100)*(MIN(Skills!R5,Inputs!$B$37))),0)</f>
        <v/>
      </c>
    </row>
    <row r="1403">
      <c r="A1403">
        <f>Skills!A6</f>
        <v/>
      </c>
      <c r="B1403">
        <f>Skills!B6</f>
        <v/>
      </c>
      <c r="C1403">
        <f>Inputs!$B$3&gt;=63</f>
        <v/>
      </c>
      <c r="D1403">
        <f>IF(Skills!C6=1,60+Inputs!$B$25+Inputs!$B$29,IF(Skills!C6=2,90+Inputs!$B$26+Inputs!$B$29,IF(Skills!C6=3,120+Inputs!$B$27+Inputs!$B$29,MAX(0,(Inputs!$B$3-100)*3)+Inputs!$B$28+Inputs!$B$29)))</f>
        <v/>
      </c>
      <c r="E1403">
        <f>INDEX(FactorTable!$B$2:$Y$301, MATCH(ROUND(MIN(300,MAX(1,D1403)),0), FactorTable!$A$2:$A$301,0), Skills!M6+1)</f>
        <v/>
      </c>
      <c r="F1403">
        <f>IF(Skills!N6=TRUE,(Skills!L6/10)*(E1403/1000),Skills!L6/10)+Skills!O6</f>
        <v/>
      </c>
      <c r="G1403">
        <f>Skills!G6*IF(Skills!H6&gt;0,Skills!I6/Skills!H6,1)</f>
        <v/>
      </c>
      <c r="H1403">
        <f>1-(1-Skills!J6/100)^Skills!K6</f>
        <v/>
      </c>
      <c r="I1403" t="inlineStr">
        <is>
          <t>1</t>
        </is>
      </c>
      <c r="J1403">
        <f>((Inputs!$B$6*(1+Inputs!$B$7/100))+(((Inputs!$B$12*(1+Inputs!$B$13/100))-(Inputs!$B$12*(1+Inputs!$B$13/100)))+0.25*(Inputs!$B$14-Inputs!$B$14))*(1+Inputs!$B$7/100))*(F1403/100)</f>
        <v/>
      </c>
      <c r="K1403">
        <f>J1403*(1+((Inputs!$B$12*(1+Inputs!$B$13/100))*0.01+Inputs!$B$14*0.0025)/100)*(1+Inputs!$B$15/100)*(1+Inputs!$B$16/100)*(5000/(6000+Inputs!$B$42*(1-(Inputs!$B$19+0)/100)))*(1+(Inputs!$B$24+((C1421=TRUE)*(F1421-Calc!F24))+((C1422=TRUE)*(F1422-Calc!F25))+B1435)/100)*(1+1.0*IF(C1405=TRUE,F1405,0)/100)*(1+(IF(Skills!A6="EMPOWERED_PIERCING_ARROW",Inputs!$B$17+((C1419=TRUE)*(F1419-Calc!F22)),Inputs!$B$18+((C1424=TRUE)*(F1424-Calc!F27))))/100)*((1+(((C1410=TRUE)*F1410)+((C1411=TRUE)*IF(Inputs!$B$38="pvp",F1411,(1-Summary!$B$55)*(F1411)+Summary!$B$55*(0)))+((C1412=TRUE)*F1412*IF(AND(Inputs!$B$38&lt;&gt;"pvp",Inputs!$B$43&gt;0),(((R1412-1)*(Skills!T15*(1+Inputs!$B$34/100))+MIN((Skills!T15*(1+Inputs!$B$34/100)),MAX(0,Inputs!$B$43-((R1412-1)*Skills!D15))))/Inputs!$B$43),IF(Inputs!$B$38="pvp",MIN((Skills!T15*(1+Inputs!$B$34/100)),15)/15,(Skills!T15*(1+Inputs!$B$34/100))/Skills!D15)))+((C1409=TRUE)*F1409)+((C1426=TRUE)*(F1426-Calc!F29)))/100)*I1403)</f>
        <v/>
      </c>
      <c r="L1403">
        <f>K1403*(MIN(Inputs!$B$22+((C1420=TRUE)*(F1420-Calc!F23)),Inputs!$B$23+((C1425=TRUE)*(F1425-Calc!F28)))/100+(Inputs!$B$23+((C1425=TRUE)*(F1425-Calc!F28)))/100)/2</f>
        <v/>
      </c>
      <c r="M1403">
        <f>L1403*(1+(Inputs!$B$10+0+B1434)/100)</f>
        <v/>
      </c>
      <c r="N1403">
        <f>L1403*(1-MIN((Inputs!$B$9+((C1416=TRUE)*(F1416-Calc!F19))+B1429),100)/100)+M1403*(MIN((Inputs!$B$9+((C1416=TRUE)*(F1416-Calc!F19))+B1429),100)/100)</f>
        <v/>
      </c>
      <c r="O1403">
        <f>(1-Summary!$B$55)*T1403+Summary!$B$55*V1403</f>
        <v/>
      </c>
      <c r="P1403">
        <f>IF(B1439=0,0,O1403/B1439)</f>
        <v/>
      </c>
      <c r="Q1403">
        <f>IFERROR(1/IF(Inputs!$B$38="pvp",15,MAX(0.1,Skills!D6-IF(Skills!E6=TRUE,2.5,0))),0)</f>
        <v/>
      </c>
      <c r="R1403">
        <f>IF(AND(Inputs!$B$38&lt;&gt;"pvp",Inputs!$B$43&gt;0),IF(MAX(0,Inputs!$B$43-B1436)&lt;=0,0,(INT(MAX(0,Inputs!$B$43-B1436)/IF(Inputs!$B$38="pvp",15,MAX(0.1,Skills!D6-IF(Skills!E6=TRUE,2.5,0))))+1)),0)</f>
        <v/>
      </c>
      <c r="S1403">
        <f>IFERROR((H1403*N1403*IF(AND(Inputs!$B$38&lt;&gt;"pvp",Inputs!$B$43&gt;0),((Skills!G6*((R1403-1)*IF(Skills!H6&gt;0,Skills!I6/Skills!H6,1)+IF(Skills!H6&gt;0,MIN(Skills!I6,MAX(0,MAX(0,Inputs!$B$43-B1436)-((R1403-1)*IF(Inputs!$B$38="pvp",15,MAX(0.1,Skills!D6-IF(Skills!E6=TRUE,2.5,0))))))/Skills!H6,1)))/Inputs!$B$43),G1403*Q1403))/N1403*IF(Inputs!$B$38="pvp",1,(1-Summary!$B$55)*1+Summary!$B$55*(MIN(Skills!R6,Inputs!$B$37))),0)</f>
        <v/>
      </c>
      <c r="T1403">
        <f>IF(C1403,(H1403*N1403*IF(AND(Inputs!$B$38&lt;&gt;"pvp",Inputs!$B$43&gt;0),((Skills!G6*((R1403-1)*IF(Skills!H6&gt;0,Skills!I6/Skills!H6,1)+IF(Skills!H6&gt;0,MIN(Skills!I6,MAX(0,MAX(0,Inputs!$B$43-B1436)-((R1403-1)*IF(Inputs!$B$38="pvp",15,MAX(0.1,Skills!D6-IF(Skills!E6=TRUE,2.5,0))))))/Skills!H6,1)))/Inputs!$B$43),G1403*Q1403))*IF(Inputs!$B$38="pvp",1,1+(Inputs!$B$20+0+Skills!P6)/100),0)</f>
        <v/>
      </c>
      <c r="V1403">
        <f>IF(C1403,(H1403*N1403*IF(AND(Inputs!$B$38&lt;&gt;"pvp",Inputs!$B$43&gt;0),((Skills!G6*((R1403-1)*IF(Skills!H6&gt;0,Skills!I6/Skills!H6,1)+IF(Skills!H6&gt;0,MIN(Skills!I6,MAX(0,MAX(0,Inputs!$B$43-B1436)-((R1403-1)*IF(Inputs!$B$38="pvp",15,MAX(0.1,Skills!D6-IF(Skills!E6=TRUE,2.5,0))))))/Skills!H6,1)))/Inputs!$B$43),G1403*Q1403))*IF(Inputs!$B$38="pvp",1,(1+(Inputs!$B$21+Skills!Q6)/100)*(MIN(Skills!R6,Inputs!$B$37))),0)</f>
        <v/>
      </c>
    </row>
    <row r="1404">
      <c r="A1404">
        <f>Skills!A7</f>
        <v/>
      </c>
      <c r="B1404">
        <f>Skills!B7</f>
        <v/>
      </c>
      <c r="C1404">
        <f>Inputs!$B$3&gt;=69</f>
        <v/>
      </c>
      <c r="D1404">
        <f>IF(Skills!C7=1,60+Inputs!$B$25+Inputs!$B$29,IF(Skills!C7=2,90+Inputs!$B$26+Inputs!$B$29,IF(Skills!C7=3,120+Inputs!$B$27+Inputs!$B$29,MAX(0,(Inputs!$B$3-100)*3)+Inputs!$B$28+Inputs!$B$29)))</f>
        <v/>
      </c>
      <c r="E1404">
        <f>INDEX(FactorTable!$B$2:$Y$301, MATCH(ROUND(MIN(300,MAX(1,D1404)),0), FactorTable!$A$2:$A$301,0), Skills!M7+1)</f>
        <v/>
      </c>
      <c r="F1404">
        <f>IF(Skills!N7=TRUE,(Skills!L7/10)*(E1404/1000),Skills!L7/10)+Skills!O7</f>
        <v/>
      </c>
      <c r="G1404">
        <f>Skills!G7*IF(Skills!H7&gt;0,Skills!I7/Skills!H7,1)</f>
        <v/>
      </c>
      <c r="H1404">
        <f>1-(1-Skills!J7/100)^Skills!K7</f>
        <v/>
      </c>
      <c r="I1404" t="inlineStr">
        <is>
          <t>1</t>
        </is>
      </c>
      <c r="J1404">
        <f>((Inputs!$B$6*(1+Inputs!$B$7/100))+(((Inputs!$B$12*(1+Inputs!$B$13/100))-(Inputs!$B$12*(1+Inputs!$B$13/100)))+0.25*(Inputs!$B$14-Inputs!$B$14))*(1+Inputs!$B$7/100))*(F1404/100)</f>
        <v/>
      </c>
      <c r="K1404">
        <f>J1404*(1+((Inputs!$B$12*(1+Inputs!$B$13/100))*0.01+Inputs!$B$14*0.0025)/100)*(1+Inputs!$B$15/100)*(1+Inputs!$B$16/100)*(5000/(6000+Inputs!$B$42*(1-(Inputs!$B$19+0)/100)))*(1+(Inputs!$B$24+((C1421=TRUE)*(F1421-Calc!F24))+((C1422=TRUE)*(F1422-Calc!F25))+B1435)/100)*(1+1.2*IF(C1405=TRUE,F1405,0)/100)*(1+(IF(Skills!A7="EMPOWERED_PIERCING_ARROW",Inputs!$B$17+((C1419=TRUE)*(F1419-Calc!F22)),Inputs!$B$18+((C1424=TRUE)*(F1424-Calc!F27))))/100)*((1+(((C1410=TRUE)*F1410)+((C1411=TRUE)*IF(Inputs!$B$38="pvp",F1411,(1-Summary!$B$55)*(F1411)+Summary!$B$55*(0)))+((C1412=TRUE)*F1412*IF(AND(Inputs!$B$38&lt;&gt;"pvp",Inputs!$B$43&gt;0),(((R1412-1)*(Skills!T15*(1+Inputs!$B$34/100))+MIN((Skills!T15*(1+Inputs!$B$34/100)),MAX(0,Inputs!$B$43-((R1412-1)*Skills!D15))))/Inputs!$B$43),IF(Inputs!$B$38="pvp",MIN((Skills!T15*(1+Inputs!$B$34/100)),15)/15,(Skills!T15*(1+Inputs!$B$34/100))/Skills!D15)))+((C1409=TRUE)*F1409)+((C1426=TRUE)*(F1426-Calc!F29)))/100)*I1404)</f>
        <v/>
      </c>
      <c r="L1404">
        <f>K1404*(MIN(Inputs!$B$22+((C1420=TRUE)*(F1420-Calc!F23)),Inputs!$B$23+((C1425=TRUE)*(F1425-Calc!F28)))/100+(Inputs!$B$23+((C1425=TRUE)*(F1425-Calc!F28)))/100)/2</f>
        <v/>
      </c>
      <c r="M1404">
        <f>L1404*(1+(Inputs!$B$10+0+B1434)/100)</f>
        <v/>
      </c>
      <c r="N1404">
        <f>L1404*(1-MIN((Inputs!$B$9+((C1416=TRUE)*(F1416-Calc!F19))+B1429),100)/100)+M1404*(MIN((Inputs!$B$9+((C1416=TRUE)*(F1416-Calc!F19))+B1429),100)/100)</f>
        <v/>
      </c>
      <c r="O1404">
        <f>(1-Summary!$B$55)*T1404+Summary!$B$55*V1404</f>
        <v/>
      </c>
      <c r="P1404">
        <f>IF(B1439=0,0,O1404/B1439)</f>
        <v/>
      </c>
      <c r="Q1404">
        <f>IFERROR(1/IF(Inputs!$B$38="pvp",15,MAX(0.1,Skills!D7-IF(Skills!E7=TRUE,2.5,0))),0)</f>
        <v/>
      </c>
      <c r="R1404">
        <f>IF(AND(Inputs!$B$38&lt;&gt;"pvp",Inputs!$B$43&gt;0),IF(MAX(0,Inputs!$B$43-B1436)&lt;=0,0,(INT(MAX(0,Inputs!$B$43-B1436)/IF(Inputs!$B$38="pvp",15,MAX(0.1,Skills!D7-IF(Skills!E7=TRUE,2.5,0))))+1)),0)</f>
        <v/>
      </c>
      <c r="S1404">
        <f>IFERROR((H1404*N1404*IF(AND(Inputs!$B$38&lt;&gt;"pvp",Inputs!$B$43&gt;0),((Skills!G7*((R1404-1)*IF(Skills!H7&gt;0,Skills!I7/Skills!H7,1)+IF(Skills!H7&gt;0,MIN(Skills!I7,MAX(0,MAX(0,Inputs!$B$43-B1436)-((R1404-1)*IF(Inputs!$B$38="pvp",15,MAX(0.1,Skills!D7-IF(Skills!E7=TRUE,2.5,0))))))/Skills!H7,1)))/Inputs!$B$43),G1404*Q1404))/N1404*IF(Inputs!$B$38="pvp",1,(1-Summary!$B$55)*1+Summary!$B$55*(MIN(Skills!R7,Inputs!$B$37))),0)</f>
        <v/>
      </c>
      <c r="T1404">
        <f>IF(C1404,(H1404*N1404*IF(AND(Inputs!$B$38&lt;&gt;"pvp",Inputs!$B$43&gt;0),((Skills!G7*((R1404-1)*IF(Skills!H7&gt;0,Skills!I7/Skills!H7,1)+IF(Skills!H7&gt;0,MIN(Skills!I7,MAX(0,MAX(0,Inputs!$B$43-B1436)-((R1404-1)*IF(Inputs!$B$38="pvp",15,MAX(0.1,Skills!D7-IF(Skills!E7=TRUE,2.5,0))))))/Skills!H7,1)))/Inputs!$B$43),G1404*Q1404))*IF(Inputs!$B$38="pvp",1,1+(Inputs!$B$20+0+Skills!P7)/100),0)</f>
        <v/>
      </c>
      <c r="V1404">
        <f>IF(C1404,(H1404*N1404*IF(AND(Inputs!$B$38&lt;&gt;"pvp",Inputs!$B$43&gt;0),((Skills!G7*((R1404-1)*IF(Skills!H7&gt;0,Skills!I7/Skills!H7,1)+IF(Skills!H7&gt;0,MIN(Skills!I7,MAX(0,MAX(0,Inputs!$B$43-B1436)-((R1404-1)*IF(Inputs!$B$38="pvp",15,MAX(0.1,Skills!D7-IF(Skills!E7=TRUE,2.5,0))))))/Skills!H7,1)))/Inputs!$B$43),G1404*Q1404))*IF(Inputs!$B$38="pvp",1,(1+(Inputs!$B$21+Skills!Q7)/100)*(MIN(Skills!R7,Inputs!$B$37))),0)</f>
        <v/>
      </c>
    </row>
    <row r="1405">
      <c r="A1405">
        <f>Skills!A8</f>
        <v/>
      </c>
      <c r="B1405">
        <f>Skills!B8</f>
        <v/>
      </c>
      <c r="C1405">
        <f>Inputs!$B$3&gt;=100</f>
        <v/>
      </c>
      <c r="D1405">
        <f>IF(Skills!C8=1,60+Inputs!$B$25+Inputs!$B$29,IF(Skills!C8=2,90+Inputs!$B$26+Inputs!$B$29,IF(Skills!C8=3,120+Inputs!$B$27+Inputs!$B$29,MAX(0,(Inputs!$B$3-100)*3)+Inputs!$B$28+Inputs!$B$29)))</f>
        <v/>
      </c>
      <c r="E1405">
        <f>INDEX(FactorTable!$B$2:$Y$301, MATCH(ROUND(MIN(300,MAX(1,D1405)),0), FactorTable!$A$2:$A$301,0), Skills!M8+1)</f>
        <v/>
      </c>
      <c r="F1405">
        <f>IF(Skills!N8=TRUE,(Skills!L8/10)*(E1405/1000),Skills!L8/10)+Skills!O8</f>
        <v/>
      </c>
      <c r="G1405" t="inlineStr"/>
      <c r="H1405" t="inlineStr"/>
      <c r="I1405" t="inlineStr">
        <is>
          <t>1</t>
        </is>
      </c>
      <c r="J1405" t="inlineStr"/>
      <c r="K1405" t="inlineStr"/>
      <c r="L1405" t="inlineStr"/>
      <c r="M1405" t="inlineStr"/>
      <c r="N1405" t="inlineStr"/>
      <c r="O1405" t="inlineStr"/>
      <c r="P1405" t="inlineStr"/>
      <c r="Q1405" t="inlineStr"/>
      <c r="R1405" t="inlineStr"/>
      <c r="S1405" t="inlineStr"/>
      <c r="T1405" t="inlineStr"/>
      <c r="V1405" t="inlineStr"/>
    </row>
    <row r="1406">
      <c r="A1406">
        <f>Skills!A9</f>
        <v/>
      </c>
      <c r="B1406">
        <f>Skills!B9</f>
        <v/>
      </c>
      <c r="C1406">
        <f>Inputs!$B$3&gt;=103</f>
        <v/>
      </c>
      <c r="D1406">
        <f>IF(Skills!C9=1,60+Inputs!$B$25+Inputs!$B$29,IF(Skills!C9=2,90+Inputs!$B$26+Inputs!$B$29,IF(Skills!C9=3,120+Inputs!$B$27+Inputs!$B$29,MAX(0,(Inputs!$B$3-100)*3)+Inputs!$B$28+Inputs!$B$29)))</f>
        <v/>
      </c>
      <c r="E1406">
        <f>INDEX(FactorTable!$B$2:$Y$301, MATCH(ROUND(MIN(300,MAX(1,D1406)),0), FactorTable!$A$2:$A$301,0), Skills!M9+1)</f>
        <v/>
      </c>
      <c r="F1406">
        <f>IF(Skills!N9=TRUE,(Skills!L9/10)*(E1406/1000),Skills!L9/10)+Skills!O9</f>
        <v/>
      </c>
      <c r="G1406">
        <f>Skills!G9*IF(Skills!H9&gt;0,Skills!I9/Skills!H9,1)</f>
        <v/>
      </c>
      <c r="H1406">
        <f>1-(1-Skills!J9/100)^Skills!K9</f>
        <v/>
      </c>
      <c r="I1406" t="inlineStr">
        <is>
          <t>1</t>
        </is>
      </c>
      <c r="J1406">
        <f>((Inputs!$B$6*(1+Inputs!$B$7/100))+(((Inputs!$B$12*(1+Inputs!$B$13/100))-(Inputs!$B$12*(1+Inputs!$B$13/100)))+0.25*(Inputs!$B$14-Inputs!$B$14))*(1+Inputs!$B$7/100))*(F1406/100)</f>
        <v/>
      </c>
      <c r="K1406">
        <f>J1406*(1+((Inputs!$B$12*(1+Inputs!$B$13/100))*0.01+Inputs!$B$14*0.0025)/100)*(1+Inputs!$B$15/100)*(1+Inputs!$B$16/100)*(5000/(6000+Inputs!$B$42*(1-(Inputs!$B$19+0)/100)))*(1+(Inputs!$B$24+((C1421=TRUE)*(F1421-Calc!F24))+((C1422=TRUE)*(F1422-Calc!F25))+B1435)/100)*(1+(IF(Skills!A9="EMPOWERED_PIERCING_ARROW",Inputs!$B$17+((C1419=TRUE)*(F1419-Calc!F22)),Inputs!$B$18+((C1424=TRUE)*(F1424-Calc!F27))))/100)*((1+(((C1410=TRUE)*F1410)+((C1411=TRUE)*IF(Inputs!$B$38="pvp",F1411,(1-Summary!$B$55)*(F1411)+Summary!$B$55*(0)))+((C1412=TRUE)*F1412*IF(AND(Inputs!$B$38&lt;&gt;"pvp",Inputs!$B$43&gt;0),(((R1412-1)*(Skills!T15*(1+Inputs!$B$34/100))+MIN((Skills!T15*(1+Inputs!$B$34/100)),MAX(0,Inputs!$B$43-((R1412-1)*Skills!D15))))/Inputs!$B$43),IF(Inputs!$B$38="pvp",MIN((Skills!T15*(1+Inputs!$B$34/100)),15)/15,(Skills!T15*(1+Inputs!$B$34/100))/Skills!D15)))+((C1409=TRUE)*F1409)+((C1426=TRUE)*(F1426-Calc!F29)))/100)*I1406)</f>
        <v/>
      </c>
      <c r="L1406">
        <f>K1406*(MIN(Inputs!$B$22+((C1420=TRUE)*(F1420-Calc!F23)),Inputs!$B$23+((C1425=TRUE)*(F1425-Calc!F28)))/100+(Inputs!$B$23+((C1425=TRUE)*(F1425-Calc!F28)))/100)/2</f>
        <v/>
      </c>
      <c r="M1406">
        <f>L1406*(1+(Inputs!$B$10+0+B1434)/100)</f>
        <v/>
      </c>
      <c r="N1406">
        <f>L1406*(1-MIN((Inputs!$B$9+((C1416=TRUE)*(F1416-Calc!F19))+B1429),100)/100)+M1406*(MIN((Inputs!$B$9+((C1416=TRUE)*(F1416-Calc!F19))+B1429),100)/100)</f>
        <v/>
      </c>
      <c r="O1406">
        <f>(1-Summary!$B$55)*T1406+Summary!$B$55*V1406</f>
        <v/>
      </c>
      <c r="P1406">
        <f>IF(B1439=0,0,O1406/B1439)</f>
        <v/>
      </c>
      <c r="Q1406">
        <f>IFERROR(1/IF(Inputs!$B$38="pvp",15,MAX(0.1,Skills!D9-IF(Skills!E9=TRUE,2.5,0))),0)</f>
        <v/>
      </c>
      <c r="R1406">
        <f>IF(AND(Inputs!$B$38&lt;&gt;"pvp",Inputs!$B$43&gt;0),IF(MAX(0,Inputs!$B$43-B1436)&lt;=0,0,(INT(MAX(0,Inputs!$B$43-B1436)/IF(Inputs!$B$38="pvp",15,MAX(0.1,Skills!D9-IF(Skills!E9=TRUE,2.5,0))))+1)),0)</f>
        <v/>
      </c>
      <c r="S1406">
        <f>IFERROR((H1406*N1406*IF(AND(Inputs!$B$38&lt;&gt;"pvp",Inputs!$B$43&gt;0),((Skills!G9*((R1406-1)*IF(Skills!H9&gt;0,Skills!I9/Skills!H9,1)+IF(Skills!H9&gt;0,MIN(Skills!I9,MAX(0,MAX(0,Inputs!$B$43-B1436)-((R1406-1)*IF(Inputs!$B$38="pvp",15,MAX(0.1,Skills!D9-IF(Skills!E9=TRUE,2.5,0))))))/Skills!H9,1)))/Inputs!$B$43),G1406*Q1406))/N1406*IF(Inputs!$B$38="pvp",1,(1-Summary!$B$55)*1+Summary!$B$55*(MIN(Skills!R9,Inputs!$B$37))),0)</f>
        <v/>
      </c>
      <c r="T1406">
        <f>IF(C1406,(H1406*N1406*IF(AND(Inputs!$B$38&lt;&gt;"pvp",Inputs!$B$43&gt;0),((Skills!G9*((R1406-1)*IF(Skills!H9&gt;0,Skills!I9/Skills!H9,1)+IF(Skills!H9&gt;0,MIN(Skills!I9,MAX(0,MAX(0,Inputs!$B$43-B1436)-((R1406-1)*IF(Inputs!$B$38="pvp",15,MAX(0.1,Skills!D9-IF(Skills!E9=TRUE,2.5,0))))))/Skills!H9,1)))/Inputs!$B$43),G1406*Q1406))*IF(Inputs!$B$38="pvp",1,1+(Inputs!$B$20+0+Skills!P9)/100),0)</f>
        <v/>
      </c>
      <c r="V1406">
        <f>IF(C1406,(H1406*N1406*IF(AND(Inputs!$B$38&lt;&gt;"pvp",Inputs!$B$43&gt;0),((Skills!G9*((R1406-1)*IF(Skills!H9&gt;0,Skills!I9/Skills!H9,1)+IF(Skills!H9&gt;0,MIN(Skills!I9,MAX(0,MAX(0,Inputs!$B$43-B1436)-((R1406-1)*IF(Inputs!$B$38="pvp",15,MAX(0.1,Skills!D9-IF(Skills!E9=TRUE,2.5,0))))))/Skills!H9,1)))/Inputs!$B$43),G1406*Q1406))*IF(Inputs!$B$38="pvp",1,(1+(Inputs!$B$21+Skills!Q9)/100)*(MIN(Skills!R9,Inputs!$B$37))),0)</f>
        <v/>
      </c>
    </row>
    <row r="1407">
      <c r="A1407">
        <f>Skills!A10</f>
        <v/>
      </c>
      <c r="B1407">
        <f>Skills!B10</f>
        <v/>
      </c>
      <c r="C1407">
        <f>Inputs!$B$3&gt;=107</f>
        <v/>
      </c>
      <c r="D1407">
        <f>IF(Skills!C10=1,60+Inputs!$B$25+Inputs!$B$29,IF(Skills!C10=2,90+Inputs!$B$26+Inputs!$B$29,IF(Skills!C10=3,120+Inputs!$B$27+Inputs!$B$29,MAX(0,(Inputs!$B$3-100)*3)+Inputs!$B$28+Inputs!$B$29)))</f>
        <v/>
      </c>
      <c r="E1407">
        <f>INDEX(FactorTable!$B$2:$Y$301, MATCH(ROUND(MIN(300,MAX(1,D1407)),0), FactorTable!$A$2:$A$301,0), Skills!M10+1)</f>
        <v/>
      </c>
      <c r="F1407">
        <f>IF(Skills!N10=TRUE,(Skills!L10/10)*(E1407/1000),Skills!L10/10)+Skills!O10</f>
        <v/>
      </c>
      <c r="G1407">
        <f>Skills!G10*IF(Skills!H10&gt;0,Skills!I10/Skills!H10,1)</f>
        <v/>
      </c>
      <c r="H1407">
        <f>1-(1-Skills!J10/100)^Skills!K10</f>
        <v/>
      </c>
      <c r="I1407" t="inlineStr">
        <is>
          <t>1</t>
        </is>
      </c>
      <c r="J1407">
        <f>((Inputs!$B$6*(1+Inputs!$B$7/100))+(((Inputs!$B$12*(1+Inputs!$B$13/100))-(Inputs!$B$12*(1+Inputs!$B$13/100)))+0.25*(Inputs!$B$14-Inputs!$B$14))*(1+Inputs!$B$7/100))*(F1407/100)</f>
        <v/>
      </c>
      <c r="K1407">
        <f>J1407*(1+((Inputs!$B$12*(1+Inputs!$B$13/100))*0.01+Inputs!$B$14*0.0025)/100)*(1+Inputs!$B$15/100)*(1+Inputs!$B$16/100)*(5000/(6000+Inputs!$B$42*(1-(Inputs!$B$19+0)/100)))*(1+(Inputs!$B$24+((C1421=TRUE)*(F1421-Calc!F24))+((C1422=TRUE)*(F1422-Calc!F25))+B1435)/100)*(1+(IF(Skills!A10="EMPOWERED_PIERCING_ARROW",Inputs!$B$17+((C1419=TRUE)*(F1419-Calc!F22)),Inputs!$B$18+((C1424=TRUE)*(F1424-Calc!F27))))/100)*((1+(((C1410=TRUE)*F1410)+((C1411=TRUE)*IF(Inputs!$B$38="pvp",F1411,(1-Summary!$B$55)*(F1411)+Summary!$B$55*(0)))+((C1412=TRUE)*F1412*IF(AND(Inputs!$B$38&lt;&gt;"pvp",Inputs!$B$43&gt;0),(((R1412-1)*(Skills!T15*(1+Inputs!$B$34/100))+MIN((Skills!T15*(1+Inputs!$B$34/100)),MAX(0,Inputs!$B$43-((R1412-1)*Skills!D15))))/Inputs!$B$43),IF(Inputs!$B$38="pvp",MIN((Skills!T15*(1+Inputs!$B$34/100)),15)/15,(Skills!T15*(1+Inputs!$B$34/100))/Skills!D15)))+((C1409=TRUE)*F1409)+((C1426=TRUE)*(F1426-Calc!F29)))/100)*I1407)</f>
        <v/>
      </c>
      <c r="L1407">
        <f>K1407*(MIN(Inputs!$B$22+((C1420=TRUE)*(F1420-Calc!F23)),Inputs!$B$23+((C1425=TRUE)*(F1425-Calc!F28)))/100+(Inputs!$B$23+((C1425=TRUE)*(F1425-Calc!F28)))/100)/2</f>
        <v/>
      </c>
      <c r="M1407">
        <f>L1407*(1+(Inputs!$B$10+0+B1434)/100)</f>
        <v/>
      </c>
      <c r="N1407">
        <f>L1407*(1-MIN((Inputs!$B$9+((C1416=TRUE)*(F1416-Calc!F19))+B1429),100)/100)+M1407*(MIN((Inputs!$B$9+((C1416=TRUE)*(F1416-Calc!F19))+B1429),100)/100)</f>
        <v/>
      </c>
      <c r="O1407">
        <f>(1-Summary!$B$55)*T1407+Summary!$B$55*V1407</f>
        <v/>
      </c>
      <c r="P1407">
        <f>IF(B1439=0,0,O1407/B1439)</f>
        <v/>
      </c>
      <c r="Q1407" t="n">
        <v>0</v>
      </c>
      <c r="R1407" t="n">
        <v>0</v>
      </c>
      <c r="S1407" t="n">
        <v>0</v>
      </c>
      <c r="T1407">
        <f>IF(C1407,(0.15*SUMPRODUCT((Skills!U2:U29=TRUE)*(C1399:C1426=TRUE)*S1399:S1426)*Skills!G10*N1407)*IF(Inputs!$B$38="pvp",1,1+(Inputs!$B$20+0+Skills!P10)/100),0)</f>
        <v/>
      </c>
      <c r="V1407">
        <f>IF(C1407,(0.15*SUMPRODUCT((Skills!U2:U29=TRUE)*(C1399:C1426=TRUE)*S1399:S1426)*Skills!G10*N1407)*IF(Inputs!$B$38="pvp",1,(1+(Inputs!$B$21+Skills!Q10)/100)*(MIN(Skills!R10,Inputs!$B$37))),0)</f>
        <v/>
      </c>
    </row>
    <row r="1408">
      <c r="A1408">
        <f>Skills!A11</f>
        <v/>
      </c>
      <c r="B1408">
        <f>Skills!B11</f>
        <v/>
      </c>
      <c r="C1408">
        <f>Inputs!$B$3&gt;=110</f>
        <v/>
      </c>
      <c r="D1408">
        <f>IF(Skills!C11=1,60+Inputs!$B$25+Inputs!$B$29,IF(Skills!C11=2,90+Inputs!$B$26+Inputs!$B$29,IF(Skills!C11=3,120+Inputs!$B$27+Inputs!$B$29,MAX(0,(Inputs!$B$3-100)*3)+Inputs!$B$28+Inputs!$B$29)))</f>
        <v/>
      </c>
      <c r="E1408">
        <f>INDEX(FactorTable!$B$2:$Y$301, MATCH(ROUND(MIN(300,MAX(1,D1408)),0), FactorTable!$A$2:$A$301,0), Skills!M11+1)</f>
        <v/>
      </c>
      <c r="F1408">
        <f>IF(Skills!N11=TRUE,(Skills!L11/10)*(E1408/1000),Skills!L11/10)+Skills!O11</f>
        <v/>
      </c>
      <c r="G1408">
        <f>Skills!G11*IF(Skills!H11&gt;0,Skills!I11/Skills!H11,1)</f>
        <v/>
      </c>
      <c r="H1408">
        <f>1-(1-Skills!J11/100)^Skills!K11</f>
        <v/>
      </c>
      <c r="I1408" t="inlineStr">
        <is>
          <t>1</t>
        </is>
      </c>
      <c r="J1408">
        <f>((Inputs!$B$6*(1+Inputs!$B$7/100))+(((Inputs!$B$12*(1+Inputs!$B$13/100))-(Inputs!$B$12*(1+Inputs!$B$13/100)))+0.25*(Inputs!$B$14-Inputs!$B$14))*(1+Inputs!$B$7/100))*(F1408/100)</f>
        <v/>
      </c>
      <c r="K1408">
        <f>J1408*(1+((Inputs!$B$12*(1+Inputs!$B$13/100))*0.01+Inputs!$B$14*0.0025)/100)*(1+Inputs!$B$15/100)*(1+Inputs!$B$16/100)*(5000/(6000+Inputs!$B$42*(1-(Inputs!$B$19+0)/100)))*(1+(Inputs!$B$24+((C1421=TRUE)*(F1421-Calc!F24))+((C1422=TRUE)*(F1422-Calc!F25))+B1435)/100)*(1+(IF(Skills!A11="EMPOWERED_PIERCING_ARROW",Inputs!$B$17+((C1419=TRUE)*(F1419-Calc!F22)),Inputs!$B$18+((C1424=TRUE)*(F1424-Calc!F27))))/100)*((1+(((C1410=TRUE)*F1410)+((C1411=TRUE)*IF(Inputs!$B$38="pvp",F1411,(1-Summary!$B$55)*(F1411)+Summary!$B$55*(0)))+((C1412=TRUE)*F1412*IF(AND(Inputs!$B$38&lt;&gt;"pvp",Inputs!$B$43&gt;0),(((R1412-1)*(Skills!T15*(1+Inputs!$B$34/100))+MIN((Skills!T15*(1+Inputs!$B$34/100)),MAX(0,Inputs!$B$43-((R1412-1)*Skills!D15))))/Inputs!$B$43),IF(Inputs!$B$38="pvp",MIN((Skills!T15*(1+Inputs!$B$34/100)),15)/15,(Skills!T15*(1+Inputs!$B$34/100))/Skills!D15)))+((C1409=TRUE)*F1409)+((C1426=TRUE)*(F1426-Calc!F29)))/100)*I1408)</f>
        <v/>
      </c>
      <c r="L1408">
        <f>K1408*(MIN(Inputs!$B$22+((C1420=TRUE)*(F1420-Calc!F23)),Inputs!$B$23+((C1425=TRUE)*(F1425-Calc!F28)))/100+(Inputs!$B$23+((C1425=TRUE)*(F1425-Calc!F28)))/100)/2</f>
        <v/>
      </c>
      <c r="M1408">
        <f>L1408*(1+(Inputs!$B$10+0+B1434)/100)</f>
        <v/>
      </c>
      <c r="N1408">
        <f>L1408*(1-MIN((Inputs!$B$9+((C1416=TRUE)*(F1416-Calc!F19))+B1429),100)/100)+M1408*(MIN((Inputs!$B$9+((C1416=TRUE)*(F1416-Calc!F19))+B1429),100)/100)</f>
        <v/>
      </c>
      <c r="O1408">
        <f>(1-Summary!$B$55)*T1408+Summary!$B$55*V1408</f>
        <v/>
      </c>
      <c r="P1408">
        <f>IF(B1439=0,0,O1408/B1439)</f>
        <v/>
      </c>
      <c r="Q1408">
        <f>IFERROR(1/IF(Inputs!$B$38="pvp",15,MAX(0.1,Skills!D11-IF(Skills!E11=TRUE,2.5,0))),0)</f>
        <v/>
      </c>
      <c r="R1408">
        <f>IF(AND(Inputs!$B$38&lt;&gt;"pvp",Inputs!$B$43&gt;0),IF(MAX(0,Inputs!$B$43-B1436)&lt;=0,0,(INT(MAX(0,Inputs!$B$43-B1436)/IF(Inputs!$B$38="pvp",15,MAX(0.1,Skills!D11-IF(Skills!E11=TRUE,2.5,0))))+1)),0)</f>
        <v/>
      </c>
      <c r="S1408">
        <f>IFERROR((H1408*N1408*IF(AND(Inputs!$B$38&lt;&gt;"pvp",Inputs!$B$43&gt;0),((Skills!G11*((R1408-1)*IF(Skills!H11&gt;0,Skills!I11/Skills!H11,1)+IF(Skills!H11&gt;0,MIN(Skills!I11,MAX(0,MAX(0,Inputs!$B$43-B1436)-((R1408-1)*IF(Inputs!$B$38="pvp",15,MAX(0.1,Skills!D11-IF(Skills!E11=TRUE,2.5,0))))))/Skills!H11,1)))/Inputs!$B$43),G1408*Q1408))/N1408*IF(Inputs!$B$38="pvp",1,(1-Summary!$B$55)*1+Summary!$B$55*(MIN(Skills!R11,Inputs!$B$37))),0)</f>
        <v/>
      </c>
      <c r="T1408">
        <f>IF(C1408,(H1408*N1408*IF(AND(Inputs!$B$38&lt;&gt;"pvp",Inputs!$B$43&gt;0),((Skills!G11*((R1408-1)*IF(Skills!H11&gt;0,Skills!I11/Skills!H11,1)+IF(Skills!H11&gt;0,MIN(Skills!I11,MAX(0,MAX(0,Inputs!$B$43-B1436)-((R1408-1)*IF(Inputs!$B$38="pvp",15,MAX(0.1,Skills!D11-IF(Skills!E11=TRUE,2.5,0))))))/Skills!H11,1)))/Inputs!$B$43),G1408*Q1408))*IF(Inputs!$B$38="pvp",1,1+(Inputs!$B$20+0+Skills!P11)/100),0)</f>
        <v/>
      </c>
      <c r="V1408">
        <f>IF(C1408,(H1408*N1408*IF(AND(Inputs!$B$38&lt;&gt;"pvp",Inputs!$B$43&gt;0),((Skills!G11*((R1408-1)*IF(Skills!H11&gt;0,Skills!I11/Skills!H11,1)+IF(Skills!H11&gt;0,MIN(Skills!I11,MAX(0,MAX(0,Inputs!$B$43-B1436)-((R1408-1)*IF(Inputs!$B$38="pvp",15,MAX(0.1,Skills!D11-IF(Skills!E11=TRUE,2.5,0))))))/Skills!H11,1)))/Inputs!$B$43),G1408*Q1408))*IF(Inputs!$B$38="pvp",1,(1+(Inputs!$B$21+Skills!Q11)/100)*(MIN(Skills!R11,Inputs!$B$37))),0)</f>
        <v/>
      </c>
    </row>
    <row r="1409">
      <c r="A1409">
        <f>Skills!A12</f>
        <v/>
      </c>
      <c r="B1409">
        <f>Skills!B12</f>
        <v/>
      </c>
      <c r="C1409">
        <f>Inputs!$B$3&gt;=60</f>
        <v/>
      </c>
      <c r="D1409">
        <f>IF(Skills!C12=1,60+Inputs!$B$25+Inputs!$B$29,IF(Skills!C12=2,90+Inputs!$B$26+Inputs!$B$29,IF(Skills!C12=3,120+Inputs!$B$27+Inputs!$B$29,MAX(0,(Inputs!$B$3-100)*3)+Inputs!$B$28+Inputs!$B$29)))</f>
        <v/>
      </c>
      <c r="E1409">
        <f>INDEX(FactorTable!$B$2:$Y$301, MATCH(ROUND(MIN(300,MAX(1,D1409)),0), FactorTable!$A$2:$A$301,0), Skills!M12+1)</f>
        <v/>
      </c>
      <c r="F1409">
        <f>IF(Skills!N12=TRUE,(Skills!L12/10)*(E1409/1000),Skills!L12/10)+Skills!O12</f>
        <v/>
      </c>
      <c r="G1409">
        <f>Skills!G12*IF(Skills!H12&gt;0,Skills!I12/Skills!H12,1)</f>
        <v/>
      </c>
      <c r="H1409">
        <f>1-(1-Skills!J12/100)^Skills!K12</f>
        <v/>
      </c>
      <c r="I1409" t="inlineStr">
        <is>
          <t>1</t>
        </is>
      </c>
      <c r="J1409" t="inlineStr"/>
      <c r="K1409" t="inlineStr"/>
      <c r="L1409" t="inlineStr"/>
      <c r="M1409" t="inlineStr"/>
      <c r="N1409" t="inlineStr"/>
      <c r="O1409">
        <f>(1-Summary!$B$55)*T1409+Summary!$B$55*V1409</f>
        <v/>
      </c>
      <c r="P1409">
        <f>IF(B1439=0,0,O1409/B1439)</f>
        <v/>
      </c>
      <c r="Q1409" t="n">
        <v>0</v>
      </c>
      <c r="R1409" t="n">
        <v>0</v>
      </c>
      <c r="S1409" t="n">
        <v>0</v>
      </c>
      <c r="T1409" t="n">
        <v>0</v>
      </c>
      <c r="V1409" t="n">
        <v>0</v>
      </c>
    </row>
    <row r="1410">
      <c r="A1410">
        <f>Skills!A13</f>
        <v/>
      </c>
      <c r="B1410">
        <f>Skills!B13</f>
        <v/>
      </c>
      <c r="C1410">
        <f>Inputs!$B$3&gt;=74</f>
        <v/>
      </c>
      <c r="D1410">
        <f>IF(Skills!C13=1,60+Inputs!$B$25+Inputs!$B$29,IF(Skills!C13=2,90+Inputs!$B$26+Inputs!$B$29,IF(Skills!C13=3,120+Inputs!$B$27+Inputs!$B$29,MAX(0,(Inputs!$B$3-100)*3)+Inputs!$B$28+Inputs!$B$29)))</f>
        <v/>
      </c>
      <c r="E1410">
        <f>INDEX(FactorTable!$B$2:$Y$301, MATCH(ROUND(MIN(300,MAX(1,D1410)),0), FactorTable!$A$2:$A$301,0), Skills!M13+1)</f>
        <v/>
      </c>
      <c r="F1410">
        <f>IF(Skills!N13=TRUE,(Skills!L13/10)*(E1410/1000),Skills!L13/10)+Skills!O13</f>
        <v/>
      </c>
      <c r="G1410">
        <f>Skills!G13*IF(Skills!H13&gt;0,Skills!I13/Skills!H13,1)</f>
        <v/>
      </c>
      <c r="H1410">
        <f>1-(1-Skills!J13/100)^Skills!K13</f>
        <v/>
      </c>
      <c r="I1410" t="inlineStr">
        <is>
          <t>1</t>
        </is>
      </c>
      <c r="J1410" t="inlineStr"/>
      <c r="K1410" t="inlineStr"/>
      <c r="L1410" t="inlineStr"/>
      <c r="M1410" t="inlineStr"/>
      <c r="N1410" t="inlineStr"/>
      <c r="O1410">
        <f>(1-Summary!$B$55)*T1410+Summary!$B$55*V1410</f>
        <v/>
      </c>
      <c r="P1410">
        <f>IF(B1439=0,0,O1410/B1439)</f>
        <v/>
      </c>
      <c r="Q1410" t="n">
        <v>0</v>
      </c>
      <c r="R1410" t="n">
        <v>0</v>
      </c>
      <c r="S1410" t="n">
        <v>0</v>
      </c>
      <c r="T1410" t="n">
        <v>0</v>
      </c>
      <c r="V1410" t="n">
        <v>0</v>
      </c>
    </row>
    <row r="1411">
      <c r="A1411">
        <f>Skills!A14</f>
        <v/>
      </c>
      <c r="B1411">
        <f>Skills!B14</f>
        <v/>
      </c>
      <c r="C1411">
        <f>Inputs!$B$3&gt;=74</f>
        <v/>
      </c>
      <c r="D1411">
        <f>IF(Skills!C14=1,60+Inputs!$B$25+Inputs!$B$29,IF(Skills!C14=2,90+Inputs!$B$26+Inputs!$B$29,IF(Skills!C14=3,120+Inputs!$B$27+Inputs!$B$29,MAX(0,(Inputs!$B$3-100)*3)+Inputs!$B$28+Inputs!$B$29)))</f>
        <v/>
      </c>
      <c r="E1411">
        <f>INDEX(FactorTable!$B$2:$Y$301, MATCH(ROUND(MIN(300,MAX(1,D1411)),0), FactorTable!$A$2:$A$301,0), Skills!M14+1)</f>
        <v/>
      </c>
      <c r="F1411">
        <f>IF(Skills!N14=TRUE,(Skills!L14/10)*(E1411/1000),Skills!L14/10)+Skills!O14</f>
        <v/>
      </c>
      <c r="G1411">
        <f>Skills!G14*IF(Skills!H14&gt;0,Skills!I14/Skills!H14,1)</f>
        <v/>
      </c>
      <c r="H1411">
        <f>1-(1-Skills!J14/100)^Skills!K14</f>
        <v/>
      </c>
      <c r="I1411" t="inlineStr">
        <is>
          <t>1</t>
        </is>
      </c>
      <c r="J1411" t="inlineStr"/>
      <c r="K1411" t="inlineStr"/>
      <c r="L1411" t="inlineStr"/>
      <c r="M1411" t="inlineStr"/>
      <c r="N1411" t="inlineStr"/>
      <c r="O1411">
        <f>(1-Summary!$B$55)*T1411+Summary!$B$55*V1411</f>
        <v/>
      </c>
      <c r="P1411">
        <f>IF(B1439=0,0,O1411/B1439)</f>
        <v/>
      </c>
      <c r="Q1411" t="n">
        <v>0</v>
      </c>
      <c r="R1411" t="n">
        <v>0</v>
      </c>
      <c r="S1411" t="n">
        <v>0</v>
      </c>
      <c r="T1411" t="n">
        <v>0</v>
      </c>
      <c r="V1411" t="n">
        <v>0</v>
      </c>
    </row>
    <row r="1412">
      <c r="A1412">
        <f>Skills!A15</f>
        <v/>
      </c>
      <c r="B1412">
        <f>Skills!B15</f>
        <v/>
      </c>
      <c r="C1412">
        <f>Inputs!$B$3&gt;=117</f>
        <v/>
      </c>
      <c r="D1412">
        <f>IF(Skills!C15=1,60+Inputs!$B$25+Inputs!$B$29,IF(Skills!C15=2,90+Inputs!$B$26+Inputs!$B$29,IF(Skills!C15=3,120+Inputs!$B$27+Inputs!$B$29,MAX(0,(Inputs!$B$3-100)*3)+Inputs!$B$28+Inputs!$B$29)))</f>
        <v/>
      </c>
      <c r="E1412">
        <f>INDEX(FactorTable!$B$2:$Y$301, MATCH(ROUND(MIN(300,MAX(1,D1412)),0), FactorTable!$A$2:$A$301,0), Skills!M15+1)</f>
        <v/>
      </c>
      <c r="F1412">
        <f>IF(Skills!N15=TRUE,(Skills!L15/10)*(E1412/1000),Skills!L15/10)+Skills!O15</f>
        <v/>
      </c>
      <c r="G1412">
        <f>Skills!G15*IF(Skills!H15&gt;0,Skills!I15/Skills!H15,1)</f>
        <v/>
      </c>
      <c r="H1412">
        <f>1-(1-Skills!J15/100)^Skills!K15</f>
        <v/>
      </c>
      <c r="I1412" t="inlineStr">
        <is>
          <t>1</t>
        </is>
      </c>
      <c r="J1412" t="inlineStr"/>
      <c r="K1412" t="inlineStr"/>
      <c r="L1412" t="inlineStr"/>
      <c r="M1412" t="inlineStr"/>
      <c r="N1412" t="inlineStr"/>
      <c r="O1412">
        <f>(1-Summary!$B$55)*T1412+Summary!$B$55*V1412</f>
        <v/>
      </c>
      <c r="P1412">
        <f>IF(B1439=0,0,O1412/B1439)</f>
        <v/>
      </c>
      <c r="Q1412">
        <f>IFERROR(1/IF(Inputs!$B$38="pvp",15,MAX(0.1,Skills!D15-IF(Skills!E15=TRUE,2.5,0))),0)</f>
        <v/>
      </c>
      <c r="R1412">
        <f>IF(AND(Inputs!$B$38&lt;&gt;"pvp",Inputs!$B$43&gt;0),IF(Inputs!$B$43&lt;=0,0,(INT(Inputs!$B$43/IF(Inputs!$B$38="pvp",15,MAX(0.1,Skills!D15-IF(Skills!E15=TRUE,2.5,0))))+1)),0)</f>
        <v/>
      </c>
      <c r="S1412" t="n">
        <v>0</v>
      </c>
      <c r="T1412" t="n">
        <v>0</v>
      </c>
      <c r="V1412" t="n">
        <v>0</v>
      </c>
    </row>
    <row r="1413">
      <c r="A1413">
        <f>Skills!A16</f>
        <v/>
      </c>
      <c r="B1413">
        <f>Skills!B16</f>
        <v/>
      </c>
      <c r="C1413">
        <f>Inputs!$B$3&gt;=115</f>
        <v/>
      </c>
      <c r="D1413">
        <f>IF(Skills!C16=1,60+Inputs!$B$25+Inputs!$B$29,IF(Skills!C16=2,90+Inputs!$B$26+Inputs!$B$29,IF(Skills!C16=3,120+Inputs!$B$27+Inputs!$B$29,MAX(0,(Inputs!$B$3-100)*3)+Inputs!$B$28+Inputs!$B$29)))</f>
        <v/>
      </c>
      <c r="E1413">
        <f>INDEX(FactorTable!$B$2:$Y$301, MATCH(ROUND(MIN(300,MAX(1,D1413)),0), FactorTable!$A$2:$A$301,0), Skills!M16+1)</f>
        <v/>
      </c>
      <c r="F1413">
        <f>IF(Skills!N16=TRUE,(Skills!L16/10)*(E1413/1000),Skills!L16/10)+Skills!O16</f>
        <v/>
      </c>
      <c r="G1413">
        <f>Skills!G16*IF(Skills!H16&gt;0,Skills!I16/Skills!H16,1)</f>
        <v/>
      </c>
      <c r="H1413">
        <f>1-(1-Skills!J16/100)^Skills!K16</f>
        <v/>
      </c>
      <c r="I1413" t="inlineStr">
        <is>
          <t>1</t>
        </is>
      </c>
      <c r="J1413" t="inlineStr"/>
      <c r="K1413" t="inlineStr"/>
      <c r="L1413" t="inlineStr"/>
      <c r="M1413" t="inlineStr"/>
      <c r="N1413" t="inlineStr"/>
      <c r="O1413">
        <f>(1-Summary!$B$55)*T1413+Summary!$B$55*V1413</f>
        <v/>
      </c>
      <c r="P1413">
        <f>IF(B1439=0,0,O1413/B1439)</f>
        <v/>
      </c>
      <c r="Q1413">
        <f>IFERROR(1/IF(Inputs!$B$38="pvp",15,MAX(0.1,Skills!D16-IF(Skills!E16=TRUE,2.5,0))),0)</f>
        <v/>
      </c>
      <c r="R1413">
        <f>IF(AND(Inputs!$B$38&lt;&gt;"pvp",Inputs!$B$43&gt;0),IF(Inputs!$B$43&lt;=0,0,(INT(Inputs!$B$43/IF(Inputs!$B$38="pvp",15,MAX(0.1,Skills!D16-IF(Skills!E16=TRUE,2.5,0))))+1)),0)</f>
        <v/>
      </c>
      <c r="S1413" t="n">
        <v>0</v>
      </c>
      <c r="T1413" t="n">
        <v>0</v>
      </c>
      <c r="V1413" t="n">
        <v>0</v>
      </c>
    </row>
    <row r="1414">
      <c r="A1414">
        <f>Skills!A17</f>
        <v/>
      </c>
      <c r="B1414">
        <f>Skills!B17</f>
        <v/>
      </c>
      <c r="C1414">
        <f>Inputs!$B$3&gt;=72</f>
        <v/>
      </c>
      <c r="D1414">
        <f>IF(Skills!C17=1,60+Inputs!$B$25+Inputs!$B$29,IF(Skills!C17=2,90+Inputs!$B$26+Inputs!$B$29,IF(Skills!C17=3,120+Inputs!$B$27+Inputs!$B$29,MAX(0,(Inputs!$B$3-100)*3)+Inputs!$B$28+Inputs!$B$29)))</f>
        <v/>
      </c>
      <c r="E1414">
        <f>INDEX(FactorTable!$B$2:$Y$301, MATCH(ROUND(MIN(300,MAX(1,D1414)),0), FactorTable!$A$2:$A$301,0), Skills!M17+1)</f>
        <v/>
      </c>
      <c r="F1414">
        <f>IF(Skills!N17=TRUE,(Skills!L17/10)*(E1414/1000),Skills!L17/10)+Skills!O17</f>
        <v/>
      </c>
      <c r="G1414">
        <f>Skills!G17*IF(Skills!H17&gt;0,Skills!I17/Skills!H17,1)</f>
        <v/>
      </c>
      <c r="H1414">
        <f>1-(1-Skills!J17/100)^Skills!K17</f>
        <v/>
      </c>
      <c r="I1414" t="inlineStr">
        <is>
          <t>1</t>
        </is>
      </c>
      <c r="J1414" t="inlineStr"/>
      <c r="K1414" t="inlineStr"/>
      <c r="L1414" t="inlineStr"/>
      <c r="M1414" t="inlineStr"/>
      <c r="N1414" t="inlineStr"/>
      <c r="O1414">
        <f>(1-Summary!$B$55)*T1414+Summary!$B$55*V1414</f>
        <v/>
      </c>
      <c r="P1414">
        <f>IF(B1439=0,0,O1414/B1439)</f>
        <v/>
      </c>
      <c r="Q1414" t="n">
        <v>0</v>
      </c>
      <c r="R1414" t="n">
        <v>0</v>
      </c>
      <c r="S1414" t="n">
        <v>0</v>
      </c>
      <c r="T1414" t="n">
        <v>0</v>
      </c>
      <c r="V1414" t="n">
        <v>0</v>
      </c>
    </row>
    <row r="1415">
      <c r="A1415">
        <f>Skills!A18</f>
        <v/>
      </c>
      <c r="B1415">
        <f>Skills!B18</f>
        <v/>
      </c>
      <c r="C1415">
        <f>TRUE</f>
        <v/>
      </c>
      <c r="D1415">
        <f>IF(Skills!C18=1,60+Inputs!$B$25+Inputs!$B$29,IF(Skills!C18=2,90+Inputs!$B$26+Inputs!$B$29,IF(Skills!C18=3,120+Inputs!$B$27+Inputs!$B$29,MAX(0,(Inputs!$B$3-100)*3)+Inputs!$B$28+Inputs!$B$29)))</f>
        <v/>
      </c>
      <c r="E1415">
        <f>INDEX(FactorTable!$B$2:$Y$301, MATCH(ROUND(MIN(300,MAX(1,D1415)),0), FactorTable!$A$2:$A$301,0), Skills!M18+1)</f>
        <v/>
      </c>
      <c r="F1415">
        <f>IF(Skills!N18=TRUE,(Skills!L18/10)*(E1415/1000),Skills!L18/10)+Skills!O18</f>
        <v/>
      </c>
      <c r="G1415">
        <f>Skills!G18*IF(Skills!H18&gt;0,Skills!I18/Skills!H18,1)</f>
        <v/>
      </c>
      <c r="H1415">
        <f>1-(1-Skills!J18/100)^Skills!K18</f>
        <v/>
      </c>
      <c r="I1415" t="inlineStr">
        <is>
          <t>1</t>
        </is>
      </c>
      <c r="J1415" t="inlineStr"/>
      <c r="K1415" t="inlineStr"/>
      <c r="L1415" t="inlineStr"/>
      <c r="M1415" t="inlineStr"/>
      <c r="N1415" t="inlineStr"/>
      <c r="O1415">
        <f>(1-Summary!$B$55)*T1415+Summary!$B$55*V1415</f>
        <v/>
      </c>
      <c r="P1415">
        <f>IF(B1439=0,0,O1415/B1439)</f>
        <v/>
      </c>
      <c r="Q1415">
        <f>IFERROR(1/IF(Inputs!$B$38="pvp",15,MAX(0.1,Skills!D18-IF(Skills!E18=TRUE,2.5,0))),0)</f>
        <v/>
      </c>
      <c r="R1415">
        <f>IF(AND(Inputs!$B$38&lt;&gt;"pvp",Inputs!$B$43&gt;0),IF(Inputs!$B$43&lt;=0,0,(INT(Inputs!$B$43/IF(Inputs!$B$38="pvp",15,MAX(0.1,Skills!D18-IF(Skills!E18=TRUE,2.5,0))))+1)),0)</f>
        <v/>
      </c>
      <c r="S1415" t="n">
        <v>0</v>
      </c>
      <c r="T1415" t="n">
        <v>0</v>
      </c>
      <c r="V1415" t="n">
        <v>0</v>
      </c>
    </row>
    <row r="1416">
      <c r="A1416">
        <f>Skills!A19</f>
        <v/>
      </c>
      <c r="B1416">
        <f>Skills!B19</f>
        <v/>
      </c>
      <c r="C1416">
        <f>Inputs!$B$3&gt;=15</f>
        <v/>
      </c>
      <c r="D1416">
        <f>IF(Skills!C19=1,60+Inputs!$B$25+Inputs!$B$29,IF(Skills!C19=2,90+Inputs!$B$26+Inputs!$B$29,IF(Skills!C19=3,120+Inputs!$B$27+Inputs!$B$29,MAX(0,(Inputs!$B$3-100)*3)+Inputs!$B$28+Inputs!$B$29)))</f>
        <v/>
      </c>
      <c r="E1416">
        <f>INDEX(FactorTable!$B$2:$Y$301, MATCH(ROUND(MIN(300,MAX(1,D1416)),0), FactorTable!$A$2:$A$301,0), Skills!M19+1)</f>
        <v/>
      </c>
      <c r="F1416">
        <f>IF(Skills!N19=TRUE,(Skills!L19/10)*(E1416/1000),Skills!L19/10)+Skills!O19</f>
        <v/>
      </c>
      <c r="G1416">
        <f>Skills!G19*IF(Skills!H19&gt;0,Skills!I19/Skills!H19,1)</f>
        <v/>
      </c>
      <c r="H1416">
        <f>1-(1-Skills!J19/100)^Skills!K19</f>
        <v/>
      </c>
      <c r="I1416" t="inlineStr">
        <is>
          <t>1</t>
        </is>
      </c>
      <c r="J1416" t="inlineStr"/>
      <c r="K1416" t="inlineStr"/>
      <c r="L1416" t="inlineStr"/>
      <c r="M1416" t="inlineStr"/>
      <c r="N1416" t="inlineStr"/>
      <c r="O1416">
        <f>(1-Summary!$B$55)*T1416+Summary!$B$55*V1416</f>
        <v/>
      </c>
      <c r="P1416">
        <f>IF(B1439=0,0,O1416/B1439)</f>
        <v/>
      </c>
      <c r="Q1416" t="n">
        <v>0</v>
      </c>
      <c r="R1416" t="n">
        <v>0</v>
      </c>
      <c r="S1416" t="n">
        <v>0</v>
      </c>
      <c r="T1416" t="n">
        <v>0</v>
      </c>
      <c r="V1416" t="n">
        <v>0</v>
      </c>
    </row>
    <row r="1417">
      <c r="A1417">
        <f>Skills!A20</f>
        <v/>
      </c>
      <c r="B1417">
        <f>Skills!B20</f>
        <v/>
      </c>
      <c r="C1417">
        <f>Inputs!$B$3&gt;=10</f>
        <v/>
      </c>
      <c r="D1417">
        <f>IF(Skills!C20=1,60+Inputs!$B$25+Inputs!$B$29,IF(Skills!C20=2,90+Inputs!$B$26+Inputs!$B$29,IF(Skills!C20=3,120+Inputs!$B$27+Inputs!$B$29,MAX(0,(Inputs!$B$3-100)*3)+Inputs!$B$28+Inputs!$B$29)))</f>
        <v/>
      </c>
      <c r="E1417">
        <f>INDEX(FactorTable!$B$2:$Y$301, MATCH(ROUND(MIN(300,MAX(1,D1417)),0), FactorTable!$A$2:$A$301,0), Skills!M20+1)</f>
        <v/>
      </c>
      <c r="F1417">
        <f>IF(Skills!N20=TRUE,(Skills!L20/10)*(E1417/1000),Skills!L20/10)+Skills!O20</f>
        <v/>
      </c>
      <c r="G1417">
        <f>Skills!G20*IF(Skills!H20&gt;0,Skills!I20/Skills!H20,1)</f>
        <v/>
      </c>
      <c r="H1417">
        <f>1-(1-Skills!J20/100)^Skills!K20</f>
        <v/>
      </c>
      <c r="I1417" t="inlineStr">
        <is>
          <t>1</t>
        </is>
      </c>
      <c r="J1417" t="inlineStr"/>
      <c r="K1417" t="inlineStr"/>
      <c r="L1417" t="inlineStr"/>
      <c r="M1417" t="inlineStr"/>
      <c r="N1417" t="inlineStr"/>
      <c r="O1417">
        <f>(1-Summary!$B$55)*T1417+Summary!$B$55*V1417</f>
        <v/>
      </c>
      <c r="P1417">
        <f>IF(B1439=0,0,O1417/B1439)</f>
        <v/>
      </c>
      <c r="Q1417" t="n">
        <v>0</v>
      </c>
      <c r="R1417" t="n">
        <v>0</v>
      </c>
      <c r="S1417" t="n">
        <v>0</v>
      </c>
      <c r="T1417" t="n">
        <v>0</v>
      </c>
      <c r="V1417" t="n">
        <v>0</v>
      </c>
    </row>
    <row r="1418">
      <c r="A1418">
        <f>Skills!A21</f>
        <v/>
      </c>
      <c r="B1418">
        <f>Skills!B21</f>
        <v/>
      </c>
      <c r="C1418">
        <f>Inputs!$B$3&gt;=33</f>
        <v/>
      </c>
      <c r="D1418">
        <f>IF(Skills!C21=1,60+Inputs!$B$25+Inputs!$B$29,IF(Skills!C21=2,90+Inputs!$B$26+Inputs!$B$29,IF(Skills!C21=3,120+Inputs!$B$27+Inputs!$B$29,MAX(0,(Inputs!$B$3-100)*3)+Inputs!$B$28+Inputs!$B$29)))</f>
        <v/>
      </c>
      <c r="E1418">
        <f>INDEX(FactorTable!$B$2:$Y$301, MATCH(ROUND(MIN(300,MAX(1,D1418)),0), FactorTable!$A$2:$A$301,0), Skills!M21+1)</f>
        <v/>
      </c>
      <c r="F1418">
        <f>IF(Skills!N21=TRUE,(Skills!L21/10)*(E1418/1000),Skills!L21/10)+Skills!O21</f>
        <v/>
      </c>
      <c r="G1418">
        <f>Skills!G21*IF(Skills!H21&gt;0,Skills!I21/Skills!H21,1)</f>
        <v/>
      </c>
      <c r="H1418">
        <f>1-(1-Skills!J21/100)^Skills!K21</f>
        <v/>
      </c>
      <c r="I1418" t="inlineStr">
        <is>
          <t>1</t>
        </is>
      </c>
      <c r="J1418" t="inlineStr"/>
      <c r="K1418" t="inlineStr"/>
      <c r="L1418" t="inlineStr"/>
      <c r="M1418" t="inlineStr"/>
      <c r="N1418" t="inlineStr"/>
      <c r="O1418">
        <f>(1-Summary!$B$55)*T1418+Summary!$B$55*V1418</f>
        <v/>
      </c>
      <c r="P1418">
        <f>IF(B1439=0,0,O1418/B1439)</f>
        <v/>
      </c>
      <c r="Q1418" t="n">
        <v>0</v>
      </c>
      <c r="R1418" t="n">
        <v>0</v>
      </c>
      <c r="S1418" t="n">
        <v>0</v>
      </c>
      <c r="T1418" t="n">
        <v>0</v>
      </c>
      <c r="V1418" t="n">
        <v>0</v>
      </c>
    </row>
    <row r="1419">
      <c r="A1419">
        <f>Skills!A22</f>
        <v/>
      </c>
      <c r="B1419">
        <f>Skills!B22</f>
        <v/>
      </c>
      <c r="C1419">
        <f>Inputs!$B$3&gt;=38</f>
        <v/>
      </c>
      <c r="D1419">
        <f>IF(Skills!C22=1,60+Inputs!$B$25+Inputs!$B$29,IF(Skills!C22=2,90+Inputs!$B$26+Inputs!$B$29,IF(Skills!C22=3,120+Inputs!$B$27+Inputs!$B$29,MAX(0,(Inputs!$B$3-100)*3)+Inputs!$B$28+Inputs!$B$29)))</f>
        <v/>
      </c>
      <c r="E1419">
        <f>INDEX(FactorTable!$B$2:$Y$301, MATCH(ROUND(MIN(300,MAX(1,D1419)),0), FactorTable!$A$2:$A$301,0), Skills!M22+1)</f>
        <v/>
      </c>
      <c r="F1419">
        <f>IF(Skills!N22=TRUE,(Skills!L22/10)*(E1419/1000),Skills!L22/10)+Skills!O22</f>
        <v/>
      </c>
      <c r="G1419">
        <f>Skills!G22*IF(Skills!H22&gt;0,Skills!I22/Skills!H22,1)</f>
        <v/>
      </c>
      <c r="H1419">
        <f>1-(1-Skills!J22/100)^Skills!K22</f>
        <v/>
      </c>
      <c r="I1419" t="inlineStr">
        <is>
          <t>1</t>
        </is>
      </c>
      <c r="J1419" t="inlineStr"/>
      <c r="K1419" t="inlineStr"/>
      <c r="L1419" t="inlineStr"/>
      <c r="M1419" t="inlineStr"/>
      <c r="N1419" t="inlineStr"/>
      <c r="O1419">
        <f>(1-Summary!$B$55)*T1419+Summary!$B$55*V1419</f>
        <v/>
      </c>
      <c r="P1419">
        <f>IF(B1439=0,0,O1419/B1439)</f>
        <v/>
      </c>
      <c r="Q1419" t="n">
        <v>0</v>
      </c>
      <c r="R1419" t="n">
        <v>0</v>
      </c>
      <c r="S1419" t="n">
        <v>0</v>
      </c>
      <c r="T1419" t="n">
        <v>0</v>
      </c>
      <c r="V1419" t="n">
        <v>0</v>
      </c>
    </row>
    <row r="1420">
      <c r="A1420">
        <f>Skills!A23</f>
        <v/>
      </c>
      <c r="B1420">
        <f>Skills!B23</f>
        <v/>
      </c>
      <c r="C1420">
        <f>Inputs!$B$3&gt;=43</f>
        <v/>
      </c>
      <c r="D1420">
        <f>IF(Skills!C23=1,60+Inputs!$B$25+Inputs!$B$29,IF(Skills!C23=2,90+Inputs!$B$26+Inputs!$B$29,IF(Skills!C23=3,120+Inputs!$B$27+Inputs!$B$29,MAX(0,(Inputs!$B$3-100)*3)+Inputs!$B$28+Inputs!$B$29)))</f>
        <v/>
      </c>
      <c r="E1420">
        <f>INDEX(FactorTable!$B$2:$Y$301, MATCH(ROUND(MIN(300,MAX(1,D1420)),0), FactorTable!$A$2:$A$301,0), Skills!M23+1)</f>
        <v/>
      </c>
      <c r="F1420">
        <f>IF(Skills!N23=TRUE,(Skills!L23/10)*(E1420/1000),Skills!L23/10)+Skills!O23</f>
        <v/>
      </c>
      <c r="G1420">
        <f>Skills!G23*IF(Skills!H23&gt;0,Skills!I23/Skills!H23,1)</f>
        <v/>
      </c>
      <c r="H1420">
        <f>1-(1-Skills!J23/100)^Skills!K23</f>
        <v/>
      </c>
      <c r="I1420" t="inlineStr">
        <is>
          <t>1</t>
        </is>
      </c>
      <c r="J1420" t="inlineStr"/>
      <c r="K1420" t="inlineStr"/>
      <c r="L1420" t="inlineStr"/>
      <c r="M1420" t="inlineStr"/>
      <c r="N1420" t="inlineStr"/>
      <c r="O1420">
        <f>(1-Summary!$B$55)*T1420+Summary!$B$55*V1420</f>
        <v/>
      </c>
      <c r="P1420">
        <f>IF(B1439=0,0,O1420/B1439)</f>
        <v/>
      </c>
      <c r="Q1420" t="n">
        <v>0</v>
      </c>
      <c r="R1420" t="n">
        <v>0</v>
      </c>
      <c r="S1420" t="n">
        <v>0</v>
      </c>
      <c r="T1420" t="n">
        <v>0</v>
      </c>
      <c r="V1420" t="n">
        <v>0</v>
      </c>
    </row>
    <row r="1421">
      <c r="A1421">
        <f>Skills!A24</f>
        <v/>
      </c>
      <c r="B1421">
        <f>Skills!B24</f>
        <v/>
      </c>
      <c r="C1421">
        <f>Inputs!$B$3&gt;=75</f>
        <v/>
      </c>
      <c r="D1421">
        <f>IF(Skills!C24=1,60+Inputs!$B$25+Inputs!$B$29,IF(Skills!C24=2,90+Inputs!$B$26+Inputs!$B$29,IF(Skills!C24=3,120+Inputs!$B$27+Inputs!$B$29,MAX(0,(Inputs!$B$3-100)*3)+Inputs!$B$28+Inputs!$B$29)))</f>
        <v/>
      </c>
      <c r="E1421">
        <f>INDEX(FactorTable!$B$2:$Y$301, MATCH(ROUND(MIN(300,MAX(1,D1421)),0), FactorTable!$A$2:$A$301,0), Skills!M24+1)</f>
        <v/>
      </c>
      <c r="F1421">
        <f>IF(Skills!N24=TRUE,(Skills!L24/10)*(E1421/1000),Skills!L24/10)+Skills!O24</f>
        <v/>
      </c>
      <c r="G1421">
        <f>Skills!G24*IF(Skills!H24&gt;0,Skills!I24/Skills!H24,1)</f>
        <v/>
      </c>
      <c r="H1421">
        <f>1-(1-Skills!J24/100)^Skills!K24</f>
        <v/>
      </c>
      <c r="I1421" t="inlineStr">
        <is>
          <t>1</t>
        </is>
      </c>
      <c r="J1421" t="inlineStr"/>
      <c r="K1421" t="inlineStr"/>
      <c r="L1421" t="inlineStr"/>
      <c r="M1421" t="inlineStr"/>
      <c r="N1421" t="inlineStr"/>
      <c r="O1421">
        <f>(1-Summary!$B$55)*T1421+Summary!$B$55*V1421</f>
        <v/>
      </c>
      <c r="P1421">
        <f>IF(B1439=0,0,O1421/B1439)</f>
        <v/>
      </c>
      <c r="Q1421" t="n">
        <v>0</v>
      </c>
      <c r="R1421" t="n">
        <v>0</v>
      </c>
      <c r="S1421" t="n">
        <v>0</v>
      </c>
      <c r="T1421" t="n">
        <v>0</v>
      </c>
      <c r="V1421" t="n">
        <v>0</v>
      </c>
    </row>
    <row r="1422">
      <c r="A1422">
        <f>Skills!A25</f>
        <v/>
      </c>
      <c r="B1422">
        <f>Skills!B25</f>
        <v/>
      </c>
      <c r="C1422">
        <f>Inputs!$B$3&gt;=125</f>
        <v/>
      </c>
      <c r="D1422">
        <f>IF(Skills!C25=1,60+Inputs!$B$25+Inputs!$B$29,IF(Skills!C25=2,90+Inputs!$B$26+Inputs!$B$29,IF(Skills!C25=3,120+Inputs!$B$27+Inputs!$B$29,MAX(0,(Inputs!$B$3-100)*3)+Inputs!$B$28+Inputs!$B$29)))</f>
        <v/>
      </c>
      <c r="E1422">
        <f>INDEX(FactorTable!$B$2:$Y$301, MATCH(ROUND(MIN(300,MAX(1,D1422)),0), FactorTable!$A$2:$A$301,0), Skills!M25+1)</f>
        <v/>
      </c>
      <c r="F1422">
        <f>IF(Skills!N25=TRUE,(Skills!L25/10)*(E1422/1000),Skills!L25/10)+Skills!O25</f>
        <v/>
      </c>
      <c r="G1422">
        <f>Skills!G25*IF(Skills!H25&gt;0,Skills!I25/Skills!H25,1)</f>
        <v/>
      </c>
      <c r="H1422">
        <f>1-(1-Skills!J25/100)^Skills!K25</f>
        <v/>
      </c>
      <c r="I1422" t="inlineStr">
        <is>
          <t>1</t>
        </is>
      </c>
      <c r="J1422" t="inlineStr"/>
      <c r="K1422" t="inlineStr"/>
      <c r="L1422" t="inlineStr"/>
      <c r="M1422" t="inlineStr"/>
      <c r="N1422" t="inlineStr"/>
      <c r="O1422">
        <f>(1-Summary!$B$55)*T1422+Summary!$B$55*V1422</f>
        <v/>
      </c>
      <c r="P1422">
        <f>IF(B1439=0,0,O1422/B1439)</f>
        <v/>
      </c>
      <c r="Q1422" t="n">
        <v>0</v>
      </c>
      <c r="R1422" t="n">
        <v>0</v>
      </c>
      <c r="S1422" t="n">
        <v>0</v>
      </c>
      <c r="T1422" t="n">
        <v>0</v>
      </c>
      <c r="V1422" t="n">
        <v>0</v>
      </c>
    </row>
    <row r="1423">
      <c r="A1423">
        <f>Skills!A26</f>
        <v/>
      </c>
      <c r="B1423">
        <f>Skills!B26</f>
        <v/>
      </c>
      <c r="C1423">
        <f>Inputs!$B$3&gt;=125</f>
        <v/>
      </c>
      <c r="D1423">
        <f>IF(Skills!C26=1,60+Inputs!$B$25+Inputs!$B$29,IF(Skills!C26=2,90+Inputs!$B$26+Inputs!$B$29,IF(Skills!C26=3,120+Inputs!$B$27+Inputs!$B$29,MAX(0,(Inputs!$B$3-100)*3)+Inputs!$B$28+Inputs!$B$29)))</f>
        <v/>
      </c>
      <c r="E1423">
        <f>INDEX(FactorTable!$B$2:$Y$301, MATCH(ROUND(MIN(300,MAX(1,D1423)),0), FactorTable!$A$2:$A$301,0), Skills!M26+1)</f>
        <v/>
      </c>
      <c r="F1423">
        <f>IF(Skills!N26=TRUE,(Skills!L26/10)*(E1423/1000),Skills!L26/10)+Skills!O26</f>
        <v/>
      </c>
      <c r="G1423">
        <f>Skills!G26*IF(Skills!H26&gt;0,Skills!I26/Skills!H26,1)</f>
        <v/>
      </c>
      <c r="H1423">
        <f>1-(1-Skills!J26/100)^Skills!K26</f>
        <v/>
      </c>
      <c r="I1423" t="inlineStr">
        <is>
          <t>1</t>
        </is>
      </c>
      <c r="J1423" t="inlineStr"/>
      <c r="K1423" t="inlineStr"/>
      <c r="L1423" t="inlineStr"/>
      <c r="M1423" t="inlineStr"/>
      <c r="N1423" t="inlineStr"/>
      <c r="O1423">
        <f>(1-Summary!$B$55)*T1423+Summary!$B$55*V1423</f>
        <v/>
      </c>
      <c r="P1423">
        <f>IF(B1439=0,0,O1423/B1439)</f>
        <v/>
      </c>
      <c r="Q1423" t="n">
        <v>0</v>
      </c>
      <c r="R1423" t="n">
        <v>0</v>
      </c>
      <c r="S1423" t="n">
        <v>0</v>
      </c>
      <c r="T1423" t="n">
        <v>0</v>
      </c>
      <c r="V1423" t="n">
        <v>0</v>
      </c>
    </row>
    <row r="1424">
      <c r="A1424">
        <f>Skills!A27</f>
        <v/>
      </c>
      <c r="B1424">
        <f>Skills!B27</f>
        <v/>
      </c>
      <c r="C1424">
        <f>Inputs!$B$3&gt;=120</f>
        <v/>
      </c>
      <c r="D1424">
        <f>IF(Skills!C27=1,60+Inputs!$B$25+Inputs!$B$29,IF(Skills!C27=2,90+Inputs!$B$26+Inputs!$B$29,IF(Skills!C27=3,120+Inputs!$B$27+Inputs!$B$29,MAX(0,(Inputs!$B$3-100)*3)+Inputs!$B$28+Inputs!$B$29)))</f>
        <v/>
      </c>
      <c r="E1424">
        <f>INDEX(FactorTable!$B$2:$Y$301, MATCH(ROUND(MIN(300,MAX(1,D1424)),0), FactorTable!$A$2:$A$301,0), Skills!M27+1)</f>
        <v/>
      </c>
      <c r="F1424">
        <f>IF(Skills!N27=TRUE,(Skills!L27/10)*(E1424/1000),Skills!L27/10)+Skills!O27</f>
        <v/>
      </c>
      <c r="G1424">
        <f>Skills!G27*IF(Skills!H27&gt;0,Skills!I27/Skills!H27,1)</f>
        <v/>
      </c>
      <c r="H1424">
        <f>1-(1-Skills!J27/100)^Skills!K27</f>
        <v/>
      </c>
      <c r="I1424" t="inlineStr">
        <is>
          <t>1</t>
        </is>
      </c>
      <c r="J1424" t="inlineStr"/>
      <c r="K1424" t="inlineStr"/>
      <c r="L1424" t="inlineStr"/>
      <c r="M1424" t="inlineStr"/>
      <c r="N1424" t="inlineStr"/>
      <c r="O1424">
        <f>(1-Summary!$B$55)*T1424+Summary!$B$55*V1424</f>
        <v/>
      </c>
      <c r="P1424">
        <f>IF(B1439=0,0,O1424/B1439)</f>
        <v/>
      </c>
      <c r="Q1424" t="n">
        <v>0</v>
      </c>
      <c r="R1424" t="n">
        <v>0</v>
      </c>
      <c r="S1424" t="n">
        <v>0</v>
      </c>
      <c r="T1424" t="n">
        <v>0</v>
      </c>
      <c r="V1424" t="n">
        <v>0</v>
      </c>
    </row>
    <row r="1425">
      <c r="A1425">
        <f>Skills!A28</f>
        <v/>
      </c>
      <c r="B1425">
        <f>Skills!B28</f>
        <v/>
      </c>
      <c r="C1425">
        <f>Inputs!$B$3&gt;=120</f>
        <v/>
      </c>
      <c r="D1425">
        <f>IF(Skills!C28=1,60+Inputs!$B$25+Inputs!$B$29,IF(Skills!C28=2,90+Inputs!$B$26+Inputs!$B$29,IF(Skills!C28=3,120+Inputs!$B$27+Inputs!$B$29,MAX(0,(Inputs!$B$3-100)*3)+Inputs!$B$28+Inputs!$B$29)))</f>
        <v/>
      </c>
      <c r="E1425">
        <f>INDEX(FactorTable!$B$2:$Y$301, MATCH(ROUND(MIN(300,MAX(1,D1425)),0), FactorTable!$A$2:$A$301,0), Skills!M28+1)</f>
        <v/>
      </c>
      <c r="F1425">
        <f>IF(Skills!N28=TRUE,(Skills!L28/10)*(E1425/1000),Skills!L28/10)+Skills!O28</f>
        <v/>
      </c>
      <c r="G1425">
        <f>Skills!G28*IF(Skills!H28&gt;0,Skills!I28/Skills!H28,1)</f>
        <v/>
      </c>
      <c r="H1425">
        <f>1-(1-Skills!J28/100)^Skills!K28</f>
        <v/>
      </c>
      <c r="I1425" t="inlineStr">
        <is>
          <t>1</t>
        </is>
      </c>
      <c r="J1425" t="inlineStr"/>
      <c r="K1425" t="inlineStr"/>
      <c r="L1425" t="inlineStr"/>
      <c r="M1425" t="inlineStr"/>
      <c r="N1425" t="inlineStr"/>
      <c r="O1425">
        <f>(1-Summary!$B$55)*T1425+Summary!$B$55*V1425</f>
        <v/>
      </c>
      <c r="P1425">
        <f>IF(B1439=0,0,O1425/B1439)</f>
        <v/>
      </c>
      <c r="Q1425" t="n">
        <v>0</v>
      </c>
      <c r="R1425" t="n">
        <v>0</v>
      </c>
      <c r="S1425" t="n">
        <v>0</v>
      </c>
      <c r="T1425" t="n">
        <v>0</v>
      </c>
      <c r="V1425" t="n">
        <v>0</v>
      </c>
    </row>
    <row r="1426">
      <c r="A1426">
        <f>Skills!A29</f>
        <v/>
      </c>
      <c r="B1426">
        <f>Skills!B29</f>
        <v/>
      </c>
      <c r="C1426">
        <f>Inputs!$B$3&gt;=45</f>
        <v/>
      </c>
      <c r="D1426">
        <f>IF(Skills!C29=1,60+Inputs!$B$25+Inputs!$B$29,IF(Skills!C29=2,90+Inputs!$B$26+Inputs!$B$29,IF(Skills!C29=3,120+Inputs!$B$27+Inputs!$B$29,MAX(0,(Inputs!$B$3-100)*3)+Inputs!$B$28+Inputs!$B$29)))</f>
        <v/>
      </c>
      <c r="E1426">
        <f>INDEX(FactorTable!$B$2:$Y$301, MATCH(ROUND(MIN(300,MAX(1,D1426)),0), FactorTable!$A$2:$A$301,0), Skills!M29+1)</f>
        <v/>
      </c>
      <c r="F1426">
        <f>IF(Skills!N29=TRUE,(Skills!L29/10)*(E1426/1000),Skills!L29/10)+Skills!O29</f>
        <v/>
      </c>
      <c r="G1426">
        <f>Skills!G29*IF(Skills!H29&gt;0,Skills!I29/Skills!H29,1)</f>
        <v/>
      </c>
      <c r="H1426">
        <f>1-(1-Skills!J29/100)^Skills!K29</f>
        <v/>
      </c>
      <c r="I1426" t="inlineStr">
        <is>
          <t>1</t>
        </is>
      </c>
      <c r="J1426" t="inlineStr"/>
      <c r="K1426" t="inlineStr"/>
      <c r="L1426" t="inlineStr"/>
      <c r="M1426" t="inlineStr"/>
      <c r="N1426" t="inlineStr"/>
      <c r="O1426">
        <f>(1-Summary!$B$55)*T1426+Summary!$B$55*V1426</f>
        <v/>
      </c>
      <c r="P1426">
        <f>IF(B1439=0,0,O1426/B1439)</f>
        <v/>
      </c>
      <c r="Q1426" t="n">
        <v>0</v>
      </c>
      <c r="R1426" t="n">
        <v>0</v>
      </c>
      <c r="S1426" t="n">
        <v>0</v>
      </c>
      <c r="T1426" t="n">
        <v>0</v>
      </c>
      <c r="V1426" t="n">
        <v>0</v>
      </c>
    </row>
    <row r="1428">
      <c r="A1428" t="inlineStr">
        <is>
          <t>Attack% Bucket Multiplier</t>
        </is>
      </c>
      <c r="B1428">
        <f>(1+(((C1410=TRUE)*F1410)+((C1411=TRUE)*IF(Inputs!$B$38="pvp",F1411,(1-Summary!$B$55)*(F1411)+Summary!$B$55*(0)))+((C1412=TRUE)*F1412*IF(AND(Inputs!$B$38&lt;&gt;"pvp",Inputs!$B$43&gt;0),(((R1412-1)*(Skills!T15*(1+Inputs!$B$34/100))+MIN((Skills!T15*(1+Inputs!$B$34/100)),MAX(0,Inputs!$B$43-((R1412-1)*Skills!D15))))/Inputs!$B$43),IF(Inputs!$B$38="pvp",MIN((Skills!T15*(1+Inputs!$B$34/100)),15)/15,(Skills!T15*(1+Inputs!$B$34/100))/Skills!D15)))+((C1409=TRUE)*F1409)+((C1426=TRUE)*(F1426-Calc!F29)))/100)</f>
        <v/>
      </c>
    </row>
    <row r="1429">
      <c r="A1429" t="inlineStr">
        <is>
          <t>Global Crit Rate Bonus %</t>
        </is>
      </c>
      <c r="B1429">
        <f>(C1413=TRUE)*20*IF(AND(Inputs!$B$38&lt;&gt;"pvp",Inputs!$B$43&gt;0),(((R1413-1)*(Skills!T16*(1+Inputs!$B$34/100))+MIN((Skills!T16*(1+Inputs!$B$34/100)),MAX(0,Inputs!$B$43-((R1413-1)*Skills!D16))))/Inputs!$B$43),IF(Inputs!$B$38="pvp",MIN((Skills!T16*(1+Inputs!$B$34/100)),15)/15,(Skills!T16*(1+Inputs!$B$34/100))/Skills!D16))</f>
        <v/>
      </c>
    </row>
    <row r="1430">
      <c r="A1430" t="inlineStr">
        <is>
          <t>Attack Speed Buff Bonus %</t>
        </is>
      </c>
      <c r="B1430">
        <f>((C1415=TRUE)*F1415*IF(AND(Inputs!$B$38&lt;&gt;"pvp",Inputs!$B$43&gt;0),(((R1415-1)*(Skills!T18*(1+Inputs!$B$34/100))+MIN((Skills!T18*(1+Inputs!$B$34/100)),MAX(0,Inputs!$B$43-((R1415-1)*Skills!D18))))/Inputs!$B$43),IF(Inputs!$B$38="pvp",MIN((Skills!T18*(1+Inputs!$B$34/100)),15)/15,(Skills!T18*(1+Inputs!$B$34/100))/Skills!D18)))</f>
        <v/>
      </c>
    </row>
    <row r="1431">
      <c r="A1431" t="inlineStr">
        <is>
          <t>Actions Per Second</t>
        </is>
      </c>
      <c r="B1431">
        <f>1+MIN(150,150*(1-(1-(Inputs!$B$11+((C1417=TRUE)*(F1417-Calc!F20))+((C1418=TRUE)*(F1418-Calc!F21)))/150)*(1-B1430/150)))/100</f>
        <v/>
      </c>
    </row>
    <row r="1432">
      <c r="A1432" t="inlineStr">
        <is>
          <t>Skill + Buff Cast Rate</t>
        </is>
      </c>
      <c r="B1432">
        <f>IF(AND(Inputs!$B$38&lt;&gt;"pvp",Inputs!$B$43&gt;0),SUMPRODUCT((Skills!E2:E29=TRUE)*(C1399:C1426=TRUE)*R1399:R1426*Skills!F2:F29)/Inputs!$B$43,SUMPRODUCT((Skills!E2:E29=TRUE)*(C1399:C1426=TRUE)*Q1399:Q1426*Skills!F2:F29))</f>
        <v/>
      </c>
    </row>
    <row r="1433">
      <c r="A1433" t="inlineStr">
        <is>
          <t>Empowered Piercing Arrow Casts Per Second</t>
        </is>
      </c>
      <c r="B1433">
        <f>MAX(0,B1431-B1432)</f>
        <v/>
      </c>
    </row>
    <row r="1434">
      <c r="A1434" t="inlineStr">
        <is>
          <t>Global Critical Damage Bonus % (Sharp Eyes)</t>
        </is>
      </c>
      <c r="B1434">
        <f>(C1413=TRUE)*F1413*IF(AND(Inputs!$B$38&lt;&gt;"pvp",Inputs!$B$43&gt;0),(((R1413-1)*(Skills!T16*(1+Inputs!$B$34/100))+MIN((Skills!T16*(1+Inputs!$B$34/100)),MAX(0,Inputs!$B$43-((R1413-1)*Skills!D16))))/Inputs!$B$43),IF(Inputs!$B$38="pvp",MIN((Skills!T16*(1+Inputs!$B$34/100)),15)/15,(Skills!T16*(1+Inputs!$B$34/100))/Skills!D16))</f>
        <v/>
      </c>
    </row>
    <row r="1435">
      <c r="A1435" t="inlineStr">
        <is>
          <t>Global Final Damage Bonus % (Mortal Blow + Last Man Standing conditional half)</t>
        </is>
      </c>
      <c r="B1435">
        <f>(C1414=TRUE)*F1414+((C1423=TRUE)*IF(Inputs!$B$38="pvp",F1423,(1-Summary!$B$55)*(F1423)+Summary!$B$55*(0)))</f>
        <v/>
      </c>
    </row>
    <row r="1436">
      <c r="A1436" t="inlineStr">
        <is>
          <t>Buff-Casting Startup Delay (s, fixed-duration only)</t>
        </is>
      </c>
      <c r="B1436">
        <f>IF(AND(Inputs!$B$38&lt;&gt;"pvp",Inputs!$B$43&gt;0),SUMPRODUCT((Skills!T2:T29&gt;0)*(Skills!E2:E29=TRUE)*(C1399:C1426=TRUE))/B1431,0)</f>
        <v/>
      </c>
    </row>
    <row r="1437">
      <c r="A1437" t="inlineStr">
        <is>
          <t>Boss-Only Total DPS (this block's swept value)</t>
        </is>
      </c>
      <c r="B1437">
        <f>SUM(T1399:T1426)</f>
        <v/>
      </c>
    </row>
    <row r="1438">
      <c r="A1438" t="inlineStr">
        <is>
          <t>Normal-Only Total DPS (this block's swept value)</t>
        </is>
      </c>
      <c r="B1438">
        <f>SUM(V1399:V1426)</f>
        <v/>
      </c>
    </row>
    <row r="1439">
      <c r="A1439" s="5" t="inlineStr">
        <is>
          <t>TOTAL DPS</t>
        </is>
      </c>
      <c r="B1439" s="5">
        <f>SUM(O1399:O1426)</f>
        <v/>
      </c>
    </row>
    <row r="1442">
      <c r="A1442" s="5" t="inlineStr">
        <is>
          <t>Stat: CDR = 3.0s</t>
        </is>
      </c>
    </row>
    <row r="1443">
      <c r="A1443" s="9" t="inlineStr">
        <is>
          <t>Key</t>
        </is>
      </c>
      <c r="B1443" s="9" t="inlineStr">
        <is>
          <t>Name</t>
        </is>
      </c>
      <c r="C1443" s="9" t="inlineStr">
        <is>
          <t>Unlocked</t>
        </is>
      </c>
      <c r="D1443" s="9" t="inlineStr">
        <is>
          <t>InputLevel</t>
        </is>
      </c>
      <c r="E1443" s="9" t="inlineStr">
        <is>
          <t>Factor</t>
        </is>
      </c>
      <c r="F1443" s="9" t="inlineStr">
        <is>
          <t>CoefficientPercent</t>
        </is>
      </c>
      <c r="G1443" s="9" t="inlineStr">
        <is>
          <t>EffectiveHits</t>
        </is>
      </c>
      <c r="H1443" s="9" t="inlineStr">
        <is>
          <t>ProcProbability</t>
        </is>
      </c>
      <c r="I1443" s="9" t="inlineStr">
        <is>
          <t>MapleHeroMultiplier</t>
        </is>
      </c>
      <c r="J1443" s="9" t="inlineStr">
        <is>
          <t>BaseDamage</t>
        </is>
      </c>
      <c r="K1443" s="9" t="inlineStr">
        <is>
          <t>BaseHitDamage</t>
        </is>
      </c>
      <c r="L1443" s="9" t="inlineStr">
        <is>
          <t>NonCritAvg</t>
        </is>
      </c>
      <c r="M1443" s="9" t="inlineStr">
        <is>
          <t>CritAvg</t>
        </is>
      </c>
      <c r="N1443" s="9" t="inlineStr">
        <is>
          <t>ExpectedDamage(perHit)</t>
        </is>
      </c>
      <c r="O1443" s="9" t="inlineStr">
        <is>
          <t>DPS</t>
        </is>
      </c>
      <c r="P1443" s="9" t="inlineStr">
        <is>
          <t>% of Total</t>
        </is>
      </c>
      <c r="Q1443" s="9" t="inlineStr">
        <is>
          <t>InvCooldown</t>
        </is>
      </c>
      <c r="R1443" s="9" t="inlineStr">
        <is>
          <t>CastsInFight</t>
        </is>
      </c>
      <c r="S1443" s="9" t="inlineStr">
        <is>
          <t>HitRate(perSec)</t>
        </is>
      </c>
      <c r="U1443" t="inlineStr">
        <is>
          <t>helpers</t>
        </is>
      </c>
    </row>
    <row r="1444">
      <c r="A1444">
        <f>Skills!A2</f>
        <v/>
      </c>
      <c r="B1444">
        <f>Skills!B2</f>
        <v/>
      </c>
      <c r="C1444">
        <f>Inputs!$B$3&gt;=100</f>
        <v/>
      </c>
      <c r="D1444" t="inlineStr"/>
      <c r="E1444" t="inlineStr"/>
      <c r="F1444">
        <f>U1446+Skills!O2</f>
        <v/>
      </c>
      <c r="G1444">
        <f>Skills!G2*IF(Skills!H2&gt;0,Skills!I2/Skills!H2,1)</f>
        <v/>
      </c>
      <c r="H1444">
        <f>1-(1-Skills!J2/100)^Skills!K2</f>
        <v/>
      </c>
      <c r="I1444" t="inlineStr">
        <is>
          <t>1</t>
        </is>
      </c>
      <c r="J1444">
        <f>((Inputs!$B$6*(1+Inputs!$B$7/100))+(((Inputs!$B$12*(1+Inputs!$B$13/100))-(Inputs!$B$12*(1+Inputs!$B$13/100)))+0.25*(Inputs!$B$14-Inputs!$B$14))*(1+Inputs!$B$7/100))*(F1444/100)</f>
        <v/>
      </c>
      <c r="K1444">
        <f>J1444*(1+((Inputs!$B$12*(1+Inputs!$B$13/100))*0.01+Inputs!$B$14*0.0025)/100)*(1+Inputs!$B$15/100)*(1+Inputs!$B$16/100)*(5000/(6000+Inputs!$B$42*(1-(Inputs!$B$19+0)/100)))*(1+(Inputs!$B$24+((C1466=TRUE)*(F1466-Calc!F24))+((C1467=TRUE)*(F1467-Calc!F25))+B1480)/100)*(1+(IF(Skills!A2="EMPOWERED_PIERCING_ARROW",Inputs!$B$17+((C1464=TRUE)*(F1464-Calc!F22)),Inputs!$B$18+((C1469=TRUE)*(F1469-Calc!F27))))/100)*((1+(((C1455=TRUE)*F1455)+((C1456=TRUE)*IF(Inputs!$B$38="pvp",F1456,(1-Summary!$B$55)*(F1456)+Summary!$B$55*(0)))+((C1457=TRUE)*F1457*IF(AND(Inputs!$B$38&lt;&gt;"pvp",Inputs!$B$43&gt;0),(((R1457-1)*(Skills!T15*(1+Inputs!$B$34/100))+MIN((Skills!T15*(1+Inputs!$B$34/100)),MAX(0,Inputs!$B$43-((R1457-1)*Skills!D15))))/Inputs!$B$43),IF(Inputs!$B$38="pvp",MIN((Skills!T15*(1+Inputs!$B$34/100)),15)/15,(Skills!T15*(1+Inputs!$B$34/100))/Skills!D15)))+((C1454=TRUE)*F1454)+((C1471=TRUE)*(F1471-Calc!F29)))/100)*I1444)</f>
        <v/>
      </c>
      <c r="L1444">
        <f>K1444*(MIN(Inputs!$B$22+((C1465=TRUE)*(F1465-Calc!F23)),Inputs!$B$23+((C1470=TRUE)*(F1470-Calc!F28)))/100+(Inputs!$B$23+((C1470=TRUE)*(F1470-Calc!F28)))/100)/2</f>
        <v/>
      </c>
      <c r="M1444">
        <f>L1444*(1+(Inputs!$B$10+0+B1479)/100)</f>
        <v/>
      </c>
      <c r="N1444">
        <f>L1444*(1-MIN((Inputs!$B$9+((C1461=TRUE)*(F1461-Calc!F19))+B1474),100)/100)+M1444*(MIN((Inputs!$B$9+((C1461=TRUE)*(F1461-Calc!F19))+B1474),100)/100)</f>
        <v/>
      </c>
      <c r="O1444">
        <f>(1-Summary!$B$55)*T1444+Summary!$B$55*V1444</f>
        <v/>
      </c>
      <c r="P1444">
        <f>IF(B1484=0,0,O1444/B1484)</f>
        <v/>
      </c>
      <c r="Q1444" t="n">
        <v>0</v>
      </c>
      <c r="R1444" t="n">
        <v>0</v>
      </c>
      <c r="S1444">
        <f>IFERROR((Skills!G2*N1444*B1478)/N1444*IF(Inputs!$B$38="pvp",1,(1-Summary!$B$55)*1+Summary!$B$55*(MIN((6+Inputs!$B$33),Inputs!$B$37))),0)</f>
        <v/>
      </c>
      <c r="T1444">
        <f>IF(C1444,(Skills!G2*N1444*B1478)*IF(Inputs!$B$38="pvp",1,1+(Inputs!$B$20+0+Skills!P2)/100),0)</f>
        <v/>
      </c>
      <c r="U1444">
        <f>MAX(0,(Inputs!$B$3-100)*3)+Inputs!$B$28+Inputs!$B$29</f>
        <v/>
      </c>
      <c r="V1444">
        <f>IF(C1444,(Skills!G2*N1444*B1478)*IF(Inputs!$B$38="pvp",1,(1+(Inputs!$B$21+Skills!Q2)/100)*(MIN((6+Inputs!$B$33),Inputs!$B$37))),0)</f>
        <v/>
      </c>
    </row>
    <row r="1445">
      <c r="A1445">
        <f>Skills!A3</f>
        <v/>
      </c>
      <c r="B1445">
        <f>Skills!B3</f>
        <v/>
      </c>
      <c r="C1445">
        <f>Inputs!$B$3&gt;=50</f>
        <v/>
      </c>
      <c r="D1445">
        <f>IF(Skills!C3=1,60+Inputs!$B$25+Inputs!$B$29,IF(Skills!C3=2,90+Inputs!$B$26+Inputs!$B$29,IF(Skills!C3=3,120+Inputs!$B$27+Inputs!$B$29,MAX(0,(Inputs!$B$3-100)*3)+Inputs!$B$28+Inputs!$B$29)))</f>
        <v/>
      </c>
      <c r="E1445">
        <f>INDEX(FactorTable!$B$2:$Y$301, MATCH(ROUND(MIN(300,MAX(1,D1445)),0), FactorTable!$A$2:$A$301,0), Skills!M3+1)</f>
        <v/>
      </c>
      <c r="F1445">
        <f>IF(Skills!N3=TRUE,(Skills!L3/10)*(E1445/1000),Skills!L3/10)+Skills!O3</f>
        <v/>
      </c>
      <c r="G1445" t="inlineStr"/>
      <c r="H1445" t="inlineStr"/>
      <c r="I1445" t="inlineStr">
        <is>
          <t>1</t>
        </is>
      </c>
      <c r="J1445" t="inlineStr"/>
      <c r="K1445" t="inlineStr"/>
      <c r="L1445" t="inlineStr"/>
      <c r="M1445" t="inlineStr"/>
      <c r="N1445" t="inlineStr"/>
      <c r="O1445" t="inlineStr"/>
      <c r="P1445" t="inlineStr"/>
      <c r="Q1445" t="inlineStr"/>
      <c r="R1445" t="inlineStr"/>
      <c r="S1445" t="inlineStr"/>
      <c r="T1445" t="inlineStr"/>
      <c r="U1445">
        <f>INDEX(FactorTable!$B$2:$Y$301, MATCH(ROUND(MIN(300,MAX(1,U1444)),0), FactorTable!$A$2:$A$301,0), 22)</f>
        <v/>
      </c>
      <c r="V1445" t="inlineStr"/>
    </row>
    <row r="1446">
      <c r="A1446">
        <f>Skills!A4</f>
        <v/>
      </c>
      <c r="B1446">
        <f>Skills!B4</f>
        <v/>
      </c>
      <c r="C1446">
        <f>Inputs!$B$3&gt;=105</f>
        <v/>
      </c>
      <c r="D1446">
        <f>IF(Skills!C4=1,60+Inputs!$B$25+Inputs!$B$29,IF(Skills!C4=2,90+Inputs!$B$26+Inputs!$B$29,IF(Skills!C4=3,120+Inputs!$B$27+Inputs!$B$29,MAX(0,(Inputs!$B$3-100)*3)+Inputs!$B$28+Inputs!$B$29)))</f>
        <v/>
      </c>
      <c r="E1446">
        <f>INDEX(FactorTable!$B$2:$Y$301, MATCH(ROUND(MIN(300,MAX(1,D1446)),0), FactorTable!$A$2:$A$301,0), Skills!M4+1)</f>
        <v/>
      </c>
      <c r="F1446">
        <f>IF(Skills!N4=TRUE,(Skills!L4/10)*(E1446/1000),Skills!L4/10)+Skills!O4</f>
        <v/>
      </c>
      <c r="G1446" t="inlineStr"/>
      <c r="H1446" t="inlineStr"/>
      <c r="I1446" t="inlineStr">
        <is>
          <t>1</t>
        </is>
      </c>
      <c r="J1446" t="inlineStr"/>
      <c r="K1446" t="inlineStr"/>
      <c r="L1446" t="inlineStr"/>
      <c r="M1446" t="inlineStr"/>
      <c r="N1446" t="inlineStr"/>
      <c r="O1446" t="inlineStr"/>
      <c r="P1446" t="inlineStr"/>
      <c r="Q1446" t="inlineStr"/>
      <c r="R1446" t="inlineStr"/>
      <c r="S1446" t="inlineStr"/>
      <c r="T1446" t="inlineStr"/>
      <c r="U1446">
        <f>290*U1445/1000</f>
        <v/>
      </c>
      <c r="V1446" t="inlineStr"/>
    </row>
    <row r="1447">
      <c r="A1447">
        <f>Skills!A5</f>
        <v/>
      </c>
      <c r="B1447">
        <f>Skills!B5</f>
        <v/>
      </c>
      <c r="C1447">
        <f>Inputs!$B$3&gt;=35</f>
        <v/>
      </c>
      <c r="D1447">
        <f>IF(Skills!C5=1,60+Inputs!$B$25+Inputs!$B$29,IF(Skills!C5=2,90+Inputs!$B$26+Inputs!$B$29,IF(Skills!C5=3,120+Inputs!$B$27+Inputs!$B$29,MAX(0,(Inputs!$B$3-100)*3)+Inputs!$B$28+Inputs!$B$29)))</f>
        <v/>
      </c>
      <c r="E1447">
        <f>INDEX(FactorTable!$B$2:$Y$301, MATCH(ROUND(MIN(300,MAX(1,D1447)),0), FactorTable!$A$2:$A$301,0), Skills!M5+1)</f>
        <v/>
      </c>
      <c r="F1447">
        <f>IF(Skills!N5=TRUE,(Skills!L5/10)*(E1447/1000),Skills!L5/10)+Skills!O5</f>
        <v/>
      </c>
      <c r="G1447">
        <f>Skills!G5*IF(Skills!H5&gt;0,Skills!I5/Skills!H5,1)</f>
        <v/>
      </c>
      <c r="H1447">
        <f>1-(1-Skills!J5/100)^Skills!K5</f>
        <v/>
      </c>
      <c r="I1447" t="inlineStr">
        <is>
          <t>1</t>
        </is>
      </c>
      <c r="J1447">
        <f>((Inputs!$B$6*(1+Inputs!$B$7/100))+(((Inputs!$B$12*(1+Inputs!$B$13/100))-(Inputs!$B$12*(1+Inputs!$B$13/100)))+0.25*(Inputs!$B$14-Inputs!$B$14))*(1+Inputs!$B$7/100))*(F1447/100)</f>
        <v/>
      </c>
      <c r="K1447">
        <f>J1447*(1+((Inputs!$B$12*(1+Inputs!$B$13/100))*0.01+Inputs!$B$14*0.0025)/100)*(1+Inputs!$B$15/100)*(1+Inputs!$B$16/100)*(5000/(6000+Inputs!$B$42*(1-(Inputs!$B$19+0)/100)))*(1+(Inputs!$B$24+((C1466=TRUE)*(F1466-Calc!F24))+((C1467=TRUE)*(F1467-Calc!F25))+B1480)/100)*(1+4.0*IF(C1450=TRUE,F1450,0)/100)*(1+(IF(Skills!A5="EMPOWERED_PIERCING_ARROW",Inputs!$B$17+((C1464=TRUE)*(F1464-Calc!F22)),Inputs!$B$18+((C1469=TRUE)*(F1469-Calc!F27))))/100)*((1+(((C1455=TRUE)*F1455)+((C1456=TRUE)*IF(Inputs!$B$38="pvp",F1456,(1-Summary!$B$55)*(F1456)+Summary!$B$55*(0)))+((C1457=TRUE)*F1457*IF(AND(Inputs!$B$38&lt;&gt;"pvp",Inputs!$B$43&gt;0),(((R1457-1)*(Skills!T15*(1+Inputs!$B$34/100))+MIN((Skills!T15*(1+Inputs!$B$34/100)),MAX(0,Inputs!$B$43-((R1457-1)*Skills!D15))))/Inputs!$B$43),IF(Inputs!$B$38="pvp",MIN((Skills!T15*(1+Inputs!$B$34/100)),15)/15,(Skills!T15*(1+Inputs!$B$34/100))/Skills!D15)))+((C1454=TRUE)*F1454)+((C1471=TRUE)*(F1471-Calc!F29)))/100)*I1447)</f>
        <v/>
      </c>
      <c r="L1447">
        <f>K1447*(MIN(Inputs!$B$22+((C1465=TRUE)*(F1465-Calc!F23)),Inputs!$B$23+((C1470=TRUE)*(F1470-Calc!F28)))/100+(Inputs!$B$23+((C1470=TRUE)*(F1470-Calc!F28)))/100)/2</f>
        <v/>
      </c>
      <c r="M1447">
        <f>L1447*(1+(Inputs!$B$10+0+B1479)/100)</f>
        <v/>
      </c>
      <c r="N1447">
        <f>L1447*(1-MIN((Inputs!$B$9+((C1461=TRUE)*(F1461-Calc!F19))+B1474),100)/100)+M1447*(MIN((Inputs!$B$9+((C1461=TRUE)*(F1461-Calc!F19))+B1474),100)/100)</f>
        <v/>
      </c>
      <c r="O1447">
        <f>(1-Summary!$B$55)*T1447+Summary!$B$55*V1447</f>
        <v/>
      </c>
      <c r="P1447">
        <f>IF(B1484=0,0,O1447/B1484)</f>
        <v/>
      </c>
      <c r="Q1447">
        <f>IFERROR(1/IF(Inputs!$B$38="pvp",15,MAX(0.1,Skills!D5-IF(Skills!E5=TRUE,3.0,0))),0)</f>
        <v/>
      </c>
      <c r="R1447">
        <f>IF(AND(Inputs!$B$38&lt;&gt;"pvp",Inputs!$B$43&gt;0),IF(MAX(0,Inputs!$B$43-B1481)&lt;=0,0,(INT(MAX(0,Inputs!$B$43-B1481)/IF(Inputs!$B$38="pvp",15,MAX(0.1,Skills!D5-IF(Skills!E5=TRUE,3.0,0))))+1)),0)</f>
        <v/>
      </c>
      <c r="S1447">
        <f>IFERROR((H1447*N1447*IF(AND(Inputs!$B$38&lt;&gt;"pvp",Inputs!$B$43&gt;0),((Skills!G5*((R1447-1)*IF(Skills!H5&gt;0,Skills!I5/Skills!H5,1)+IF(Skills!H5&gt;0,MIN(Skills!I5,MAX(0,MAX(0,Inputs!$B$43-B1481)-((R1447-1)*IF(Inputs!$B$38="pvp",15,MAX(0.1,Skills!D5-IF(Skills!E5=TRUE,3.0,0))))))/Skills!H5,1)))/Inputs!$B$43),G1447*Q1447))/N1447*IF(Inputs!$B$38="pvp",1,(1-Summary!$B$55)*1+Summary!$B$55*(MIN(Skills!R5,Inputs!$B$37))),0)</f>
        <v/>
      </c>
      <c r="T1447">
        <f>IF(C1447,(H1447*N1447*IF(AND(Inputs!$B$38&lt;&gt;"pvp",Inputs!$B$43&gt;0),((Skills!G5*((R1447-1)*IF(Skills!H5&gt;0,Skills!I5/Skills!H5,1)+IF(Skills!H5&gt;0,MIN(Skills!I5,MAX(0,MAX(0,Inputs!$B$43-B1481)-((R1447-1)*IF(Inputs!$B$38="pvp",15,MAX(0.1,Skills!D5-IF(Skills!E5=TRUE,3.0,0))))))/Skills!H5,1)))/Inputs!$B$43),G1447*Q1447))*IF(Inputs!$B$38="pvp",1,1+(Inputs!$B$20+0+Skills!P5)/100),0)</f>
        <v/>
      </c>
      <c r="V1447">
        <f>IF(C1447,(H1447*N1447*IF(AND(Inputs!$B$38&lt;&gt;"pvp",Inputs!$B$43&gt;0),((Skills!G5*((R1447-1)*IF(Skills!H5&gt;0,Skills!I5/Skills!H5,1)+IF(Skills!H5&gt;0,MIN(Skills!I5,MAX(0,MAX(0,Inputs!$B$43-B1481)-((R1447-1)*IF(Inputs!$B$38="pvp",15,MAX(0.1,Skills!D5-IF(Skills!E5=TRUE,3.0,0))))))/Skills!H5,1)))/Inputs!$B$43),G1447*Q1447))*IF(Inputs!$B$38="pvp",1,(1+(Inputs!$B$21+Skills!Q5)/100)*(MIN(Skills!R5,Inputs!$B$37))),0)</f>
        <v/>
      </c>
    </row>
    <row r="1448">
      <c r="A1448">
        <f>Skills!A6</f>
        <v/>
      </c>
      <c r="B1448">
        <f>Skills!B6</f>
        <v/>
      </c>
      <c r="C1448">
        <f>Inputs!$B$3&gt;=63</f>
        <v/>
      </c>
      <c r="D1448">
        <f>IF(Skills!C6=1,60+Inputs!$B$25+Inputs!$B$29,IF(Skills!C6=2,90+Inputs!$B$26+Inputs!$B$29,IF(Skills!C6=3,120+Inputs!$B$27+Inputs!$B$29,MAX(0,(Inputs!$B$3-100)*3)+Inputs!$B$28+Inputs!$B$29)))</f>
        <v/>
      </c>
      <c r="E1448">
        <f>INDEX(FactorTable!$B$2:$Y$301, MATCH(ROUND(MIN(300,MAX(1,D1448)),0), FactorTable!$A$2:$A$301,0), Skills!M6+1)</f>
        <v/>
      </c>
      <c r="F1448">
        <f>IF(Skills!N6=TRUE,(Skills!L6/10)*(E1448/1000),Skills!L6/10)+Skills!O6</f>
        <v/>
      </c>
      <c r="G1448">
        <f>Skills!G6*IF(Skills!H6&gt;0,Skills!I6/Skills!H6,1)</f>
        <v/>
      </c>
      <c r="H1448">
        <f>1-(1-Skills!J6/100)^Skills!K6</f>
        <v/>
      </c>
      <c r="I1448" t="inlineStr">
        <is>
          <t>1</t>
        </is>
      </c>
      <c r="J1448">
        <f>((Inputs!$B$6*(1+Inputs!$B$7/100))+(((Inputs!$B$12*(1+Inputs!$B$13/100))-(Inputs!$B$12*(1+Inputs!$B$13/100)))+0.25*(Inputs!$B$14-Inputs!$B$14))*(1+Inputs!$B$7/100))*(F1448/100)</f>
        <v/>
      </c>
      <c r="K1448">
        <f>J1448*(1+((Inputs!$B$12*(1+Inputs!$B$13/100))*0.01+Inputs!$B$14*0.0025)/100)*(1+Inputs!$B$15/100)*(1+Inputs!$B$16/100)*(5000/(6000+Inputs!$B$42*(1-(Inputs!$B$19+0)/100)))*(1+(Inputs!$B$24+((C1466=TRUE)*(F1466-Calc!F24))+((C1467=TRUE)*(F1467-Calc!F25))+B1480)/100)*(1+1.0*IF(C1450=TRUE,F1450,0)/100)*(1+(IF(Skills!A6="EMPOWERED_PIERCING_ARROW",Inputs!$B$17+((C1464=TRUE)*(F1464-Calc!F22)),Inputs!$B$18+((C1469=TRUE)*(F1469-Calc!F27))))/100)*((1+(((C1455=TRUE)*F1455)+((C1456=TRUE)*IF(Inputs!$B$38="pvp",F1456,(1-Summary!$B$55)*(F1456)+Summary!$B$55*(0)))+((C1457=TRUE)*F1457*IF(AND(Inputs!$B$38&lt;&gt;"pvp",Inputs!$B$43&gt;0),(((R1457-1)*(Skills!T15*(1+Inputs!$B$34/100))+MIN((Skills!T15*(1+Inputs!$B$34/100)),MAX(0,Inputs!$B$43-((R1457-1)*Skills!D15))))/Inputs!$B$43),IF(Inputs!$B$38="pvp",MIN((Skills!T15*(1+Inputs!$B$34/100)),15)/15,(Skills!T15*(1+Inputs!$B$34/100))/Skills!D15)))+((C1454=TRUE)*F1454)+((C1471=TRUE)*(F1471-Calc!F29)))/100)*I1448)</f>
        <v/>
      </c>
      <c r="L1448">
        <f>K1448*(MIN(Inputs!$B$22+((C1465=TRUE)*(F1465-Calc!F23)),Inputs!$B$23+((C1470=TRUE)*(F1470-Calc!F28)))/100+(Inputs!$B$23+((C1470=TRUE)*(F1470-Calc!F28)))/100)/2</f>
        <v/>
      </c>
      <c r="M1448">
        <f>L1448*(1+(Inputs!$B$10+0+B1479)/100)</f>
        <v/>
      </c>
      <c r="N1448">
        <f>L1448*(1-MIN((Inputs!$B$9+((C1461=TRUE)*(F1461-Calc!F19))+B1474),100)/100)+M1448*(MIN((Inputs!$B$9+((C1461=TRUE)*(F1461-Calc!F19))+B1474),100)/100)</f>
        <v/>
      </c>
      <c r="O1448">
        <f>(1-Summary!$B$55)*T1448+Summary!$B$55*V1448</f>
        <v/>
      </c>
      <c r="P1448">
        <f>IF(B1484=0,0,O1448/B1484)</f>
        <v/>
      </c>
      <c r="Q1448">
        <f>IFERROR(1/IF(Inputs!$B$38="pvp",15,MAX(0.1,Skills!D6-IF(Skills!E6=TRUE,3.0,0))),0)</f>
        <v/>
      </c>
      <c r="R1448">
        <f>IF(AND(Inputs!$B$38&lt;&gt;"pvp",Inputs!$B$43&gt;0),IF(MAX(0,Inputs!$B$43-B1481)&lt;=0,0,(INT(MAX(0,Inputs!$B$43-B1481)/IF(Inputs!$B$38="pvp",15,MAX(0.1,Skills!D6-IF(Skills!E6=TRUE,3.0,0))))+1)),0)</f>
        <v/>
      </c>
      <c r="S1448">
        <f>IFERROR((H1448*N1448*IF(AND(Inputs!$B$38&lt;&gt;"pvp",Inputs!$B$43&gt;0),((Skills!G6*((R1448-1)*IF(Skills!H6&gt;0,Skills!I6/Skills!H6,1)+IF(Skills!H6&gt;0,MIN(Skills!I6,MAX(0,MAX(0,Inputs!$B$43-B1481)-((R1448-1)*IF(Inputs!$B$38="pvp",15,MAX(0.1,Skills!D6-IF(Skills!E6=TRUE,3.0,0))))))/Skills!H6,1)))/Inputs!$B$43),G1448*Q1448))/N1448*IF(Inputs!$B$38="pvp",1,(1-Summary!$B$55)*1+Summary!$B$55*(MIN(Skills!R6,Inputs!$B$37))),0)</f>
        <v/>
      </c>
      <c r="T1448">
        <f>IF(C1448,(H1448*N1448*IF(AND(Inputs!$B$38&lt;&gt;"pvp",Inputs!$B$43&gt;0),((Skills!G6*((R1448-1)*IF(Skills!H6&gt;0,Skills!I6/Skills!H6,1)+IF(Skills!H6&gt;0,MIN(Skills!I6,MAX(0,MAX(0,Inputs!$B$43-B1481)-((R1448-1)*IF(Inputs!$B$38="pvp",15,MAX(0.1,Skills!D6-IF(Skills!E6=TRUE,3.0,0))))))/Skills!H6,1)))/Inputs!$B$43),G1448*Q1448))*IF(Inputs!$B$38="pvp",1,1+(Inputs!$B$20+0+Skills!P6)/100),0)</f>
        <v/>
      </c>
      <c r="V1448">
        <f>IF(C1448,(H1448*N1448*IF(AND(Inputs!$B$38&lt;&gt;"pvp",Inputs!$B$43&gt;0),((Skills!G6*((R1448-1)*IF(Skills!H6&gt;0,Skills!I6/Skills!H6,1)+IF(Skills!H6&gt;0,MIN(Skills!I6,MAX(0,MAX(0,Inputs!$B$43-B1481)-((R1448-1)*IF(Inputs!$B$38="pvp",15,MAX(0.1,Skills!D6-IF(Skills!E6=TRUE,3.0,0))))))/Skills!H6,1)))/Inputs!$B$43),G1448*Q1448))*IF(Inputs!$B$38="pvp",1,(1+(Inputs!$B$21+Skills!Q6)/100)*(MIN(Skills!R6,Inputs!$B$37))),0)</f>
        <v/>
      </c>
    </row>
    <row r="1449">
      <c r="A1449">
        <f>Skills!A7</f>
        <v/>
      </c>
      <c r="B1449">
        <f>Skills!B7</f>
        <v/>
      </c>
      <c r="C1449">
        <f>Inputs!$B$3&gt;=69</f>
        <v/>
      </c>
      <c r="D1449">
        <f>IF(Skills!C7=1,60+Inputs!$B$25+Inputs!$B$29,IF(Skills!C7=2,90+Inputs!$B$26+Inputs!$B$29,IF(Skills!C7=3,120+Inputs!$B$27+Inputs!$B$29,MAX(0,(Inputs!$B$3-100)*3)+Inputs!$B$28+Inputs!$B$29)))</f>
        <v/>
      </c>
      <c r="E1449">
        <f>INDEX(FactorTable!$B$2:$Y$301, MATCH(ROUND(MIN(300,MAX(1,D1449)),0), FactorTable!$A$2:$A$301,0), Skills!M7+1)</f>
        <v/>
      </c>
      <c r="F1449">
        <f>IF(Skills!N7=TRUE,(Skills!L7/10)*(E1449/1000),Skills!L7/10)+Skills!O7</f>
        <v/>
      </c>
      <c r="G1449">
        <f>Skills!G7*IF(Skills!H7&gt;0,Skills!I7/Skills!H7,1)</f>
        <v/>
      </c>
      <c r="H1449">
        <f>1-(1-Skills!J7/100)^Skills!K7</f>
        <v/>
      </c>
      <c r="I1449" t="inlineStr">
        <is>
          <t>1</t>
        </is>
      </c>
      <c r="J1449">
        <f>((Inputs!$B$6*(1+Inputs!$B$7/100))+(((Inputs!$B$12*(1+Inputs!$B$13/100))-(Inputs!$B$12*(1+Inputs!$B$13/100)))+0.25*(Inputs!$B$14-Inputs!$B$14))*(1+Inputs!$B$7/100))*(F1449/100)</f>
        <v/>
      </c>
      <c r="K1449">
        <f>J1449*(1+((Inputs!$B$12*(1+Inputs!$B$13/100))*0.01+Inputs!$B$14*0.0025)/100)*(1+Inputs!$B$15/100)*(1+Inputs!$B$16/100)*(5000/(6000+Inputs!$B$42*(1-(Inputs!$B$19+0)/100)))*(1+(Inputs!$B$24+((C1466=TRUE)*(F1466-Calc!F24))+((C1467=TRUE)*(F1467-Calc!F25))+B1480)/100)*(1+1.2*IF(C1450=TRUE,F1450,0)/100)*(1+(IF(Skills!A7="EMPOWERED_PIERCING_ARROW",Inputs!$B$17+((C1464=TRUE)*(F1464-Calc!F22)),Inputs!$B$18+((C1469=TRUE)*(F1469-Calc!F27))))/100)*((1+(((C1455=TRUE)*F1455)+((C1456=TRUE)*IF(Inputs!$B$38="pvp",F1456,(1-Summary!$B$55)*(F1456)+Summary!$B$55*(0)))+((C1457=TRUE)*F1457*IF(AND(Inputs!$B$38&lt;&gt;"pvp",Inputs!$B$43&gt;0),(((R1457-1)*(Skills!T15*(1+Inputs!$B$34/100))+MIN((Skills!T15*(1+Inputs!$B$34/100)),MAX(0,Inputs!$B$43-((R1457-1)*Skills!D15))))/Inputs!$B$43),IF(Inputs!$B$38="pvp",MIN((Skills!T15*(1+Inputs!$B$34/100)),15)/15,(Skills!T15*(1+Inputs!$B$34/100))/Skills!D15)))+((C1454=TRUE)*F1454)+((C1471=TRUE)*(F1471-Calc!F29)))/100)*I1449)</f>
        <v/>
      </c>
      <c r="L1449">
        <f>K1449*(MIN(Inputs!$B$22+((C1465=TRUE)*(F1465-Calc!F23)),Inputs!$B$23+((C1470=TRUE)*(F1470-Calc!F28)))/100+(Inputs!$B$23+((C1470=TRUE)*(F1470-Calc!F28)))/100)/2</f>
        <v/>
      </c>
      <c r="M1449">
        <f>L1449*(1+(Inputs!$B$10+0+B1479)/100)</f>
        <v/>
      </c>
      <c r="N1449">
        <f>L1449*(1-MIN((Inputs!$B$9+((C1461=TRUE)*(F1461-Calc!F19))+B1474),100)/100)+M1449*(MIN((Inputs!$B$9+((C1461=TRUE)*(F1461-Calc!F19))+B1474),100)/100)</f>
        <v/>
      </c>
      <c r="O1449">
        <f>(1-Summary!$B$55)*T1449+Summary!$B$55*V1449</f>
        <v/>
      </c>
      <c r="P1449">
        <f>IF(B1484=0,0,O1449/B1484)</f>
        <v/>
      </c>
      <c r="Q1449">
        <f>IFERROR(1/IF(Inputs!$B$38="pvp",15,MAX(0.1,Skills!D7-IF(Skills!E7=TRUE,3.0,0))),0)</f>
        <v/>
      </c>
      <c r="R1449">
        <f>IF(AND(Inputs!$B$38&lt;&gt;"pvp",Inputs!$B$43&gt;0),IF(MAX(0,Inputs!$B$43-B1481)&lt;=0,0,(INT(MAX(0,Inputs!$B$43-B1481)/IF(Inputs!$B$38="pvp",15,MAX(0.1,Skills!D7-IF(Skills!E7=TRUE,3.0,0))))+1)),0)</f>
        <v/>
      </c>
      <c r="S1449">
        <f>IFERROR((H1449*N1449*IF(AND(Inputs!$B$38&lt;&gt;"pvp",Inputs!$B$43&gt;0),((Skills!G7*((R1449-1)*IF(Skills!H7&gt;0,Skills!I7/Skills!H7,1)+IF(Skills!H7&gt;0,MIN(Skills!I7,MAX(0,MAX(0,Inputs!$B$43-B1481)-((R1449-1)*IF(Inputs!$B$38="pvp",15,MAX(0.1,Skills!D7-IF(Skills!E7=TRUE,3.0,0))))))/Skills!H7,1)))/Inputs!$B$43),G1449*Q1449))/N1449*IF(Inputs!$B$38="pvp",1,(1-Summary!$B$55)*1+Summary!$B$55*(MIN(Skills!R7,Inputs!$B$37))),0)</f>
        <v/>
      </c>
      <c r="T1449">
        <f>IF(C1449,(H1449*N1449*IF(AND(Inputs!$B$38&lt;&gt;"pvp",Inputs!$B$43&gt;0),((Skills!G7*((R1449-1)*IF(Skills!H7&gt;0,Skills!I7/Skills!H7,1)+IF(Skills!H7&gt;0,MIN(Skills!I7,MAX(0,MAX(0,Inputs!$B$43-B1481)-((R1449-1)*IF(Inputs!$B$38="pvp",15,MAX(0.1,Skills!D7-IF(Skills!E7=TRUE,3.0,0))))))/Skills!H7,1)))/Inputs!$B$43),G1449*Q1449))*IF(Inputs!$B$38="pvp",1,1+(Inputs!$B$20+0+Skills!P7)/100),0)</f>
        <v/>
      </c>
      <c r="V1449">
        <f>IF(C1449,(H1449*N1449*IF(AND(Inputs!$B$38&lt;&gt;"pvp",Inputs!$B$43&gt;0),((Skills!G7*((R1449-1)*IF(Skills!H7&gt;0,Skills!I7/Skills!H7,1)+IF(Skills!H7&gt;0,MIN(Skills!I7,MAX(0,MAX(0,Inputs!$B$43-B1481)-((R1449-1)*IF(Inputs!$B$38="pvp",15,MAX(0.1,Skills!D7-IF(Skills!E7=TRUE,3.0,0))))))/Skills!H7,1)))/Inputs!$B$43),G1449*Q1449))*IF(Inputs!$B$38="pvp",1,(1+(Inputs!$B$21+Skills!Q7)/100)*(MIN(Skills!R7,Inputs!$B$37))),0)</f>
        <v/>
      </c>
    </row>
    <row r="1450">
      <c r="A1450">
        <f>Skills!A8</f>
        <v/>
      </c>
      <c r="B1450">
        <f>Skills!B8</f>
        <v/>
      </c>
      <c r="C1450">
        <f>Inputs!$B$3&gt;=100</f>
        <v/>
      </c>
      <c r="D1450">
        <f>IF(Skills!C8=1,60+Inputs!$B$25+Inputs!$B$29,IF(Skills!C8=2,90+Inputs!$B$26+Inputs!$B$29,IF(Skills!C8=3,120+Inputs!$B$27+Inputs!$B$29,MAX(0,(Inputs!$B$3-100)*3)+Inputs!$B$28+Inputs!$B$29)))</f>
        <v/>
      </c>
      <c r="E1450">
        <f>INDEX(FactorTable!$B$2:$Y$301, MATCH(ROUND(MIN(300,MAX(1,D1450)),0), FactorTable!$A$2:$A$301,0), Skills!M8+1)</f>
        <v/>
      </c>
      <c r="F1450">
        <f>IF(Skills!N8=TRUE,(Skills!L8/10)*(E1450/1000),Skills!L8/10)+Skills!O8</f>
        <v/>
      </c>
      <c r="G1450" t="inlineStr"/>
      <c r="H1450" t="inlineStr"/>
      <c r="I1450" t="inlineStr">
        <is>
          <t>1</t>
        </is>
      </c>
      <c r="J1450" t="inlineStr"/>
      <c r="K1450" t="inlineStr"/>
      <c r="L1450" t="inlineStr"/>
      <c r="M1450" t="inlineStr"/>
      <c r="N1450" t="inlineStr"/>
      <c r="O1450" t="inlineStr"/>
      <c r="P1450" t="inlineStr"/>
      <c r="Q1450" t="inlineStr"/>
      <c r="R1450" t="inlineStr"/>
      <c r="S1450" t="inlineStr"/>
      <c r="T1450" t="inlineStr"/>
      <c r="V1450" t="inlineStr"/>
    </row>
    <row r="1451">
      <c r="A1451">
        <f>Skills!A9</f>
        <v/>
      </c>
      <c r="B1451">
        <f>Skills!B9</f>
        <v/>
      </c>
      <c r="C1451">
        <f>Inputs!$B$3&gt;=103</f>
        <v/>
      </c>
      <c r="D1451">
        <f>IF(Skills!C9=1,60+Inputs!$B$25+Inputs!$B$29,IF(Skills!C9=2,90+Inputs!$B$26+Inputs!$B$29,IF(Skills!C9=3,120+Inputs!$B$27+Inputs!$B$29,MAX(0,(Inputs!$B$3-100)*3)+Inputs!$B$28+Inputs!$B$29)))</f>
        <v/>
      </c>
      <c r="E1451">
        <f>INDEX(FactorTable!$B$2:$Y$301, MATCH(ROUND(MIN(300,MAX(1,D1451)),0), FactorTable!$A$2:$A$301,0), Skills!M9+1)</f>
        <v/>
      </c>
      <c r="F1451">
        <f>IF(Skills!N9=TRUE,(Skills!L9/10)*(E1451/1000),Skills!L9/10)+Skills!O9</f>
        <v/>
      </c>
      <c r="G1451">
        <f>Skills!G9*IF(Skills!H9&gt;0,Skills!I9/Skills!H9,1)</f>
        <v/>
      </c>
      <c r="H1451">
        <f>1-(1-Skills!J9/100)^Skills!K9</f>
        <v/>
      </c>
      <c r="I1451" t="inlineStr">
        <is>
          <t>1</t>
        </is>
      </c>
      <c r="J1451">
        <f>((Inputs!$B$6*(1+Inputs!$B$7/100))+(((Inputs!$B$12*(1+Inputs!$B$13/100))-(Inputs!$B$12*(1+Inputs!$B$13/100)))+0.25*(Inputs!$B$14-Inputs!$B$14))*(1+Inputs!$B$7/100))*(F1451/100)</f>
        <v/>
      </c>
      <c r="K1451">
        <f>J1451*(1+((Inputs!$B$12*(1+Inputs!$B$13/100))*0.01+Inputs!$B$14*0.0025)/100)*(1+Inputs!$B$15/100)*(1+Inputs!$B$16/100)*(5000/(6000+Inputs!$B$42*(1-(Inputs!$B$19+0)/100)))*(1+(Inputs!$B$24+((C1466=TRUE)*(F1466-Calc!F24))+((C1467=TRUE)*(F1467-Calc!F25))+B1480)/100)*(1+(IF(Skills!A9="EMPOWERED_PIERCING_ARROW",Inputs!$B$17+((C1464=TRUE)*(F1464-Calc!F22)),Inputs!$B$18+((C1469=TRUE)*(F1469-Calc!F27))))/100)*((1+(((C1455=TRUE)*F1455)+((C1456=TRUE)*IF(Inputs!$B$38="pvp",F1456,(1-Summary!$B$55)*(F1456)+Summary!$B$55*(0)))+((C1457=TRUE)*F1457*IF(AND(Inputs!$B$38&lt;&gt;"pvp",Inputs!$B$43&gt;0),(((R1457-1)*(Skills!T15*(1+Inputs!$B$34/100))+MIN((Skills!T15*(1+Inputs!$B$34/100)),MAX(0,Inputs!$B$43-((R1457-1)*Skills!D15))))/Inputs!$B$43),IF(Inputs!$B$38="pvp",MIN((Skills!T15*(1+Inputs!$B$34/100)),15)/15,(Skills!T15*(1+Inputs!$B$34/100))/Skills!D15)))+((C1454=TRUE)*F1454)+((C1471=TRUE)*(F1471-Calc!F29)))/100)*I1451)</f>
        <v/>
      </c>
      <c r="L1451">
        <f>K1451*(MIN(Inputs!$B$22+((C1465=TRUE)*(F1465-Calc!F23)),Inputs!$B$23+((C1470=TRUE)*(F1470-Calc!F28)))/100+(Inputs!$B$23+((C1470=TRUE)*(F1470-Calc!F28)))/100)/2</f>
        <v/>
      </c>
      <c r="M1451">
        <f>L1451*(1+(Inputs!$B$10+0+B1479)/100)</f>
        <v/>
      </c>
      <c r="N1451">
        <f>L1451*(1-MIN((Inputs!$B$9+((C1461=TRUE)*(F1461-Calc!F19))+B1474),100)/100)+M1451*(MIN((Inputs!$B$9+((C1461=TRUE)*(F1461-Calc!F19))+B1474),100)/100)</f>
        <v/>
      </c>
      <c r="O1451">
        <f>(1-Summary!$B$55)*T1451+Summary!$B$55*V1451</f>
        <v/>
      </c>
      <c r="P1451">
        <f>IF(B1484=0,0,O1451/B1484)</f>
        <v/>
      </c>
      <c r="Q1451">
        <f>IFERROR(1/IF(Inputs!$B$38="pvp",15,MAX(0.1,Skills!D9-IF(Skills!E9=TRUE,3.0,0))),0)</f>
        <v/>
      </c>
      <c r="R1451">
        <f>IF(AND(Inputs!$B$38&lt;&gt;"pvp",Inputs!$B$43&gt;0),IF(MAX(0,Inputs!$B$43-B1481)&lt;=0,0,(INT(MAX(0,Inputs!$B$43-B1481)/IF(Inputs!$B$38="pvp",15,MAX(0.1,Skills!D9-IF(Skills!E9=TRUE,3.0,0))))+1)),0)</f>
        <v/>
      </c>
      <c r="S1451">
        <f>IFERROR((H1451*N1451*IF(AND(Inputs!$B$38&lt;&gt;"pvp",Inputs!$B$43&gt;0),((Skills!G9*((R1451-1)*IF(Skills!H9&gt;0,Skills!I9/Skills!H9,1)+IF(Skills!H9&gt;0,MIN(Skills!I9,MAX(0,MAX(0,Inputs!$B$43-B1481)-((R1451-1)*IF(Inputs!$B$38="pvp",15,MAX(0.1,Skills!D9-IF(Skills!E9=TRUE,3.0,0))))))/Skills!H9,1)))/Inputs!$B$43),G1451*Q1451))/N1451*IF(Inputs!$B$38="pvp",1,(1-Summary!$B$55)*1+Summary!$B$55*(MIN(Skills!R9,Inputs!$B$37))),0)</f>
        <v/>
      </c>
      <c r="T1451">
        <f>IF(C1451,(H1451*N1451*IF(AND(Inputs!$B$38&lt;&gt;"pvp",Inputs!$B$43&gt;0),((Skills!G9*((R1451-1)*IF(Skills!H9&gt;0,Skills!I9/Skills!H9,1)+IF(Skills!H9&gt;0,MIN(Skills!I9,MAX(0,MAX(0,Inputs!$B$43-B1481)-((R1451-1)*IF(Inputs!$B$38="pvp",15,MAX(0.1,Skills!D9-IF(Skills!E9=TRUE,3.0,0))))))/Skills!H9,1)))/Inputs!$B$43),G1451*Q1451))*IF(Inputs!$B$38="pvp",1,1+(Inputs!$B$20+0+Skills!P9)/100),0)</f>
        <v/>
      </c>
      <c r="V1451">
        <f>IF(C1451,(H1451*N1451*IF(AND(Inputs!$B$38&lt;&gt;"pvp",Inputs!$B$43&gt;0),((Skills!G9*((R1451-1)*IF(Skills!H9&gt;0,Skills!I9/Skills!H9,1)+IF(Skills!H9&gt;0,MIN(Skills!I9,MAX(0,MAX(0,Inputs!$B$43-B1481)-((R1451-1)*IF(Inputs!$B$38="pvp",15,MAX(0.1,Skills!D9-IF(Skills!E9=TRUE,3.0,0))))))/Skills!H9,1)))/Inputs!$B$43),G1451*Q1451))*IF(Inputs!$B$38="pvp",1,(1+(Inputs!$B$21+Skills!Q9)/100)*(MIN(Skills!R9,Inputs!$B$37))),0)</f>
        <v/>
      </c>
    </row>
    <row r="1452">
      <c r="A1452">
        <f>Skills!A10</f>
        <v/>
      </c>
      <c r="B1452">
        <f>Skills!B10</f>
        <v/>
      </c>
      <c r="C1452">
        <f>Inputs!$B$3&gt;=107</f>
        <v/>
      </c>
      <c r="D1452">
        <f>IF(Skills!C10=1,60+Inputs!$B$25+Inputs!$B$29,IF(Skills!C10=2,90+Inputs!$B$26+Inputs!$B$29,IF(Skills!C10=3,120+Inputs!$B$27+Inputs!$B$29,MAX(0,(Inputs!$B$3-100)*3)+Inputs!$B$28+Inputs!$B$29)))</f>
        <v/>
      </c>
      <c r="E1452">
        <f>INDEX(FactorTable!$B$2:$Y$301, MATCH(ROUND(MIN(300,MAX(1,D1452)),0), FactorTable!$A$2:$A$301,0), Skills!M10+1)</f>
        <v/>
      </c>
      <c r="F1452">
        <f>IF(Skills!N10=TRUE,(Skills!L10/10)*(E1452/1000),Skills!L10/10)+Skills!O10</f>
        <v/>
      </c>
      <c r="G1452">
        <f>Skills!G10*IF(Skills!H10&gt;0,Skills!I10/Skills!H10,1)</f>
        <v/>
      </c>
      <c r="H1452">
        <f>1-(1-Skills!J10/100)^Skills!K10</f>
        <v/>
      </c>
      <c r="I1452" t="inlineStr">
        <is>
          <t>1</t>
        </is>
      </c>
      <c r="J1452">
        <f>((Inputs!$B$6*(1+Inputs!$B$7/100))+(((Inputs!$B$12*(1+Inputs!$B$13/100))-(Inputs!$B$12*(1+Inputs!$B$13/100)))+0.25*(Inputs!$B$14-Inputs!$B$14))*(1+Inputs!$B$7/100))*(F1452/100)</f>
        <v/>
      </c>
      <c r="K1452">
        <f>J1452*(1+((Inputs!$B$12*(1+Inputs!$B$13/100))*0.01+Inputs!$B$14*0.0025)/100)*(1+Inputs!$B$15/100)*(1+Inputs!$B$16/100)*(5000/(6000+Inputs!$B$42*(1-(Inputs!$B$19+0)/100)))*(1+(Inputs!$B$24+((C1466=TRUE)*(F1466-Calc!F24))+((C1467=TRUE)*(F1467-Calc!F25))+B1480)/100)*(1+(IF(Skills!A10="EMPOWERED_PIERCING_ARROW",Inputs!$B$17+((C1464=TRUE)*(F1464-Calc!F22)),Inputs!$B$18+((C1469=TRUE)*(F1469-Calc!F27))))/100)*((1+(((C1455=TRUE)*F1455)+((C1456=TRUE)*IF(Inputs!$B$38="pvp",F1456,(1-Summary!$B$55)*(F1456)+Summary!$B$55*(0)))+((C1457=TRUE)*F1457*IF(AND(Inputs!$B$38&lt;&gt;"pvp",Inputs!$B$43&gt;0),(((R1457-1)*(Skills!T15*(1+Inputs!$B$34/100))+MIN((Skills!T15*(1+Inputs!$B$34/100)),MAX(0,Inputs!$B$43-((R1457-1)*Skills!D15))))/Inputs!$B$43),IF(Inputs!$B$38="pvp",MIN((Skills!T15*(1+Inputs!$B$34/100)),15)/15,(Skills!T15*(1+Inputs!$B$34/100))/Skills!D15)))+((C1454=TRUE)*F1454)+((C1471=TRUE)*(F1471-Calc!F29)))/100)*I1452)</f>
        <v/>
      </c>
      <c r="L1452">
        <f>K1452*(MIN(Inputs!$B$22+((C1465=TRUE)*(F1465-Calc!F23)),Inputs!$B$23+((C1470=TRUE)*(F1470-Calc!F28)))/100+(Inputs!$B$23+((C1470=TRUE)*(F1470-Calc!F28)))/100)/2</f>
        <v/>
      </c>
      <c r="M1452">
        <f>L1452*(1+(Inputs!$B$10+0+B1479)/100)</f>
        <v/>
      </c>
      <c r="N1452">
        <f>L1452*(1-MIN((Inputs!$B$9+((C1461=TRUE)*(F1461-Calc!F19))+B1474),100)/100)+M1452*(MIN((Inputs!$B$9+((C1461=TRUE)*(F1461-Calc!F19))+B1474),100)/100)</f>
        <v/>
      </c>
      <c r="O1452">
        <f>(1-Summary!$B$55)*T1452+Summary!$B$55*V1452</f>
        <v/>
      </c>
      <c r="P1452">
        <f>IF(B1484=0,0,O1452/B1484)</f>
        <v/>
      </c>
      <c r="Q1452" t="n">
        <v>0</v>
      </c>
      <c r="R1452" t="n">
        <v>0</v>
      </c>
      <c r="S1452" t="n">
        <v>0</v>
      </c>
      <c r="T1452">
        <f>IF(C1452,(0.15*SUMPRODUCT((Skills!U2:U29=TRUE)*(C1444:C1471=TRUE)*S1444:S1471)*Skills!G10*N1452)*IF(Inputs!$B$38="pvp",1,1+(Inputs!$B$20+0+Skills!P10)/100),0)</f>
        <v/>
      </c>
      <c r="V1452">
        <f>IF(C1452,(0.15*SUMPRODUCT((Skills!U2:U29=TRUE)*(C1444:C1471=TRUE)*S1444:S1471)*Skills!G10*N1452)*IF(Inputs!$B$38="pvp",1,(1+(Inputs!$B$21+Skills!Q10)/100)*(MIN(Skills!R10,Inputs!$B$37))),0)</f>
        <v/>
      </c>
    </row>
    <row r="1453">
      <c r="A1453">
        <f>Skills!A11</f>
        <v/>
      </c>
      <c r="B1453">
        <f>Skills!B11</f>
        <v/>
      </c>
      <c r="C1453">
        <f>Inputs!$B$3&gt;=110</f>
        <v/>
      </c>
      <c r="D1453">
        <f>IF(Skills!C11=1,60+Inputs!$B$25+Inputs!$B$29,IF(Skills!C11=2,90+Inputs!$B$26+Inputs!$B$29,IF(Skills!C11=3,120+Inputs!$B$27+Inputs!$B$29,MAX(0,(Inputs!$B$3-100)*3)+Inputs!$B$28+Inputs!$B$29)))</f>
        <v/>
      </c>
      <c r="E1453">
        <f>INDEX(FactorTable!$B$2:$Y$301, MATCH(ROUND(MIN(300,MAX(1,D1453)),0), FactorTable!$A$2:$A$301,0), Skills!M11+1)</f>
        <v/>
      </c>
      <c r="F1453">
        <f>IF(Skills!N11=TRUE,(Skills!L11/10)*(E1453/1000),Skills!L11/10)+Skills!O11</f>
        <v/>
      </c>
      <c r="G1453">
        <f>Skills!G11*IF(Skills!H11&gt;0,Skills!I11/Skills!H11,1)</f>
        <v/>
      </c>
      <c r="H1453">
        <f>1-(1-Skills!J11/100)^Skills!K11</f>
        <v/>
      </c>
      <c r="I1453" t="inlineStr">
        <is>
          <t>1</t>
        </is>
      </c>
      <c r="J1453">
        <f>((Inputs!$B$6*(1+Inputs!$B$7/100))+(((Inputs!$B$12*(1+Inputs!$B$13/100))-(Inputs!$B$12*(1+Inputs!$B$13/100)))+0.25*(Inputs!$B$14-Inputs!$B$14))*(1+Inputs!$B$7/100))*(F1453/100)</f>
        <v/>
      </c>
      <c r="K1453">
        <f>J1453*(1+((Inputs!$B$12*(1+Inputs!$B$13/100))*0.01+Inputs!$B$14*0.0025)/100)*(1+Inputs!$B$15/100)*(1+Inputs!$B$16/100)*(5000/(6000+Inputs!$B$42*(1-(Inputs!$B$19+0)/100)))*(1+(Inputs!$B$24+((C1466=TRUE)*(F1466-Calc!F24))+((C1467=TRUE)*(F1467-Calc!F25))+B1480)/100)*(1+(IF(Skills!A11="EMPOWERED_PIERCING_ARROW",Inputs!$B$17+((C1464=TRUE)*(F1464-Calc!F22)),Inputs!$B$18+((C1469=TRUE)*(F1469-Calc!F27))))/100)*((1+(((C1455=TRUE)*F1455)+((C1456=TRUE)*IF(Inputs!$B$38="pvp",F1456,(1-Summary!$B$55)*(F1456)+Summary!$B$55*(0)))+((C1457=TRUE)*F1457*IF(AND(Inputs!$B$38&lt;&gt;"pvp",Inputs!$B$43&gt;0),(((R1457-1)*(Skills!T15*(1+Inputs!$B$34/100))+MIN((Skills!T15*(1+Inputs!$B$34/100)),MAX(0,Inputs!$B$43-((R1457-1)*Skills!D15))))/Inputs!$B$43),IF(Inputs!$B$38="pvp",MIN((Skills!T15*(1+Inputs!$B$34/100)),15)/15,(Skills!T15*(1+Inputs!$B$34/100))/Skills!D15)))+((C1454=TRUE)*F1454)+((C1471=TRUE)*(F1471-Calc!F29)))/100)*I1453)</f>
        <v/>
      </c>
      <c r="L1453">
        <f>K1453*(MIN(Inputs!$B$22+((C1465=TRUE)*(F1465-Calc!F23)),Inputs!$B$23+((C1470=TRUE)*(F1470-Calc!F28)))/100+(Inputs!$B$23+((C1470=TRUE)*(F1470-Calc!F28)))/100)/2</f>
        <v/>
      </c>
      <c r="M1453">
        <f>L1453*(1+(Inputs!$B$10+0+B1479)/100)</f>
        <v/>
      </c>
      <c r="N1453">
        <f>L1453*(1-MIN((Inputs!$B$9+((C1461=TRUE)*(F1461-Calc!F19))+B1474),100)/100)+M1453*(MIN((Inputs!$B$9+((C1461=TRUE)*(F1461-Calc!F19))+B1474),100)/100)</f>
        <v/>
      </c>
      <c r="O1453">
        <f>(1-Summary!$B$55)*T1453+Summary!$B$55*V1453</f>
        <v/>
      </c>
      <c r="P1453">
        <f>IF(B1484=0,0,O1453/B1484)</f>
        <v/>
      </c>
      <c r="Q1453">
        <f>IFERROR(1/IF(Inputs!$B$38="pvp",15,MAX(0.1,Skills!D11-IF(Skills!E11=TRUE,3.0,0))),0)</f>
        <v/>
      </c>
      <c r="R1453">
        <f>IF(AND(Inputs!$B$38&lt;&gt;"pvp",Inputs!$B$43&gt;0),IF(MAX(0,Inputs!$B$43-B1481)&lt;=0,0,(INT(MAX(0,Inputs!$B$43-B1481)/IF(Inputs!$B$38="pvp",15,MAX(0.1,Skills!D11-IF(Skills!E11=TRUE,3.0,0))))+1)),0)</f>
        <v/>
      </c>
      <c r="S1453">
        <f>IFERROR((H1453*N1453*IF(AND(Inputs!$B$38&lt;&gt;"pvp",Inputs!$B$43&gt;0),((Skills!G11*((R1453-1)*IF(Skills!H11&gt;0,Skills!I11/Skills!H11,1)+IF(Skills!H11&gt;0,MIN(Skills!I11,MAX(0,MAX(0,Inputs!$B$43-B1481)-((R1453-1)*IF(Inputs!$B$38="pvp",15,MAX(0.1,Skills!D11-IF(Skills!E11=TRUE,3.0,0))))))/Skills!H11,1)))/Inputs!$B$43),G1453*Q1453))/N1453*IF(Inputs!$B$38="pvp",1,(1-Summary!$B$55)*1+Summary!$B$55*(MIN(Skills!R11,Inputs!$B$37))),0)</f>
        <v/>
      </c>
      <c r="T1453">
        <f>IF(C1453,(H1453*N1453*IF(AND(Inputs!$B$38&lt;&gt;"pvp",Inputs!$B$43&gt;0),((Skills!G11*((R1453-1)*IF(Skills!H11&gt;0,Skills!I11/Skills!H11,1)+IF(Skills!H11&gt;0,MIN(Skills!I11,MAX(0,MAX(0,Inputs!$B$43-B1481)-((R1453-1)*IF(Inputs!$B$38="pvp",15,MAX(0.1,Skills!D11-IF(Skills!E11=TRUE,3.0,0))))))/Skills!H11,1)))/Inputs!$B$43),G1453*Q1453))*IF(Inputs!$B$38="pvp",1,1+(Inputs!$B$20+0+Skills!P11)/100),0)</f>
        <v/>
      </c>
      <c r="V1453">
        <f>IF(C1453,(H1453*N1453*IF(AND(Inputs!$B$38&lt;&gt;"pvp",Inputs!$B$43&gt;0),((Skills!G11*((R1453-1)*IF(Skills!H11&gt;0,Skills!I11/Skills!H11,1)+IF(Skills!H11&gt;0,MIN(Skills!I11,MAX(0,MAX(0,Inputs!$B$43-B1481)-((R1453-1)*IF(Inputs!$B$38="pvp",15,MAX(0.1,Skills!D11-IF(Skills!E11=TRUE,3.0,0))))))/Skills!H11,1)))/Inputs!$B$43),G1453*Q1453))*IF(Inputs!$B$38="pvp",1,(1+(Inputs!$B$21+Skills!Q11)/100)*(MIN(Skills!R11,Inputs!$B$37))),0)</f>
        <v/>
      </c>
    </row>
    <row r="1454">
      <c r="A1454">
        <f>Skills!A12</f>
        <v/>
      </c>
      <c r="B1454">
        <f>Skills!B12</f>
        <v/>
      </c>
      <c r="C1454">
        <f>Inputs!$B$3&gt;=60</f>
        <v/>
      </c>
      <c r="D1454">
        <f>IF(Skills!C12=1,60+Inputs!$B$25+Inputs!$B$29,IF(Skills!C12=2,90+Inputs!$B$26+Inputs!$B$29,IF(Skills!C12=3,120+Inputs!$B$27+Inputs!$B$29,MAX(0,(Inputs!$B$3-100)*3)+Inputs!$B$28+Inputs!$B$29)))</f>
        <v/>
      </c>
      <c r="E1454">
        <f>INDEX(FactorTable!$B$2:$Y$301, MATCH(ROUND(MIN(300,MAX(1,D1454)),0), FactorTable!$A$2:$A$301,0), Skills!M12+1)</f>
        <v/>
      </c>
      <c r="F1454">
        <f>IF(Skills!N12=TRUE,(Skills!L12/10)*(E1454/1000),Skills!L12/10)+Skills!O12</f>
        <v/>
      </c>
      <c r="G1454">
        <f>Skills!G12*IF(Skills!H12&gt;0,Skills!I12/Skills!H12,1)</f>
        <v/>
      </c>
      <c r="H1454">
        <f>1-(1-Skills!J12/100)^Skills!K12</f>
        <v/>
      </c>
      <c r="I1454" t="inlineStr">
        <is>
          <t>1</t>
        </is>
      </c>
      <c r="J1454" t="inlineStr"/>
      <c r="K1454" t="inlineStr"/>
      <c r="L1454" t="inlineStr"/>
      <c r="M1454" t="inlineStr"/>
      <c r="N1454" t="inlineStr"/>
      <c r="O1454">
        <f>(1-Summary!$B$55)*T1454+Summary!$B$55*V1454</f>
        <v/>
      </c>
      <c r="P1454">
        <f>IF(B1484=0,0,O1454/B1484)</f>
        <v/>
      </c>
      <c r="Q1454" t="n">
        <v>0</v>
      </c>
      <c r="R1454" t="n">
        <v>0</v>
      </c>
      <c r="S1454" t="n">
        <v>0</v>
      </c>
      <c r="T1454" t="n">
        <v>0</v>
      </c>
      <c r="V1454" t="n">
        <v>0</v>
      </c>
    </row>
    <row r="1455">
      <c r="A1455">
        <f>Skills!A13</f>
        <v/>
      </c>
      <c r="B1455">
        <f>Skills!B13</f>
        <v/>
      </c>
      <c r="C1455">
        <f>Inputs!$B$3&gt;=74</f>
        <v/>
      </c>
      <c r="D1455">
        <f>IF(Skills!C13=1,60+Inputs!$B$25+Inputs!$B$29,IF(Skills!C13=2,90+Inputs!$B$26+Inputs!$B$29,IF(Skills!C13=3,120+Inputs!$B$27+Inputs!$B$29,MAX(0,(Inputs!$B$3-100)*3)+Inputs!$B$28+Inputs!$B$29)))</f>
        <v/>
      </c>
      <c r="E1455">
        <f>INDEX(FactorTable!$B$2:$Y$301, MATCH(ROUND(MIN(300,MAX(1,D1455)),0), FactorTable!$A$2:$A$301,0), Skills!M13+1)</f>
        <v/>
      </c>
      <c r="F1455">
        <f>IF(Skills!N13=TRUE,(Skills!L13/10)*(E1455/1000),Skills!L13/10)+Skills!O13</f>
        <v/>
      </c>
      <c r="G1455">
        <f>Skills!G13*IF(Skills!H13&gt;0,Skills!I13/Skills!H13,1)</f>
        <v/>
      </c>
      <c r="H1455">
        <f>1-(1-Skills!J13/100)^Skills!K13</f>
        <v/>
      </c>
      <c r="I1455" t="inlineStr">
        <is>
          <t>1</t>
        </is>
      </c>
      <c r="J1455" t="inlineStr"/>
      <c r="K1455" t="inlineStr"/>
      <c r="L1455" t="inlineStr"/>
      <c r="M1455" t="inlineStr"/>
      <c r="N1455" t="inlineStr"/>
      <c r="O1455">
        <f>(1-Summary!$B$55)*T1455+Summary!$B$55*V1455</f>
        <v/>
      </c>
      <c r="P1455">
        <f>IF(B1484=0,0,O1455/B1484)</f>
        <v/>
      </c>
      <c r="Q1455" t="n">
        <v>0</v>
      </c>
      <c r="R1455" t="n">
        <v>0</v>
      </c>
      <c r="S1455" t="n">
        <v>0</v>
      </c>
      <c r="T1455" t="n">
        <v>0</v>
      </c>
      <c r="V1455" t="n">
        <v>0</v>
      </c>
    </row>
    <row r="1456">
      <c r="A1456">
        <f>Skills!A14</f>
        <v/>
      </c>
      <c r="B1456">
        <f>Skills!B14</f>
        <v/>
      </c>
      <c r="C1456">
        <f>Inputs!$B$3&gt;=74</f>
        <v/>
      </c>
      <c r="D1456">
        <f>IF(Skills!C14=1,60+Inputs!$B$25+Inputs!$B$29,IF(Skills!C14=2,90+Inputs!$B$26+Inputs!$B$29,IF(Skills!C14=3,120+Inputs!$B$27+Inputs!$B$29,MAX(0,(Inputs!$B$3-100)*3)+Inputs!$B$28+Inputs!$B$29)))</f>
        <v/>
      </c>
      <c r="E1456">
        <f>INDEX(FactorTable!$B$2:$Y$301, MATCH(ROUND(MIN(300,MAX(1,D1456)),0), FactorTable!$A$2:$A$301,0), Skills!M14+1)</f>
        <v/>
      </c>
      <c r="F1456">
        <f>IF(Skills!N14=TRUE,(Skills!L14/10)*(E1456/1000),Skills!L14/10)+Skills!O14</f>
        <v/>
      </c>
      <c r="G1456">
        <f>Skills!G14*IF(Skills!H14&gt;0,Skills!I14/Skills!H14,1)</f>
        <v/>
      </c>
      <c r="H1456">
        <f>1-(1-Skills!J14/100)^Skills!K14</f>
        <v/>
      </c>
      <c r="I1456" t="inlineStr">
        <is>
          <t>1</t>
        </is>
      </c>
      <c r="J1456" t="inlineStr"/>
      <c r="K1456" t="inlineStr"/>
      <c r="L1456" t="inlineStr"/>
      <c r="M1456" t="inlineStr"/>
      <c r="N1456" t="inlineStr"/>
      <c r="O1456">
        <f>(1-Summary!$B$55)*T1456+Summary!$B$55*V1456</f>
        <v/>
      </c>
      <c r="P1456">
        <f>IF(B1484=0,0,O1456/B1484)</f>
        <v/>
      </c>
      <c r="Q1456" t="n">
        <v>0</v>
      </c>
      <c r="R1456" t="n">
        <v>0</v>
      </c>
      <c r="S1456" t="n">
        <v>0</v>
      </c>
      <c r="T1456" t="n">
        <v>0</v>
      </c>
      <c r="V1456" t="n">
        <v>0</v>
      </c>
    </row>
    <row r="1457">
      <c r="A1457">
        <f>Skills!A15</f>
        <v/>
      </c>
      <c r="B1457">
        <f>Skills!B15</f>
        <v/>
      </c>
      <c r="C1457">
        <f>Inputs!$B$3&gt;=117</f>
        <v/>
      </c>
      <c r="D1457">
        <f>IF(Skills!C15=1,60+Inputs!$B$25+Inputs!$B$29,IF(Skills!C15=2,90+Inputs!$B$26+Inputs!$B$29,IF(Skills!C15=3,120+Inputs!$B$27+Inputs!$B$29,MAX(0,(Inputs!$B$3-100)*3)+Inputs!$B$28+Inputs!$B$29)))</f>
        <v/>
      </c>
      <c r="E1457">
        <f>INDEX(FactorTable!$B$2:$Y$301, MATCH(ROUND(MIN(300,MAX(1,D1457)),0), FactorTable!$A$2:$A$301,0), Skills!M15+1)</f>
        <v/>
      </c>
      <c r="F1457">
        <f>IF(Skills!N15=TRUE,(Skills!L15/10)*(E1457/1000),Skills!L15/10)+Skills!O15</f>
        <v/>
      </c>
      <c r="G1457">
        <f>Skills!G15*IF(Skills!H15&gt;0,Skills!I15/Skills!H15,1)</f>
        <v/>
      </c>
      <c r="H1457">
        <f>1-(1-Skills!J15/100)^Skills!K15</f>
        <v/>
      </c>
      <c r="I1457" t="inlineStr">
        <is>
          <t>1</t>
        </is>
      </c>
      <c r="J1457" t="inlineStr"/>
      <c r="K1457" t="inlineStr"/>
      <c r="L1457" t="inlineStr"/>
      <c r="M1457" t="inlineStr"/>
      <c r="N1457" t="inlineStr"/>
      <c r="O1457">
        <f>(1-Summary!$B$55)*T1457+Summary!$B$55*V1457</f>
        <v/>
      </c>
      <c r="P1457">
        <f>IF(B1484=0,0,O1457/B1484)</f>
        <v/>
      </c>
      <c r="Q1457">
        <f>IFERROR(1/IF(Inputs!$B$38="pvp",15,MAX(0.1,Skills!D15-IF(Skills!E15=TRUE,3.0,0))),0)</f>
        <v/>
      </c>
      <c r="R1457">
        <f>IF(AND(Inputs!$B$38&lt;&gt;"pvp",Inputs!$B$43&gt;0),IF(Inputs!$B$43&lt;=0,0,(INT(Inputs!$B$43/IF(Inputs!$B$38="pvp",15,MAX(0.1,Skills!D15-IF(Skills!E15=TRUE,3.0,0))))+1)),0)</f>
        <v/>
      </c>
      <c r="S1457" t="n">
        <v>0</v>
      </c>
      <c r="T1457" t="n">
        <v>0</v>
      </c>
      <c r="V1457" t="n">
        <v>0</v>
      </c>
    </row>
    <row r="1458">
      <c r="A1458">
        <f>Skills!A16</f>
        <v/>
      </c>
      <c r="B1458">
        <f>Skills!B16</f>
        <v/>
      </c>
      <c r="C1458">
        <f>Inputs!$B$3&gt;=115</f>
        <v/>
      </c>
      <c r="D1458">
        <f>IF(Skills!C16=1,60+Inputs!$B$25+Inputs!$B$29,IF(Skills!C16=2,90+Inputs!$B$26+Inputs!$B$29,IF(Skills!C16=3,120+Inputs!$B$27+Inputs!$B$29,MAX(0,(Inputs!$B$3-100)*3)+Inputs!$B$28+Inputs!$B$29)))</f>
        <v/>
      </c>
      <c r="E1458">
        <f>INDEX(FactorTable!$B$2:$Y$301, MATCH(ROUND(MIN(300,MAX(1,D1458)),0), FactorTable!$A$2:$A$301,0), Skills!M16+1)</f>
        <v/>
      </c>
      <c r="F1458">
        <f>IF(Skills!N16=TRUE,(Skills!L16/10)*(E1458/1000),Skills!L16/10)+Skills!O16</f>
        <v/>
      </c>
      <c r="G1458">
        <f>Skills!G16*IF(Skills!H16&gt;0,Skills!I16/Skills!H16,1)</f>
        <v/>
      </c>
      <c r="H1458">
        <f>1-(1-Skills!J16/100)^Skills!K16</f>
        <v/>
      </c>
      <c r="I1458" t="inlineStr">
        <is>
          <t>1</t>
        </is>
      </c>
      <c r="J1458" t="inlineStr"/>
      <c r="K1458" t="inlineStr"/>
      <c r="L1458" t="inlineStr"/>
      <c r="M1458" t="inlineStr"/>
      <c r="N1458" t="inlineStr"/>
      <c r="O1458">
        <f>(1-Summary!$B$55)*T1458+Summary!$B$55*V1458</f>
        <v/>
      </c>
      <c r="P1458">
        <f>IF(B1484=0,0,O1458/B1484)</f>
        <v/>
      </c>
      <c r="Q1458">
        <f>IFERROR(1/IF(Inputs!$B$38="pvp",15,MAX(0.1,Skills!D16-IF(Skills!E16=TRUE,3.0,0))),0)</f>
        <v/>
      </c>
      <c r="R1458">
        <f>IF(AND(Inputs!$B$38&lt;&gt;"pvp",Inputs!$B$43&gt;0),IF(Inputs!$B$43&lt;=0,0,(INT(Inputs!$B$43/IF(Inputs!$B$38="pvp",15,MAX(0.1,Skills!D16-IF(Skills!E16=TRUE,3.0,0))))+1)),0)</f>
        <v/>
      </c>
      <c r="S1458" t="n">
        <v>0</v>
      </c>
      <c r="T1458" t="n">
        <v>0</v>
      </c>
      <c r="V1458" t="n">
        <v>0</v>
      </c>
    </row>
    <row r="1459">
      <c r="A1459">
        <f>Skills!A17</f>
        <v/>
      </c>
      <c r="B1459">
        <f>Skills!B17</f>
        <v/>
      </c>
      <c r="C1459">
        <f>Inputs!$B$3&gt;=72</f>
        <v/>
      </c>
      <c r="D1459">
        <f>IF(Skills!C17=1,60+Inputs!$B$25+Inputs!$B$29,IF(Skills!C17=2,90+Inputs!$B$26+Inputs!$B$29,IF(Skills!C17=3,120+Inputs!$B$27+Inputs!$B$29,MAX(0,(Inputs!$B$3-100)*3)+Inputs!$B$28+Inputs!$B$29)))</f>
        <v/>
      </c>
      <c r="E1459">
        <f>INDEX(FactorTable!$B$2:$Y$301, MATCH(ROUND(MIN(300,MAX(1,D1459)),0), FactorTable!$A$2:$A$301,0), Skills!M17+1)</f>
        <v/>
      </c>
      <c r="F1459">
        <f>IF(Skills!N17=TRUE,(Skills!L17/10)*(E1459/1000),Skills!L17/10)+Skills!O17</f>
        <v/>
      </c>
      <c r="G1459">
        <f>Skills!G17*IF(Skills!H17&gt;0,Skills!I17/Skills!H17,1)</f>
        <v/>
      </c>
      <c r="H1459">
        <f>1-(1-Skills!J17/100)^Skills!K17</f>
        <v/>
      </c>
      <c r="I1459" t="inlineStr">
        <is>
          <t>1</t>
        </is>
      </c>
      <c r="J1459" t="inlineStr"/>
      <c r="K1459" t="inlineStr"/>
      <c r="L1459" t="inlineStr"/>
      <c r="M1459" t="inlineStr"/>
      <c r="N1459" t="inlineStr"/>
      <c r="O1459">
        <f>(1-Summary!$B$55)*T1459+Summary!$B$55*V1459</f>
        <v/>
      </c>
      <c r="P1459">
        <f>IF(B1484=0,0,O1459/B1484)</f>
        <v/>
      </c>
      <c r="Q1459" t="n">
        <v>0</v>
      </c>
      <c r="R1459" t="n">
        <v>0</v>
      </c>
      <c r="S1459" t="n">
        <v>0</v>
      </c>
      <c r="T1459" t="n">
        <v>0</v>
      </c>
      <c r="V1459" t="n">
        <v>0</v>
      </c>
    </row>
    <row r="1460">
      <c r="A1460">
        <f>Skills!A18</f>
        <v/>
      </c>
      <c r="B1460">
        <f>Skills!B18</f>
        <v/>
      </c>
      <c r="C1460">
        <f>TRUE</f>
        <v/>
      </c>
      <c r="D1460">
        <f>IF(Skills!C18=1,60+Inputs!$B$25+Inputs!$B$29,IF(Skills!C18=2,90+Inputs!$B$26+Inputs!$B$29,IF(Skills!C18=3,120+Inputs!$B$27+Inputs!$B$29,MAX(0,(Inputs!$B$3-100)*3)+Inputs!$B$28+Inputs!$B$29)))</f>
        <v/>
      </c>
      <c r="E1460">
        <f>INDEX(FactorTable!$B$2:$Y$301, MATCH(ROUND(MIN(300,MAX(1,D1460)),0), FactorTable!$A$2:$A$301,0), Skills!M18+1)</f>
        <v/>
      </c>
      <c r="F1460">
        <f>IF(Skills!N18=TRUE,(Skills!L18/10)*(E1460/1000),Skills!L18/10)+Skills!O18</f>
        <v/>
      </c>
      <c r="G1460">
        <f>Skills!G18*IF(Skills!H18&gt;0,Skills!I18/Skills!H18,1)</f>
        <v/>
      </c>
      <c r="H1460">
        <f>1-(1-Skills!J18/100)^Skills!K18</f>
        <v/>
      </c>
      <c r="I1460" t="inlineStr">
        <is>
          <t>1</t>
        </is>
      </c>
      <c r="J1460" t="inlineStr"/>
      <c r="K1460" t="inlineStr"/>
      <c r="L1460" t="inlineStr"/>
      <c r="M1460" t="inlineStr"/>
      <c r="N1460" t="inlineStr"/>
      <c r="O1460">
        <f>(1-Summary!$B$55)*T1460+Summary!$B$55*V1460</f>
        <v/>
      </c>
      <c r="P1460">
        <f>IF(B1484=0,0,O1460/B1484)</f>
        <v/>
      </c>
      <c r="Q1460">
        <f>IFERROR(1/IF(Inputs!$B$38="pvp",15,MAX(0.1,Skills!D18-IF(Skills!E18=TRUE,3.0,0))),0)</f>
        <v/>
      </c>
      <c r="R1460">
        <f>IF(AND(Inputs!$B$38&lt;&gt;"pvp",Inputs!$B$43&gt;0),IF(Inputs!$B$43&lt;=0,0,(INT(Inputs!$B$43/IF(Inputs!$B$38="pvp",15,MAX(0.1,Skills!D18-IF(Skills!E18=TRUE,3.0,0))))+1)),0)</f>
        <v/>
      </c>
      <c r="S1460" t="n">
        <v>0</v>
      </c>
      <c r="T1460" t="n">
        <v>0</v>
      </c>
      <c r="V1460" t="n">
        <v>0</v>
      </c>
    </row>
    <row r="1461">
      <c r="A1461">
        <f>Skills!A19</f>
        <v/>
      </c>
      <c r="B1461">
        <f>Skills!B19</f>
        <v/>
      </c>
      <c r="C1461">
        <f>Inputs!$B$3&gt;=15</f>
        <v/>
      </c>
      <c r="D1461">
        <f>IF(Skills!C19=1,60+Inputs!$B$25+Inputs!$B$29,IF(Skills!C19=2,90+Inputs!$B$26+Inputs!$B$29,IF(Skills!C19=3,120+Inputs!$B$27+Inputs!$B$29,MAX(0,(Inputs!$B$3-100)*3)+Inputs!$B$28+Inputs!$B$29)))</f>
        <v/>
      </c>
      <c r="E1461">
        <f>INDEX(FactorTable!$B$2:$Y$301, MATCH(ROUND(MIN(300,MAX(1,D1461)),0), FactorTable!$A$2:$A$301,0), Skills!M19+1)</f>
        <v/>
      </c>
      <c r="F1461">
        <f>IF(Skills!N19=TRUE,(Skills!L19/10)*(E1461/1000),Skills!L19/10)+Skills!O19</f>
        <v/>
      </c>
      <c r="G1461">
        <f>Skills!G19*IF(Skills!H19&gt;0,Skills!I19/Skills!H19,1)</f>
        <v/>
      </c>
      <c r="H1461">
        <f>1-(1-Skills!J19/100)^Skills!K19</f>
        <v/>
      </c>
      <c r="I1461" t="inlineStr">
        <is>
          <t>1</t>
        </is>
      </c>
      <c r="J1461" t="inlineStr"/>
      <c r="K1461" t="inlineStr"/>
      <c r="L1461" t="inlineStr"/>
      <c r="M1461" t="inlineStr"/>
      <c r="N1461" t="inlineStr"/>
      <c r="O1461">
        <f>(1-Summary!$B$55)*T1461+Summary!$B$55*V1461</f>
        <v/>
      </c>
      <c r="P1461">
        <f>IF(B1484=0,0,O1461/B1484)</f>
        <v/>
      </c>
      <c r="Q1461" t="n">
        <v>0</v>
      </c>
      <c r="R1461" t="n">
        <v>0</v>
      </c>
      <c r="S1461" t="n">
        <v>0</v>
      </c>
      <c r="T1461" t="n">
        <v>0</v>
      </c>
      <c r="V1461" t="n">
        <v>0</v>
      </c>
    </row>
    <row r="1462">
      <c r="A1462">
        <f>Skills!A20</f>
        <v/>
      </c>
      <c r="B1462">
        <f>Skills!B20</f>
        <v/>
      </c>
      <c r="C1462">
        <f>Inputs!$B$3&gt;=10</f>
        <v/>
      </c>
      <c r="D1462">
        <f>IF(Skills!C20=1,60+Inputs!$B$25+Inputs!$B$29,IF(Skills!C20=2,90+Inputs!$B$26+Inputs!$B$29,IF(Skills!C20=3,120+Inputs!$B$27+Inputs!$B$29,MAX(0,(Inputs!$B$3-100)*3)+Inputs!$B$28+Inputs!$B$29)))</f>
        <v/>
      </c>
      <c r="E1462">
        <f>INDEX(FactorTable!$B$2:$Y$301, MATCH(ROUND(MIN(300,MAX(1,D1462)),0), FactorTable!$A$2:$A$301,0), Skills!M20+1)</f>
        <v/>
      </c>
      <c r="F1462">
        <f>IF(Skills!N20=TRUE,(Skills!L20/10)*(E1462/1000),Skills!L20/10)+Skills!O20</f>
        <v/>
      </c>
      <c r="G1462">
        <f>Skills!G20*IF(Skills!H20&gt;0,Skills!I20/Skills!H20,1)</f>
        <v/>
      </c>
      <c r="H1462">
        <f>1-(1-Skills!J20/100)^Skills!K20</f>
        <v/>
      </c>
      <c r="I1462" t="inlineStr">
        <is>
          <t>1</t>
        </is>
      </c>
      <c r="J1462" t="inlineStr"/>
      <c r="K1462" t="inlineStr"/>
      <c r="L1462" t="inlineStr"/>
      <c r="M1462" t="inlineStr"/>
      <c r="N1462" t="inlineStr"/>
      <c r="O1462">
        <f>(1-Summary!$B$55)*T1462+Summary!$B$55*V1462</f>
        <v/>
      </c>
      <c r="P1462">
        <f>IF(B1484=0,0,O1462/B1484)</f>
        <v/>
      </c>
      <c r="Q1462" t="n">
        <v>0</v>
      </c>
      <c r="R1462" t="n">
        <v>0</v>
      </c>
      <c r="S1462" t="n">
        <v>0</v>
      </c>
      <c r="T1462" t="n">
        <v>0</v>
      </c>
      <c r="V1462" t="n">
        <v>0</v>
      </c>
    </row>
    <row r="1463">
      <c r="A1463">
        <f>Skills!A21</f>
        <v/>
      </c>
      <c r="B1463">
        <f>Skills!B21</f>
        <v/>
      </c>
      <c r="C1463">
        <f>Inputs!$B$3&gt;=33</f>
        <v/>
      </c>
      <c r="D1463">
        <f>IF(Skills!C21=1,60+Inputs!$B$25+Inputs!$B$29,IF(Skills!C21=2,90+Inputs!$B$26+Inputs!$B$29,IF(Skills!C21=3,120+Inputs!$B$27+Inputs!$B$29,MAX(0,(Inputs!$B$3-100)*3)+Inputs!$B$28+Inputs!$B$29)))</f>
        <v/>
      </c>
      <c r="E1463">
        <f>INDEX(FactorTable!$B$2:$Y$301, MATCH(ROUND(MIN(300,MAX(1,D1463)),0), FactorTable!$A$2:$A$301,0), Skills!M21+1)</f>
        <v/>
      </c>
      <c r="F1463">
        <f>IF(Skills!N21=TRUE,(Skills!L21/10)*(E1463/1000),Skills!L21/10)+Skills!O21</f>
        <v/>
      </c>
      <c r="G1463">
        <f>Skills!G21*IF(Skills!H21&gt;0,Skills!I21/Skills!H21,1)</f>
        <v/>
      </c>
      <c r="H1463">
        <f>1-(1-Skills!J21/100)^Skills!K21</f>
        <v/>
      </c>
      <c r="I1463" t="inlineStr">
        <is>
          <t>1</t>
        </is>
      </c>
      <c r="J1463" t="inlineStr"/>
      <c r="K1463" t="inlineStr"/>
      <c r="L1463" t="inlineStr"/>
      <c r="M1463" t="inlineStr"/>
      <c r="N1463" t="inlineStr"/>
      <c r="O1463">
        <f>(1-Summary!$B$55)*T1463+Summary!$B$55*V1463</f>
        <v/>
      </c>
      <c r="P1463">
        <f>IF(B1484=0,0,O1463/B1484)</f>
        <v/>
      </c>
      <c r="Q1463" t="n">
        <v>0</v>
      </c>
      <c r="R1463" t="n">
        <v>0</v>
      </c>
      <c r="S1463" t="n">
        <v>0</v>
      </c>
      <c r="T1463" t="n">
        <v>0</v>
      </c>
      <c r="V1463" t="n">
        <v>0</v>
      </c>
    </row>
    <row r="1464">
      <c r="A1464">
        <f>Skills!A22</f>
        <v/>
      </c>
      <c r="B1464">
        <f>Skills!B22</f>
        <v/>
      </c>
      <c r="C1464">
        <f>Inputs!$B$3&gt;=38</f>
        <v/>
      </c>
      <c r="D1464">
        <f>IF(Skills!C22=1,60+Inputs!$B$25+Inputs!$B$29,IF(Skills!C22=2,90+Inputs!$B$26+Inputs!$B$29,IF(Skills!C22=3,120+Inputs!$B$27+Inputs!$B$29,MAX(0,(Inputs!$B$3-100)*3)+Inputs!$B$28+Inputs!$B$29)))</f>
        <v/>
      </c>
      <c r="E1464">
        <f>INDEX(FactorTable!$B$2:$Y$301, MATCH(ROUND(MIN(300,MAX(1,D1464)),0), FactorTable!$A$2:$A$301,0), Skills!M22+1)</f>
        <v/>
      </c>
      <c r="F1464">
        <f>IF(Skills!N22=TRUE,(Skills!L22/10)*(E1464/1000),Skills!L22/10)+Skills!O22</f>
        <v/>
      </c>
      <c r="G1464">
        <f>Skills!G22*IF(Skills!H22&gt;0,Skills!I22/Skills!H22,1)</f>
        <v/>
      </c>
      <c r="H1464">
        <f>1-(1-Skills!J22/100)^Skills!K22</f>
        <v/>
      </c>
      <c r="I1464" t="inlineStr">
        <is>
          <t>1</t>
        </is>
      </c>
      <c r="J1464" t="inlineStr"/>
      <c r="K1464" t="inlineStr"/>
      <c r="L1464" t="inlineStr"/>
      <c r="M1464" t="inlineStr"/>
      <c r="N1464" t="inlineStr"/>
      <c r="O1464">
        <f>(1-Summary!$B$55)*T1464+Summary!$B$55*V1464</f>
        <v/>
      </c>
      <c r="P1464">
        <f>IF(B1484=0,0,O1464/B1484)</f>
        <v/>
      </c>
      <c r="Q1464" t="n">
        <v>0</v>
      </c>
      <c r="R1464" t="n">
        <v>0</v>
      </c>
      <c r="S1464" t="n">
        <v>0</v>
      </c>
      <c r="T1464" t="n">
        <v>0</v>
      </c>
      <c r="V1464" t="n">
        <v>0</v>
      </c>
    </row>
    <row r="1465">
      <c r="A1465">
        <f>Skills!A23</f>
        <v/>
      </c>
      <c r="B1465">
        <f>Skills!B23</f>
        <v/>
      </c>
      <c r="C1465">
        <f>Inputs!$B$3&gt;=43</f>
        <v/>
      </c>
      <c r="D1465">
        <f>IF(Skills!C23=1,60+Inputs!$B$25+Inputs!$B$29,IF(Skills!C23=2,90+Inputs!$B$26+Inputs!$B$29,IF(Skills!C23=3,120+Inputs!$B$27+Inputs!$B$29,MAX(0,(Inputs!$B$3-100)*3)+Inputs!$B$28+Inputs!$B$29)))</f>
        <v/>
      </c>
      <c r="E1465">
        <f>INDEX(FactorTable!$B$2:$Y$301, MATCH(ROUND(MIN(300,MAX(1,D1465)),0), FactorTable!$A$2:$A$301,0), Skills!M23+1)</f>
        <v/>
      </c>
      <c r="F1465">
        <f>IF(Skills!N23=TRUE,(Skills!L23/10)*(E1465/1000),Skills!L23/10)+Skills!O23</f>
        <v/>
      </c>
      <c r="G1465">
        <f>Skills!G23*IF(Skills!H23&gt;0,Skills!I23/Skills!H23,1)</f>
        <v/>
      </c>
      <c r="H1465">
        <f>1-(1-Skills!J23/100)^Skills!K23</f>
        <v/>
      </c>
      <c r="I1465" t="inlineStr">
        <is>
          <t>1</t>
        </is>
      </c>
      <c r="J1465" t="inlineStr"/>
      <c r="K1465" t="inlineStr"/>
      <c r="L1465" t="inlineStr"/>
      <c r="M1465" t="inlineStr"/>
      <c r="N1465" t="inlineStr"/>
      <c r="O1465">
        <f>(1-Summary!$B$55)*T1465+Summary!$B$55*V1465</f>
        <v/>
      </c>
      <c r="P1465">
        <f>IF(B1484=0,0,O1465/B1484)</f>
        <v/>
      </c>
      <c r="Q1465" t="n">
        <v>0</v>
      </c>
      <c r="R1465" t="n">
        <v>0</v>
      </c>
      <c r="S1465" t="n">
        <v>0</v>
      </c>
      <c r="T1465" t="n">
        <v>0</v>
      </c>
      <c r="V1465" t="n">
        <v>0</v>
      </c>
    </row>
    <row r="1466">
      <c r="A1466">
        <f>Skills!A24</f>
        <v/>
      </c>
      <c r="B1466">
        <f>Skills!B24</f>
        <v/>
      </c>
      <c r="C1466">
        <f>Inputs!$B$3&gt;=75</f>
        <v/>
      </c>
      <c r="D1466">
        <f>IF(Skills!C24=1,60+Inputs!$B$25+Inputs!$B$29,IF(Skills!C24=2,90+Inputs!$B$26+Inputs!$B$29,IF(Skills!C24=3,120+Inputs!$B$27+Inputs!$B$29,MAX(0,(Inputs!$B$3-100)*3)+Inputs!$B$28+Inputs!$B$29)))</f>
        <v/>
      </c>
      <c r="E1466">
        <f>INDEX(FactorTable!$B$2:$Y$301, MATCH(ROUND(MIN(300,MAX(1,D1466)),0), FactorTable!$A$2:$A$301,0), Skills!M24+1)</f>
        <v/>
      </c>
      <c r="F1466">
        <f>IF(Skills!N24=TRUE,(Skills!L24/10)*(E1466/1000),Skills!L24/10)+Skills!O24</f>
        <v/>
      </c>
      <c r="G1466">
        <f>Skills!G24*IF(Skills!H24&gt;0,Skills!I24/Skills!H24,1)</f>
        <v/>
      </c>
      <c r="H1466">
        <f>1-(1-Skills!J24/100)^Skills!K24</f>
        <v/>
      </c>
      <c r="I1466" t="inlineStr">
        <is>
          <t>1</t>
        </is>
      </c>
      <c r="J1466" t="inlineStr"/>
      <c r="K1466" t="inlineStr"/>
      <c r="L1466" t="inlineStr"/>
      <c r="M1466" t="inlineStr"/>
      <c r="N1466" t="inlineStr"/>
      <c r="O1466">
        <f>(1-Summary!$B$55)*T1466+Summary!$B$55*V1466</f>
        <v/>
      </c>
      <c r="P1466">
        <f>IF(B1484=0,0,O1466/B1484)</f>
        <v/>
      </c>
      <c r="Q1466" t="n">
        <v>0</v>
      </c>
      <c r="R1466" t="n">
        <v>0</v>
      </c>
      <c r="S1466" t="n">
        <v>0</v>
      </c>
      <c r="T1466" t="n">
        <v>0</v>
      </c>
      <c r="V1466" t="n">
        <v>0</v>
      </c>
    </row>
    <row r="1467">
      <c r="A1467">
        <f>Skills!A25</f>
        <v/>
      </c>
      <c r="B1467">
        <f>Skills!B25</f>
        <v/>
      </c>
      <c r="C1467">
        <f>Inputs!$B$3&gt;=125</f>
        <v/>
      </c>
      <c r="D1467">
        <f>IF(Skills!C25=1,60+Inputs!$B$25+Inputs!$B$29,IF(Skills!C25=2,90+Inputs!$B$26+Inputs!$B$29,IF(Skills!C25=3,120+Inputs!$B$27+Inputs!$B$29,MAX(0,(Inputs!$B$3-100)*3)+Inputs!$B$28+Inputs!$B$29)))</f>
        <v/>
      </c>
      <c r="E1467">
        <f>INDEX(FactorTable!$B$2:$Y$301, MATCH(ROUND(MIN(300,MAX(1,D1467)),0), FactorTable!$A$2:$A$301,0), Skills!M25+1)</f>
        <v/>
      </c>
      <c r="F1467">
        <f>IF(Skills!N25=TRUE,(Skills!L25/10)*(E1467/1000),Skills!L25/10)+Skills!O25</f>
        <v/>
      </c>
      <c r="G1467">
        <f>Skills!G25*IF(Skills!H25&gt;0,Skills!I25/Skills!H25,1)</f>
        <v/>
      </c>
      <c r="H1467">
        <f>1-(1-Skills!J25/100)^Skills!K25</f>
        <v/>
      </c>
      <c r="I1467" t="inlineStr">
        <is>
          <t>1</t>
        </is>
      </c>
      <c r="J1467" t="inlineStr"/>
      <c r="K1467" t="inlineStr"/>
      <c r="L1467" t="inlineStr"/>
      <c r="M1467" t="inlineStr"/>
      <c r="N1467" t="inlineStr"/>
      <c r="O1467">
        <f>(1-Summary!$B$55)*T1467+Summary!$B$55*V1467</f>
        <v/>
      </c>
      <c r="P1467">
        <f>IF(B1484=0,0,O1467/B1484)</f>
        <v/>
      </c>
      <c r="Q1467" t="n">
        <v>0</v>
      </c>
      <c r="R1467" t="n">
        <v>0</v>
      </c>
      <c r="S1467" t="n">
        <v>0</v>
      </c>
      <c r="T1467" t="n">
        <v>0</v>
      </c>
      <c r="V1467" t="n">
        <v>0</v>
      </c>
    </row>
    <row r="1468">
      <c r="A1468">
        <f>Skills!A26</f>
        <v/>
      </c>
      <c r="B1468">
        <f>Skills!B26</f>
        <v/>
      </c>
      <c r="C1468">
        <f>Inputs!$B$3&gt;=125</f>
        <v/>
      </c>
      <c r="D1468">
        <f>IF(Skills!C26=1,60+Inputs!$B$25+Inputs!$B$29,IF(Skills!C26=2,90+Inputs!$B$26+Inputs!$B$29,IF(Skills!C26=3,120+Inputs!$B$27+Inputs!$B$29,MAX(0,(Inputs!$B$3-100)*3)+Inputs!$B$28+Inputs!$B$29)))</f>
        <v/>
      </c>
      <c r="E1468">
        <f>INDEX(FactorTable!$B$2:$Y$301, MATCH(ROUND(MIN(300,MAX(1,D1468)),0), FactorTable!$A$2:$A$301,0), Skills!M26+1)</f>
        <v/>
      </c>
      <c r="F1468">
        <f>IF(Skills!N26=TRUE,(Skills!L26/10)*(E1468/1000),Skills!L26/10)+Skills!O26</f>
        <v/>
      </c>
      <c r="G1468">
        <f>Skills!G26*IF(Skills!H26&gt;0,Skills!I26/Skills!H26,1)</f>
        <v/>
      </c>
      <c r="H1468">
        <f>1-(1-Skills!J26/100)^Skills!K26</f>
        <v/>
      </c>
      <c r="I1468" t="inlineStr">
        <is>
          <t>1</t>
        </is>
      </c>
      <c r="J1468" t="inlineStr"/>
      <c r="K1468" t="inlineStr"/>
      <c r="L1468" t="inlineStr"/>
      <c r="M1468" t="inlineStr"/>
      <c r="N1468" t="inlineStr"/>
      <c r="O1468">
        <f>(1-Summary!$B$55)*T1468+Summary!$B$55*V1468</f>
        <v/>
      </c>
      <c r="P1468">
        <f>IF(B1484=0,0,O1468/B1484)</f>
        <v/>
      </c>
      <c r="Q1468" t="n">
        <v>0</v>
      </c>
      <c r="R1468" t="n">
        <v>0</v>
      </c>
      <c r="S1468" t="n">
        <v>0</v>
      </c>
      <c r="T1468" t="n">
        <v>0</v>
      </c>
      <c r="V1468" t="n">
        <v>0</v>
      </c>
    </row>
    <row r="1469">
      <c r="A1469">
        <f>Skills!A27</f>
        <v/>
      </c>
      <c r="B1469">
        <f>Skills!B27</f>
        <v/>
      </c>
      <c r="C1469">
        <f>Inputs!$B$3&gt;=120</f>
        <v/>
      </c>
      <c r="D1469">
        <f>IF(Skills!C27=1,60+Inputs!$B$25+Inputs!$B$29,IF(Skills!C27=2,90+Inputs!$B$26+Inputs!$B$29,IF(Skills!C27=3,120+Inputs!$B$27+Inputs!$B$29,MAX(0,(Inputs!$B$3-100)*3)+Inputs!$B$28+Inputs!$B$29)))</f>
        <v/>
      </c>
      <c r="E1469">
        <f>INDEX(FactorTable!$B$2:$Y$301, MATCH(ROUND(MIN(300,MAX(1,D1469)),0), FactorTable!$A$2:$A$301,0), Skills!M27+1)</f>
        <v/>
      </c>
      <c r="F1469">
        <f>IF(Skills!N27=TRUE,(Skills!L27/10)*(E1469/1000),Skills!L27/10)+Skills!O27</f>
        <v/>
      </c>
      <c r="G1469">
        <f>Skills!G27*IF(Skills!H27&gt;0,Skills!I27/Skills!H27,1)</f>
        <v/>
      </c>
      <c r="H1469">
        <f>1-(1-Skills!J27/100)^Skills!K27</f>
        <v/>
      </c>
      <c r="I1469" t="inlineStr">
        <is>
          <t>1</t>
        </is>
      </c>
      <c r="J1469" t="inlineStr"/>
      <c r="K1469" t="inlineStr"/>
      <c r="L1469" t="inlineStr"/>
      <c r="M1469" t="inlineStr"/>
      <c r="N1469" t="inlineStr"/>
      <c r="O1469">
        <f>(1-Summary!$B$55)*T1469+Summary!$B$55*V1469</f>
        <v/>
      </c>
      <c r="P1469">
        <f>IF(B1484=0,0,O1469/B1484)</f>
        <v/>
      </c>
      <c r="Q1469" t="n">
        <v>0</v>
      </c>
      <c r="R1469" t="n">
        <v>0</v>
      </c>
      <c r="S1469" t="n">
        <v>0</v>
      </c>
      <c r="T1469" t="n">
        <v>0</v>
      </c>
      <c r="V1469" t="n">
        <v>0</v>
      </c>
    </row>
    <row r="1470">
      <c r="A1470">
        <f>Skills!A28</f>
        <v/>
      </c>
      <c r="B1470">
        <f>Skills!B28</f>
        <v/>
      </c>
      <c r="C1470">
        <f>Inputs!$B$3&gt;=120</f>
        <v/>
      </c>
      <c r="D1470">
        <f>IF(Skills!C28=1,60+Inputs!$B$25+Inputs!$B$29,IF(Skills!C28=2,90+Inputs!$B$26+Inputs!$B$29,IF(Skills!C28=3,120+Inputs!$B$27+Inputs!$B$29,MAX(0,(Inputs!$B$3-100)*3)+Inputs!$B$28+Inputs!$B$29)))</f>
        <v/>
      </c>
      <c r="E1470">
        <f>INDEX(FactorTable!$B$2:$Y$301, MATCH(ROUND(MIN(300,MAX(1,D1470)),0), FactorTable!$A$2:$A$301,0), Skills!M28+1)</f>
        <v/>
      </c>
      <c r="F1470">
        <f>IF(Skills!N28=TRUE,(Skills!L28/10)*(E1470/1000),Skills!L28/10)+Skills!O28</f>
        <v/>
      </c>
      <c r="G1470">
        <f>Skills!G28*IF(Skills!H28&gt;0,Skills!I28/Skills!H28,1)</f>
        <v/>
      </c>
      <c r="H1470">
        <f>1-(1-Skills!J28/100)^Skills!K28</f>
        <v/>
      </c>
      <c r="I1470" t="inlineStr">
        <is>
          <t>1</t>
        </is>
      </c>
      <c r="J1470" t="inlineStr"/>
      <c r="K1470" t="inlineStr"/>
      <c r="L1470" t="inlineStr"/>
      <c r="M1470" t="inlineStr"/>
      <c r="N1470" t="inlineStr"/>
      <c r="O1470">
        <f>(1-Summary!$B$55)*T1470+Summary!$B$55*V1470</f>
        <v/>
      </c>
      <c r="P1470">
        <f>IF(B1484=0,0,O1470/B1484)</f>
        <v/>
      </c>
      <c r="Q1470" t="n">
        <v>0</v>
      </c>
      <c r="R1470" t="n">
        <v>0</v>
      </c>
      <c r="S1470" t="n">
        <v>0</v>
      </c>
      <c r="T1470" t="n">
        <v>0</v>
      </c>
      <c r="V1470" t="n">
        <v>0</v>
      </c>
    </row>
    <row r="1471">
      <c r="A1471">
        <f>Skills!A29</f>
        <v/>
      </c>
      <c r="B1471">
        <f>Skills!B29</f>
        <v/>
      </c>
      <c r="C1471">
        <f>Inputs!$B$3&gt;=45</f>
        <v/>
      </c>
      <c r="D1471">
        <f>IF(Skills!C29=1,60+Inputs!$B$25+Inputs!$B$29,IF(Skills!C29=2,90+Inputs!$B$26+Inputs!$B$29,IF(Skills!C29=3,120+Inputs!$B$27+Inputs!$B$29,MAX(0,(Inputs!$B$3-100)*3)+Inputs!$B$28+Inputs!$B$29)))</f>
        <v/>
      </c>
      <c r="E1471">
        <f>INDEX(FactorTable!$B$2:$Y$301, MATCH(ROUND(MIN(300,MAX(1,D1471)),0), FactorTable!$A$2:$A$301,0), Skills!M29+1)</f>
        <v/>
      </c>
      <c r="F1471">
        <f>IF(Skills!N29=TRUE,(Skills!L29/10)*(E1471/1000),Skills!L29/10)+Skills!O29</f>
        <v/>
      </c>
      <c r="G1471">
        <f>Skills!G29*IF(Skills!H29&gt;0,Skills!I29/Skills!H29,1)</f>
        <v/>
      </c>
      <c r="H1471">
        <f>1-(1-Skills!J29/100)^Skills!K29</f>
        <v/>
      </c>
      <c r="I1471" t="inlineStr">
        <is>
          <t>1</t>
        </is>
      </c>
      <c r="J1471" t="inlineStr"/>
      <c r="K1471" t="inlineStr"/>
      <c r="L1471" t="inlineStr"/>
      <c r="M1471" t="inlineStr"/>
      <c r="N1471" t="inlineStr"/>
      <c r="O1471">
        <f>(1-Summary!$B$55)*T1471+Summary!$B$55*V1471</f>
        <v/>
      </c>
      <c r="P1471">
        <f>IF(B1484=0,0,O1471/B1484)</f>
        <v/>
      </c>
      <c r="Q1471" t="n">
        <v>0</v>
      </c>
      <c r="R1471" t="n">
        <v>0</v>
      </c>
      <c r="S1471" t="n">
        <v>0</v>
      </c>
      <c r="T1471" t="n">
        <v>0</v>
      </c>
      <c r="V1471" t="n">
        <v>0</v>
      </c>
    </row>
    <row r="1473">
      <c r="A1473" t="inlineStr">
        <is>
          <t>Attack% Bucket Multiplier</t>
        </is>
      </c>
      <c r="B1473">
        <f>(1+(((C1455=TRUE)*F1455)+((C1456=TRUE)*IF(Inputs!$B$38="pvp",F1456,(1-Summary!$B$55)*(F1456)+Summary!$B$55*(0)))+((C1457=TRUE)*F1457*IF(AND(Inputs!$B$38&lt;&gt;"pvp",Inputs!$B$43&gt;0),(((R1457-1)*(Skills!T15*(1+Inputs!$B$34/100))+MIN((Skills!T15*(1+Inputs!$B$34/100)),MAX(0,Inputs!$B$43-((R1457-1)*Skills!D15))))/Inputs!$B$43),IF(Inputs!$B$38="pvp",MIN((Skills!T15*(1+Inputs!$B$34/100)),15)/15,(Skills!T15*(1+Inputs!$B$34/100))/Skills!D15)))+((C1454=TRUE)*F1454)+((C1471=TRUE)*(F1471-Calc!F29)))/100)</f>
        <v/>
      </c>
    </row>
    <row r="1474">
      <c r="A1474" t="inlineStr">
        <is>
          <t>Global Crit Rate Bonus %</t>
        </is>
      </c>
      <c r="B1474">
        <f>(C1458=TRUE)*20*IF(AND(Inputs!$B$38&lt;&gt;"pvp",Inputs!$B$43&gt;0),(((R1458-1)*(Skills!T16*(1+Inputs!$B$34/100))+MIN((Skills!T16*(1+Inputs!$B$34/100)),MAX(0,Inputs!$B$43-((R1458-1)*Skills!D16))))/Inputs!$B$43),IF(Inputs!$B$38="pvp",MIN((Skills!T16*(1+Inputs!$B$34/100)),15)/15,(Skills!T16*(1+Inputs!$B$34/100))/Skills!D16))</f>
        <v/>
      </c>
    </row>
    <row r="1475">
      <c r="A1475" t="inlineStr">
        <is>
          <t>Attack Speed Buff Bonus %</t>
        </is>
      </c>
      <c r="B1475">
        <f>((C1460=TRUE)*F1460*IF(AND(Inputs!$B$38&lt;&gt;"pvp",Inputs!$B$43&gt;0),(((R1460-1)*(Skills!T18*(1+Inputs!$B$34/100))+MIN((Skills!T18*(1+Inputs!$B$34/100)),MAX(0,Inputs!$B$43-((R1460-1)*Skills!D18))))/Inputs!$B$43),IF(Inputs!$B$38="pvp",MIN((Skills!T18*(1+Inputs!$B$34/100)),15)/15,(Skills!T18*(1+Inputs!$B$34/100))/Skills!D18)))</f>
        <v/>
      </c>
    </row>
    <row r="1476">
      <c r="A1476" t="inlineStr">
        <is>
          <t>Actions Per Second</t>
        </is>
      </c>
      <c r="B1476">
        <f>1+MIN(150,150*(1-(1-(Inputs!$B$11+((C1462=TRUE)*(F1462-Calc!F20))+((C1463=TRUE)*(F1463-Calc!F21)))/150)*(1-B1475/150)))/100</f>
        <v/>
      </c>
    </row>
    <row r="1477">
      <c r="A1477" t="inlineStr">
        <is>
          <t>Skill + Buff Cast Rate</t>
        </is>
      </c>
      <c r="B1477">
        <f>IF(AND(Inputs!$B$38&lt;&gt;"pvp",Inputs!$B$43&gt;0),SUMPRODUCT((Skills!E2:E29=TRUE)*(C1444:C1471=TRUE)*R1444:R1471*Skills!F2:F29)/Inputs!$B$43,SUMPRODUCT((Skills!E2:E29=TRUE)*(C1444:C1471=TRUE)*Q1444:Q1471*Skills!F2:F29))</f>
        <v/>
      </c>
    </row>
    <row r="1478">
      <c r="A1478" t="inlineStr">
        <is>
          <t>Empowered Piercing Arrow Casts Per Second</t>
        </is>
      </c>
      <c r="B1478">
        <f>MAX(0,B1476-B1477)</f>
        <v/>
      </c>
    </row>
    <row r="1479">
      <c r="A1479" t="inlineStr">
        <is>
          <t>Global Critical Damage Bonus % (Sharp Eyes)</t>
        </is>
      </c>
      <c r="B1479">
        <f>(C1458=TRUE)*F1458*IF(AND(Inputs!$B$38&lt;&gt;"pvp",Inputs!$B$43&gt;0),(((R1458-1)*(Skills!T16*(1+Inputs!$B$34/100))+MIN((Skills!T16*(1+Inputs!$B$34/100)),MAX(0,Inputs!$B$43-((R1458-1)*Skills!D16))))/Inputs!$B$43),IF(Inputs!$B$38="pvp",MIN((Skills!T16*(1+Inputs!$B$34/100)),15)/15,(Skills!T16*(1+Inputs!$B$34/100))/Skills!D16))</f>
        <v/>
      </c>
    </row>
    <row r="1480">
      <c r="A1480" t="inlineStr">
        <is>
          <t>Global Final Damage Bonus % (Mortal Blow + Last Man Standing conditional half)</t>
        </is>
      </c>
      <c r="B1480">
        <f>(C1459=TRUE)*F1459+((C1468=TRUE)*IF(Inputs!$B$38="pvp",F1468,(1-Summary!$B$55)*(F1468)+Summary!$B$55*(0)))</f>
        <v/>
      </c>
    </row>
    <row r="1481">
      <c r="A1481" t="inlineStr">
        <is>
          <t>Buff-Casting Startup Delay (s, fixed-duration only)</t>
        </is>
      </c>
      <c r="B1481">
        <f>IF(AND(Inputs!$B$38&lt;&gt;"pvp",Inputs!$B$43&gt;0),SUMPRODUCT((Skills!T2:T29&gt;0)*(Skills!E2:E29=TRUE)*(C1444:C1471=TRUE))/B1476,0)</f>
        <v/>
      </c>
    </row>
    <row r="1482">
      <c r="A1482" t="inlineStr">
        <is>
          <t>Boss-Only Total DPS (this block's swept value)</t>
        </is>
      </c>
      <c r="B1482">
        <f>SUM(T1444:T1471)</f>
        <v/>
      </c>
    </row>
    <row r="1483">
      <c r="A1483" t="inlineStr">
        <is>
          <t>Normal-Only Total DPS (this block's swept value)</t>
        </is>
      </c>
      <c r="B1483">
        <f>SUM(V1444:V1471)</f>
        <v/>
      </c>
    </row>
    <row r="1484">
      <c r="A1484" s="5" t="inlineStr">
        <is>
          <t>TOTAL DPS</t>
        </is>
      </c>
      <c r="B1484" s="5">
        <f>SUM(O1444:O1471)</f>
        <v/>
      </c>
    </row>
    <row r="1487">
      <c r="A1487" s="5" t="inlineStr">
        <is>
          <t>Stat: CDR = 3.5s</t>
        </is>
      </c>
    </row>
    <row r="1488">
      <c r="A1488" s="9" t="inlineStr">
        <is>
          <t>Key</t>
        </is>
      </c>
      <c r="B1488" s="9" t="inlineStr">
        <is>
          <t>Name</t>
        </is>
      </c>
      <c r="C1488" s="9" t="inlineStr">
        <is>
          <t>Unlocked</t>
        </is>
      </c>
      <c r="D1488" s="9" t="inlineStr">
        <is>
          <t>InputLevel</t>
        </is>
      </c>
      <c r="E1488" s="9" t="inlineStr">
        <is>
          <t>Factor</t>
        </is>
      </c>
      <c r="F1488" s="9" t="inlineStr">
        <is>
          <t>CoefficientPercent</t>
        </is>
      </c>
      <c r="G1488" s="9" t="inlineStr">
        <is>
          <t>EffectiveHits</t>
        </is>
      </c>
      <c r="H1488" s="9" t="inlineStr">
        <is>
          <t>ProcProbability</t>
        </is>
      </c>
      <c r="I1488" s="9" t="inlineStr">
        <is>
          <t>MapleHeroMultiplier</t>
        </is>
      </c>
      <c r="J1488" s="9" t="inlineStr">
        <is>
          <t>BaseDamage</t>
        </is>
      </c>
      <c r="K1488" s="9" t="inlineStr">
        <is>
          <t>BaseHitDamage</t>
        </is>
      </c>
      <c r="L1488" s="9" t="inlineStr">
        <is>
          <t>NonCritAvg</t>
        </is>
      </c>
      <c r="M1488" s="9" t="inlineStr">
        <is>
          <t>CritAvg</t>
        </is>
      </c>
      <c r="N1488" s="9" t="inlineStr">
        <is>
          <t>ExpectedDamage(perHit)</t>
        </is>
      </c>
      <c r="O1488" s="9" t="inlineStr">
        <is>
          <t>DPS</t>
        </is>
      </c>
      <c r="P1488" s="9" t="inlineStr">
        <is>
          <t>% of Total</t>
        </is>
      </c>
      <c r="Q1488" s="9" t="inlineStr">
        <is>
          <t>InvCooldown</t>
        </is>
      </c>
      <c r="R1488" s="9" t="inlineStr">
        <is>
          <t>CastsInFight</t>
        </is>
      </c>
      <c r="S1488" s="9" t="inlineStr">
        <is>
          <t>HitRate(perSec)</t>
        </is>
      </c>
      <c r="U1488" t="inlineStr">
        <is>
          <t>helpers</t>
        </is>
      </c>
    </row>
    <row r="1489">
      <c r="A1489">
        <f>Skills!A2</f>
        <v/>
      </c>
      <c r="B1489">
        <f>Skills!B2</f>
        <v/>
      </c>
      <c r="C1489">
        <f>Inputs!$B$3&gt;=100</f>
        <v/>
      </c>
      <c r="D1489" t="inlineStr"/>
      <c r="E1489" t="inlineStr"/>
      <c r="F1489">
        <f>U1491+Skills!O2</f>
        <v/>
      </c>
      <c r="G1489">
        <f>Skills!G2*IF(Skills!H2&gt;0,Skills!I2/Skills!H2,1)</f>
        <v/>
      </c>
      <c r="H1489">
        <f>1-(1-Skills!J2/100)^Skills!K2</f>
        <v/>
      </c>
      <c r="I1489" t="inlineStr">
        <is>
          <t>1</t>
        </is>
      </c>
      <c r="J1489">
        <f>((Inputs!$B$6*(1+Inputs!$B$7/100))+(((Inputs!$B$12*(1+Inputs!$B$13/100))-(Inputs!$B$12*(1+Inputs!$B$13/100)))+0.25*(Inputs!$B$14-Inputs!$B$14))*(1+Inputs!$B$7/100))*(F1489/100)</f>
        <v/>
      </c>
      <c r="K1489">
        <f>J1489*(1+((Inputs!$B$12*(1+Inputs!$B$13/100))*0.01+Inputs!$B$14*0.0025)/100)*(1+Inputs!$B$15/100)*(1+Inputs!$B$16/100)*(5000/(6000+Inputs!$B$42*(1-(Inputs!$B$19+0)/100)))*(1+(Inputs!$B$24+((C1511=TRUE)*(F1511-Calc!F24))+((C1512=TRUE)*(F1512-Calc!F25))+B1525)/100)*(1+(IF(Skills!A2="EMPOWERED_PIERCING_ARROW",Inputs!$B$17+((C1509=TRUE)*(F1509-Calc!F22)),Inputs!$B$18+((C1514=TRUE)*(F1514-Calc!F27))))/100)*((1+(((C1500=TRUE)*F1500)+((C1501=TRUE)*IF(Inputs!$B$38="pvp",F1501,(1-Summary!$B$55)*(F1501)+Summary!$B$55*(0)))+((C1502=TRUE)*F1502*IF(AND(Inputs!$B$38&lt;&gt;"pvp",Inputs!$B$43&gt;0),(((R1502-1)*(Skills!T15*(1+Inputs!$B$34/100))+MIN((Skills!T15*(1+Inputs!$B$34/100)),MAX(0,Inputs!$B$43-((R1502-1)*Skills!D15))))/Inputs!$B$43),IF(Inputs!$B$38="pvp",MIN((Skills!T15*(1+Inputs!$B$34/100)),15)/15,(Skills!T15*(1+Inputs!$B$34/100))/Skills!D15)))+((C1499=TRUE)*F1499)+((C1516=TRUE)*(F1516-Calc!F29)))/100)*I1489)</f>
        <v/>
      </c>
      <c r="L1489">
        <f>K1489*(MIN(Inputs!$B$22+((C1510=TRUE)*(F1510-Calc!F23)),Inputs!$B$23+((C1515=TRUE)*(F1515-Calc!F28)))/100+(Inputs!$B$23+((C1515=TRUE)*(F1515-Calc!F28)))/100)/2</f>
        <v/>
      </c>
      <c r="M1489">
        <f>L1489*(1+(Inputs!$B$10+0+B1524)/100)</f>
        <v/>
      </c>
      <c r="N1489">
        <f>L1489*(1-MIN((Inputs!$B$9+((C1506=TRUE)*(F1506-Calc!F19))+B1519),100)/100)+M1489*(MIN((Inputs!$B$9+((C1506=TRUE)*(F1506-Calc!F19))+B1519),100)/100)</f>
        <v/>
      </c>
      <c r="O1489">
        <f>(1-Summary!$B$55)*T1489+Summary!$B$55*V1489</f>
        <v/>
      </c>
      <c r="P1489">
        <f>IF(B1529=0,0,O1489/B1529)</f>
        <v/>
      </c>
      <c r="Q1489" t="n">
        <v>0</v>
      </c>
      <c r="R1489" t="n">
        <v>0</v>
      </c>
      <c r="S1489">
        <f>IFERROR((Skills!G2*N1489*B1523)/N1489*IF(Inputs!$B$38="pvp",1,(1-Summary!$B$55)*1+Summary!$B$55*(MIN((6+Inputs!$B$33),Inputs!$B$37))),0)</f>
        <v/>
      </c>
      <c r="T1489">
        <f>IF(C1489,(Skills!G2*N1489*B1523)*IF(Inputs!$B$38="pvp",1,1+(Inputs!$B$20+0+Skills!P2)/100),0)</f>
        <v/>
      </c>
      <c r="U1489">
        <f>MAX(0,(Inputs!$B$3-100)*3)+Inputs!$B$28+Inputs!$B$29</f>
        <v/>
      </c>
      <c r="V1489">
        <f>IF(C1489,(Skills!G2*N1489*B1523)*IF(Inputs!$B$38="pvp",1,(1+(Inputs!$B$21+Skills!Q2)/100)*(MIN((6+Inputs!$B$33),Inputs!$B$37))),0)</f>
        <v/>
      </c>
    </row>
    <row r="1490">
      <c r="A1490">
        <f>Skills!A3</f>
        <v/>
      </c>
      <c r="B1490">
        <f>Skills!B3</f>
        <v/>
      </c>
      <c r="C1490">
        <f>Inputs!$B$3&gt;=50</f>
        <v/>
      </c>
      <c r="D1490">
        <f>IF(Skills!C3=1,60+Inputs!$B$25+Inputs!$B$29,IF(Skills!C3=2,90+Inputs!$B$26+Inputs!$B$29,IF(Skills!C3=3,120+Inputs!$B$27+Inputs!$B$29,MAX(0,(Inputs!$B$3-100)*3)+Inputs!$B$28+Inputs!$B$29)))</f>
        <v/>
      </c>
      <c r="E1490">
        <f>INDEX(FactorTable!$B$2:$Y$301, MATCH(ROUND(MIN(300,MAX(1,D1490)),0), FactorTable!$A$2:$A$301,0), Skills!M3+1)</f>
        <v/>
      </c>
      <c r="F1490">
        <f>IF(Skills!N3=TRUE,(Skills!L3/10)*(E1490/1000),Skills!L3/10)+Skills!O3</f>
        <v/>
      </c>
      <c r="G1490" t="inlineStr"/>
      <c r="H1490" t="inlineStr"/>
      <c r="I1490" t="inlineStr">
        <is>
          <t>1</t>
        </is>
      </c>
      <c r="J1490" t="inlineStr"/>
      <c r="K1490" t="inlineStr"/>
      <c r="L1490" t="inlineStr"/>
      <c r="M1490" t="inlineStr"/>
      <c r="N1490" t="inlineStr"/>
      <c r="O1490" t="inlineStr"/>
      <c r="P1490" t="inlineStr"/>
      <c r="Q1490" t="inlineStr"/>
      <c r="R1490" t="inlineStr"/>
      <c r="S1490" t="inlineStr"/>
      <c r="T1490" t="inlineStr"/>
      <c r="U1490">
        <f>INDEX(FactorTable!$B$2:$Y$301, MATCH(ROUND(MIN(300,MAX(1,U1489)),0), FactorTable!$A$2:$A$301,0), 22)</f>
        <v/>
      </c>
      <c r="V1490" t="inlineStr"/>
    </row>
    <row r="1491">
      <c r="A1491">
        <f>Skills!A4</f>
        <v/>
      </c>
      <c r="B1491">
        <f>Skills!B4</f>
        <v/>
      </c>
      <c r="C1491">
        <f>Inputs!$B$3&gt;=105</f>
        <v/>
      </c>
      <c r="D1491">
        <f>IF(Skills!C4=1,60+Inputs!$B$25+Inputs!$B$29,IF(Skills!C4=2,90+Inputs!$B$26+Inputs!$B$29,IF(Skills!C4=3,120+Inputs!$B$27+Inputs!$B$29,MAX(0,(Inputs!$B$3-100)*3)+Inputs!$B$28+Inputs!$B$29)))</f>
        <v/>
      </c>
      <c r="E1491">
        <f>INDEX(FactorTable!$B$2:$Y$301, MATCH(ROUND(MIN(300,MAX(1,D1491)),0), FactorTable!$A$2:$A$301,0), Skills!M4+1)</f>
        <v/>
      </c>
      <c r="F1491">
        <f>IF(Skills!N4=TRUE,(Skills!L4/10)*(E1491/1000),Skills!L4/10)+Skills!O4</f>
        <v/>
      </c>
      <c r="G1491" t="inlineStr"/>
      <c r="H1491" t="inlineStr"/>
      <c r="I1491" t="inlineStr">
        <is>
          <t>1</t>
        </is>
      </c>
      <c r="J1491" t="inlineStr"/>
      <c r="K1491" t="inlineStr"/>
      <c r="L1491" t="inlineStr"/>
      <c r="M1491" t="inlineStr"/>
      <c r="N1491" t="inlineStr"/>
      <c r="O1491" t="inlineStr"/>
      <c r="P1491" t="inlineStr"/>
      <c r="Q1491" t="inlineStr"/>
      <c r="R1491" t="inlineStr"/>
      <c r="S1491" t="inlineStr"/>
      <c r="T1491" t="inlineStr"/>
      <c r="U1491">
        <f>290*U1490/1000</f>
        <v/>
      </c>
      <c r="V1491" t="inlineStr"/>
    </row>
    <row r="1492">
      <c r="A1492">
        <f>Skills!A5</f>
        <v/>
      </c>
      <c r="B1492">
        <f>Skills!B5</f>
        <v/>
      </c>
      <c r="C1492">
        <f>Inputs!$B$3&gt;=35</f>
        <v/>
      </c>
      <c r="D1492">
        <f>IF(Skills!C5=1,60+Inputs!$B$25+Inputs!$B$29,IF(Skills!C5=2,90+Inputs!$B$26+Inputs!$B$29,IF(Skills!C5=3,120+Inputs!$B$27+Inputs!$B$29,MAX(0,(Inputs!$B$3-100)*3)+Inputs!$B$28+Inputs!$B$29)))</f>
        <v/>
      </c>
      <c r="E1492">
        <f>INDEX(FactorTable!$B$2:$Y$301, MATCH(ROUND(MIN(300,MAX(1,D1492)),0), FactorTable!$A$2:$A$301,0), Skills!M5+1)</f>
        <v/>
      </c>
      <c r="F1492">
        <f>IF(Skills!N5=TRUE,(Skills!L5/10)*(E1492/1000),Skills!L5/10)+Skills!O5</f>
        <v/>
      </c>
      <c r="G1492">
        <f>Skills!G5*IF(Skills!H5&gt;0,Skills!I5/Skills!H5,1)</f>
        <v/>
      </c>
      <c r="H1492">
        <f>1-(1-Skills!J5/100)^Skills!K5</f>
        <v/>
      </c>
      <c r="I1492" t="inlineStr">
        <is>
          <t>1</t>
        </is>
      </c>
      <c r="J1492">
        <f>((Inputs!$B$6*(1+Inputs!$B$7/100))+(((Inputs!$B$12*(1+Inputs!$B$13/100))-(Inputs!$B$12*(1+Inputs!$B$13/100)))+0.25*(Inputs!$B$14-Inputs!$B$14))*(1+Inputs!$B$7/100))*(F1492/100)</f>
        <v/>
      </c>
      <c r="K1492">
        <f>J1492*(1+((Inputs!$B$12*(1+Inputs!$B$13/100))*0.01+Inputs!$B$14*0.0025)/100)*(1+Inputs!$B$15/100)*(1+Inputs!$B$16/100)*(5000/(6000+Inputs!$B$42*(1-(Inputs!$B$19+0)/100)))*(1+(Inputs!$B$24+((C1511=TRUE)*(F1511-Calc!F24))+((C1512=TRUE)*(F1512-Calc!F25))+B1525)/100)*(1+4.0*IF(C1495=TRUE,F1495,0)/100)*(1+(IF(Skills!A5="EMPOWERED_PIERCING_ARROW",Inputs!$B$17+((C1509=TRUE)*(F1509-Calc!F22)),Inputs!$B$18+((C1514=TRUE)*(F1514-Calc!F27))))/100)*((1+(((C1500=TRUE)*F1500)+((C1501=TRUE)*IF(Inputs!$B$38="pvp",F1501,(1-Summary!$B$55)*(F1501)+Summary!$B$55*(0)))+((C1502=TRUE)*F1502*IF(AND(Inputs!$B$38&lt;&gt;"pvp",Inputs!$B$43&gt;0),(((R1502-1)*(Skills!T15*(1+Inputs!$B$34/100))+MIN((Skills!T15*(1+Inputs!$B$34/100)),MAX(0,Inputs!$B$43-((R1502-1)*Skills!D15))))/Inputs!$B$43),IF(Inputs!$B$38="pvp",MIN((Skills!T15*(1+Inputs!$B$34/100)),15)/15,(Skills!T15*(1+Inputs!$B$34/100))/Skills!D15)))+((C1499=TRUE)*F1499)+((C1516=TRUE)*(F1516-Calc!F29)))/100)*I1492)</f>
        <v/>
      </c>
      <c r="L1492">
        <f>K1492*(MIN(Inputs!$B$22+((C1510=TRUE)*(F1510-Calc!F23)),Inputs!$B$23+((C1515=TRUE)*(F1515-Calc!F28)))/100+(Inputs!$B$23+((C1515=TRUE)*(F1515-Calc!F28)))/100)/2</f>
        <v/>
      </c>
      <c r="M1492">
        <f>L1492*(1+(Inputs!$B$10+0+B1524)/100)</f>
        <v/>
      </c>
      <c r="N1492">
        <f>L1492*(1-MIN((Inputs!$B$9+((C1506=TRUE)*(F1506-Calc!F19))+B1519),100)/100)+M1492*(MIN((Inputs!$B$9+((C1506=TRUE)*(F1506-Calc!F19))+B1519),100)/100)</f>
        <v/>
      </c>
      <c r="O1492">
        <f>(1-Summary!$B$55)*T1492+Summary!$B$55*V1492</f>
        <v/>
      </c>
      <c r="P1492">
        <f>IF(B1529=0,0,O1492/B1529)</f>
        <v/>
      </c>
      <c r="Q1492">
        <f>IFERROR(1/IF(Inputs!$B$38="pvp",15,MAX(0.1,Skills!D5-IF(Skills!E5=TRUE,3.5,0))),0)</f>
        <v/>
      </c>
      <c r="R1492">
        <f>IF(AND(Inputs!$B$38&lt;&gt;"pvp",Inputs!$B$43&gt;0),IF(MAX(0,Inputs!$B$43-B1526)&lt;=0,0,(INT(MAX(0,Inputs!$B$43-B1526)/IF(Inputs!$B$38="pvp",15,MAX(0.1,Skills!D5-IF(Skills!E5=TRUE,3.5,0))))+1)),0)</f>
        <v/>
      </c>
      <c r="S1492">
        <f>IFERROR((H1492*N1492*IF(AND(Inputs!$B$38&lt;&gt;"pvp",Inputs!$B$43&gt;0),((Skills!G5*((R1492-1)*IF(Skills!H5&gt;0,Skills!I5/Skills!H5,1)+IF(Skills!H5&gt;0,MIN(Skills!I5,MAX(0,MAX(0,Inputs!$B$43-B1526)-((R1492-1)*IF(Inputs!$B$38="pvp",15,MAX(0.1,Skills!D5-IF(Skills!E5=TRUE,3.5,0))))))/Skills!H5,1)))/Inputs!$B$43),G1492*Q1492))/N1492*IF(Inputs!$B$38="pvp",1,(1-Summary!$B$55)*1+Summary!$B$55*(MIN(Skills!R5,Inputs!$B$37))),0)</f>
        <v/>
      </c>
      <c r="T1492">
        <f>IF(C1492,(H1492*N1492*IF(AND(Inputs!$B$38&lt;&gt;"pvp",Inputs!$B$43&gt;0),((Skills!G5*((R1492-1)*IF(Skills!H5&gt;0,Skills!I5/Skills!H5,1)+IF(Skills!H5&gt;0,MIN(Skills!I5,MAX(0,MAX(0,Inputs!$B$43-B1526)-((R1492-1)*IF(Inputs!$B$38="pvp",15,MAX(0.1,Skills!D5-IF(Skills!E5=TRUE,3.5,0))))))/Skills!H5,1)))/Inputs!$B$43),G1492*Q1492))*IF(Inputs!$B$38="pvp",1,1+(Inputs!$B$20+0+Skills!P5)/100),0)</f>
        <v/>
      </c>
      <c r="V1492">
        <f>IF(C1492,(H1492*N1492*IF(AND(Inputs!$B$38&lt;&gt;"pvp",Inputs!$B$43&gt;0),((Skills!G5*((R1492-1)*IF(Skills!H5&gt;0,Skills!I5/Skills!H5,1)+IF(Skills!H5&gt;0,MIN(Skills!I5,MAX(0,MAX(0,Inputs!$B$43-B1526)-((R1492-1)*IF(Inputs!$B$38="pvp",15,MAX(0.1,Skills!D5-IF(Skills!E5=TRUE,3.5,0))))))/Skills!H5,1)))/Inputs!$B$43),G1492*Q1492))*IF(Inputs!$B$38="pvp",1,(1+(Inputs!$B$21+Skills!Q5)/100)*(MIN(Skills!R5,Inputs!$B$37))),0)</f>
        <v/>
      </c>
    </row>
    <row r="1493">
      <c r="A1493">
        <f>Skills!A6</f>
        <v/>
      </c>
      <c r="B1493">
        <f>Skills!B6</f>
        <v/>
      </c>
      <c r="C1493">
        <f>Inputs!$B$3&gt;=63</f>
        <v/>
      </c>
      <c r="D1493">
        <f>IF(Skills!C6=1,60+Inputs!$B$25+Inputs!$B$29,IF(Skills!C6=2,90+Inputs!$B$26+Inputs!$B$29,IF(Skills!C6=3,120+Inputs!$B$27+Inputs!$B$29,MAX(0,(Inputs!$B$3-100)*3)+Inputs!$B$28+Inputs!$B$29)))</f>
        <v/>
      </c>
      <c r="E1493">
        <f>INDEX(FactorTable!$B$2:$Y$301, MATCH(ROUND(MIN(300,MAX(1,D1493)),0), FactorTable!$A$2:$A$301,0), Skills!M6+1)</f>
        <v/>
      </c>
      <c r="F1493">
        <f>IF(Skills!N6=TRUE,(Skills!L6/10)*(E1493/1000),Skills!L6/10)+Skills!O6</f>
        <v/>
      </c>
      <c r="G1493">
        <f>Skills!G6*IF(Skills!H6&gt;0,Skills!I6/Skills!H6,1)</f>
        <v/>
      </c>
      <c r="H1493">
        <f>1-(1-Skills!J6/100)^Skills!K6</f>
        <v/>
      </c>
      <c r="I1493" t="inlineStr">
        <is>
          <t>1</t>
        </is>
      </c>
      <c r="J1493">
        <f>((Inputs!$B$6*(1+Inputs!$B$7/100))+(((Inputs!$B$12*(1+Inputs!$B$13/100))-(Inputs!$B$12*(1+Inputs!$B$13/100)))+0.25*(Inputs!$B$14-Inputs!$B$14))*(1+Inputs!$B$7/100))*(F1493/100)</f>
        <v/>
      </c>
      <c r="K1493">
        <f>J1493*(1+((Inputs!$B$12*(1+Inputs!$B$13/100))*0.01+Inputs!$B$14*0.0025)/100)*(1+Inputs!$B$15/100)*(1+Inputs!$B$16/100)*(5000/(6000+Inputs!$B$42*(1-(Inputs!$B$19+0)/100)))*(1+(Inputs!$B$24+((C1511=TRUE)*(F1511-Calc!F24))+((C1512=TRUE)*(F1512-Calc!F25))+B1525)/100)*(1+1.0*IF(C1495=TRUE,F1495,0)/100)*(1+(IF(Skills!A6="EMPOWERED_PIERCING_ARROW",Inputs!$B$17+((C1509=TRUE)*(F1509-Calc!F22)),Inputs!$B$18+((C1514=TRUE)*(F1514-Calc!F27))))/100)*((1+(((C1500=TRUE)*F1500)+((C1501=TRUE)*IF(Inputs!$B$38="pvp",F1501,(1-Summary!$B$55)*(F1501)+Summary!$B$55*(0)))+((C1502=TRUE)*F1502*IF(AND(Inputs!$B$38&lt;&gt;"pvp",Inputs!$B$43&gt;0),(((R1502-1)*(Skills!T15*(1+Inputs!$B$34/100))+MIN((Skills!T15*(1+Inputs!$B$34/100)),MAX(0,Inputs!$B$43-((R1502-1)*Skills!D15))))/Inputs!$B$43),IF(Inputs!$B$38="pvp",MIN((Skills!T15*(1+Inputs!$B$34/100)),15)/15,(Skills!T15*(1+Inputs!$B$34/100))/Skills!D15)))+((C1499=TRUE)*F1499)+((C1516=TRUE)*(F1516-Calc!F29)))/100)*I1493)</f>
        <v/>
      </c>
      <c r="L1493">
        <f>K1493*(MIN(Inputs!$B$22+((C1510=TRUE)*(F1510-Calc!F23)),Inputs!$B$23+((C1515=TRUE)*(F1515-Calc!F28)))/100+(Inputs!$B$23+((C1515=TRUE)*(F1515-Calc!F28)))/100)/2</f>
        <v/>
      </c>
      <c r="M1493">
        <f>L1493*(1+(Inputs!$B$10+0+B1524)/100)</f>
        <v/>
      </c>
      <c r="N1493">
        <f>L1493*(1-MIN((Inputs!$B$9+((C1506=TRUE)*(F1506-Calc!F19))+B1519),100)/100)+M1493*(MIN((Inputs!$B$9+((C1506=TRUE)*(F1506-Calc!F19))+B1519),100)/100)</f>
        <v/>
      </c>
      <c r="O1493">
        <f>(1-Summary!$B$55)*T1493+Summary!$B$55*V1493</f>
        <v/>
      </c>
      <c r="P1493">
        <f>IF(B1529=0,0,O1493/B1529)</f>
        <v/>
      </c>
      <c r="Q1493">
        <f>IFERROR(1/IF(Inputs!$B$38="pvp",15,MAX(0.1,Skills!D6-IF(Skills!E6=TRUE,3.5,0))),0)</f>
        <v/>
      </c>
      <c r="R1493">
        <f>IF(AND(Inputs!$B$38&lt;&gt;"pvp",Inputs!$B$43&gt;0),IF(MAX(0,Inputs!$B$43-B1526)&lt;=0,0,(INT(MAX(0,Inputs!$B$43-B1526)/IF(Inputs!$B$38="pvp",15,MAX(0.1,Skills!D6-IF(Skills!E6=TRUE,3.5,0))))+1)),0)</f>
        <v/>
      </c>
      <c r="S1493">
        <f>IFERROR((H1493*N1493*IF(AND(Inputs!$B$38&lt;&gt;"pvp",Inputs!$B$43&gt;0),((Skills!G6*((R1493-1)*IF(Skills!H6&gt;0,Skills!I6/Skills!H6,1)+IF(Skills!H6&gt;0,MIN(Skills!I6,MAX(0,MAX(0,Inputs!$B$43-B1526)-((R1493-1)*IF(Inputs!$B$38="pvp",15,MAX(0.1,Skills!D6-IF(Skills!E6=TRUE,3.5,0))))))/Skills!H6,1)))/Inputs!$B$43),G1493*Q1493))/N1493*IF(Inputs!$B$38="pvp",1,(1-Summary!$B$55)*1+Summary!$B$55*(MIN(Skills!R6,Inputs!$B$37))),0)</f>
        <v/>
      </c>
      <c r="T1493">
        <f>IF(C1493,(H1493*N1493*IF(AND(Inputs!$B$38&lt;&gt;"pvp",Inputs!$B$43&gt;0),((Skills!G6*((R1493-1)*IF(Skills!H6&gt;0,Skills!I6/Skills!H6,1)+IF(Skills!H6&gt;0,MIN(Skills!I6,MAX(0,MAX(0,Inputs!$B$43-B1526)-((R1493-1)*IF(Inputs!$B$38="pvp",15,MAX(0.1,Skills!D6-IF(Skills!E6=TRUE,3.5,0))))))/Skills!H6,1)))/Inputs!$B$43),G1493*Q1493))*IF(Inputs!$B$38="pvp",1,1+(Inputs!$B$20+0+Skills!P6)/100),0)</f>
        <v/>
      </c>
      <c r="V1493">
        <f>IF(C1493,(H1493*N1493*IF(AND(Inputs!$B$38&lt;&gt;"pvp",Inputs!$B$43&gt;0),((Skills!G6*((R1493-1)*IF(Skills!H6&gt;0,Skills!I6/Skills!H6,1)+IF(Skills!H6&gt;0,MIN(Skills!I6,MAX(0,MAX(0,Inputs!$B$43-B1526)-((R1493-1)*IF(Inputs!$B$38="pvp",15,MAX(0.1,Skills!D6-IF(Skills!E6=TRUE,3.5,0))))))/Skills!H6,1)))/Inputs!$B$43),G1493*Q1493))*IF(Inputs!$B$38="pvp",1,(1+(Inputs!$B$21+Skills!Q6)/100)*(MIN(Skills!R6,Inputs!$B$37))),0)</f>
        <v/>
      </c>
    </row>
    <row r="1494">
      <c r="A1494">
        <f>Skills!A7</f>
        <v/>
      </c>
      <c r="B1494">
        <f>Skills!B7</f>
        <v/>
      </c>
      <c r="C1494">
        <f>Inputs!$B$3&gt;=69</f>
        <v/>
      </c>
      <c r="D1494">
        <f>IF(Skills!C7=1,60+Inputs!$B$25+Inputs!$B$29,IF(Skills!C7=2,90+Inputs!$B$26+Inputs!$B$29,IF(Skills!C7=3,120+Inputs!$B$27+Inputs!$B$29,MAX(0,(Inputs!$B$3-100)*3)+Inputs!$B$28+Inputs!$B$29)))</f>
        <v/>
      </c>
      <c r="E1494">
        <f>INDEX(FactorTable!$B$2:$Y$301, MATCH(ROUND(MIN(300,MAX(1,D1494)),0), FactorTable!$A$2:$A$301,0), Skills!M7+1)</f>
        <v/>
      </c>
      <c r="F1494">
        <f>IF(Skills!N7=TRUE,(Skills!L7/10)*(E1494/1000),Skills!L7/10)+Skills!O7</f>
        <v/>
      </c>
      <c r="G1494">
        <f>Skills!G7*IF(Skills!H7&gt;0,Skills!I7/Skills!H7,1)</f>
        <v/>
      </c>
      <c r="H1494">
        <f>1-(1-Skills!J7/100)^Skills!K7</f>
        <v/>
      </c>
      <c r="I1494" t="inlineStr">
        <is>
          <t>1</t>
        </is>
      </c>
      <c r="J1494">
        <f>((Inputs!$B$6*(1+Inputs!$B$7/100))+(((Inputs!$B$12*(1+Inputs!$B$13/100))-(Inputs!$B$12*(1+Inputs!$B$13/100)))+0.25*(Inputs!$B$14-Inputs!$B$14))*(1+Inputs!$B$7/100))*(F1494/100)</f>
        <v/>
      </c>
      <c r="K1494">
        <f>J1494*(1+((Inputs!$B$12*(1+Inputs!$B$13/100))*0.01+Inputs!$B$14*0.0025)/100)*(1+Inputs!$B$15/100)*(1+Inputs!$B$16/100)*(5000/(6000+Inputs!$B$42*(1-(Inputs!$B$19+0)/100)))*(1+(Inputs!$B$24+((C1511=TRUE)*(F1511-Calc!F24))+((C1512=TRUE)*(F1512-Calc!F25))+B1525)/100)*(1+1.2*IF(C1495=TRUE,F1495,0)/100)*(1+(IF(Skills!A7="EMPOWERED_PIERCING_ARROW",Inputs!$B$17+((C1509=TRUE)*(F1509-Calc!F22)),Inputs!$B$18+((C1514=TRUE)*(F1514-Calc!F27))))/100)*((1+(((C1500=TRUE)*F1500)+((C1501=TRUE)*IF(Inputs!$B$38="pvp",F1501,(1-Summary!$B$55)*(F1501)+Summary!$B$55*(0)))+((C1502=TRUE)*F1502*IF(AND(Inputs!$B$38&lt;&gt;"pvp",Inputs!$B$43&gt;0),(((R1502-1)*(Skills!T15*(1+Inputs!$B$34/100))+MIN((Skills!T15*(1+Inputs!$B$34/100)),MAX(0,Inputs!$B$43-((R1502-1)*Skills!D15))))/Inputs!$B$43),IF(Inputs!$B$38="pvp",MIN((Skills!T15*(1+Inputs!$B$34/100)),15)/15,(Skills!T15*(1+Inputs!$B$34/100))/Skills!D15)))+((C1499=TRUE)*F1499)+((C1516=TRUE)*(F1516-Calc!F29)))/100)*I1494)</f>
        <v/>
      </c>
      <c r="L1494">
        <f>K1494*(MIN(Inputs!$B$22+((C1510=TRUE)*(F1510-Calc!F23)),Inputs!$B$23+((C1515=TRUE)*(F1515-Calc!F28)))/100+(Inputs!$B$23+((C1515=TRUE)*(F1515-Calc!F28)))/100)/2</f>
        <v/>
      </c>
      <c r="M1494">
        <f>L1494*(1+(Inputs!$B$10+0+B1524)/100)</f>
        <v/>
      </c>
      <c r="N1494">
        <f>L1494*(1-MIN((Inputs!$B$9+((C1506=TRUE)*(F1506-Calc!F19))+B1519),100)/100)+M1494*(MIN((Inputs!$B$9+((C1506=TRUE)*(F1506-Calc!F19))+B1519),100)/100)</f>
        <v/>
      </c>
      <c r="O1494">
        <f>(1-Summary!$B$55)*T1494+Summary!$B$55*V1494</f>
        <v/>
      </c>
      <c r="P1494">
        <f>IF(B1529=0,0,O1494/B1529)</f>
        <v/>
      </c>
      <c r="Q1494">
        <f>IFERROR(1/IF(Inputs!$B$38="pvp",15,MAX(0.1,Skills!D7-IF(Skills!E7=TRUE,3.5,0))),0)</f>
        <v/>
      </c>
      <c r="R1494">
        <f>IF(AND(Inputs!$B$38&lt;&gt;"pvp",Inputs!$B$43&gt;0),IF(MAX(0,Inputs!$B$43-B1526)&lt;=0,0,(INT(MAX(0,Inputs!$B$43-B1526)/IF(Inputs!$B$38="pvp",15,MAX(0.1,Skills!D7-IF(Skills!E7=TRUE,3.5,0))))+1)),0)</f>
        <v/>
      </c>
      <c r="S1494">
        <f>IFERROR((H1494*N1494*IF(AND(Inputs!$B$38&lt;&gt;"pvp",Inputs!$B$43&gt;0),((Skills!G7*((R1494-1)*IF(Skills!H7&gt;0,Skills!I7/Skills!H7,1)+IF(Skills!H7&gt;0,MIN(Skills!I7,MAX(0,MAX(0,Inputs!$B$43-B1526)-((R1494-1)*IF(Inputs!$B$38="pvp",15,MAX(0.1,Skills!D7-IF(Skills!E7=TRUE,3.5,0))))))/Skills!H7,1)))/Inputs!$B$43),G1494*Q1494))/N1494*IF(Inputs!$B$38="pvp",1,(1-Summary!$B$55)*1+Summary!$B$55*(MIN(Skills!R7,Inputs!$B$37))),0)</f>
        <v/>
      </c>
      <c r="T1494">
        <f>IF(C1494,(H1494*N1494*IF(AND(Inputs!$B$38&lt;&gt;"pvp",Inputs!$B$43&gt;0),((Skills!G7*((R1494-1)*IF(Skills!H7&gt;0,Skills!I7/Skills!H7,1)+IF(Skills!H7&gt;0,MIN(Skills!I7,MAX(0,MAX(0,Inputs!$B$43-B1526)-((R1494-1)*IF(Inputs!$B$38="pvp",15,MAX(0.1,Skills!D7-IF(Skills!E7=TRUE,3.5,0))))))/Skills!H7,1)))/Inputs!$B$43),G1494*Q1494))*IF(Inputs!$B$38="pvp",1,1+(Inputs!$B$20+0+Skills!P7)/100),0)</f>
        <v/>
      </c>
      <c r="V1494">
        <f>IF(C1494,(H1494*N1494*IF(AND(Inputs!$B$38&lt;&gt;"pvp",Inputs!$B$43&gt;0),((Skills!G7*((R1494-1)*IF(Skills!H7&gt;0,Skills!I7/Skills!H7,1)+IF(Skills!H7&gt;0,MIN(Skills!I7,MAX(0,MAX(0,Inputs!$B$43-B1526)-((R1494-1)*IF(Inputs!$B$38="pvp",15,MAX(0.1,Skills!D7-IF(Skills!E7=TRUE,3.5,0))))))/Skills!H7,1)))/Inputs!$B$43),G1494*Q1494))*IF(Inputs!$B$38="pvp",1,(1+(Inputs!$B$21+Skills!Q7)/100)*(MIN(Skills!R7,Inputs!$B$37))),0)</f>
        <v/>
      </c>
    </row>
    <row r="1495">
      <c r="A1495">
        <f>Skills!A8</f>
        <v/>
      </c>
      <c r="B1495">
        <f>Skills!B8</f>
        <v/>
      </c>
      <c r="C1495">
        <f>Inputs!$B$3&gt;=100</f>
        <v/>
      </c>
      <c r="D1495">
        <f>IF(Skills!C8=1,60+Inputs!$B$25+Inputs!$B$29,IF(Skills!C8=2,90+Inputs!$B$26+Inputs!$B$29,IF(Skills!C8=3,120+Inputs!$B$27+Inputs!$B$29,MAX(0,(Inputs!$B$3-100)*3)+Inputs!$B$28+Inputs!$B$29)))</f>
        <v/>
      </c>
      <c r="E1495">
        <f>INDEX(FactorTable!$B$2:$Y$301, MATCH(ROUND(MIN(300,MAX(1,D1495)),0), FactorTable!$A$2:$A$301,0), Skills!M8+1)</f>
        <v/>
      </c>
      <c r="F1495">
        <f>IF(Skills!N8=TRUE,(Skills!L8/10)*(E1495/1000),Skills!L8/10)+Skills!O8</f>
        <v/>
      </c>
      <c r="G1495" t="inlineStr"/>
      <c r="H1495" t="inlineStr"/>
      <c r="I1495" t="inlineStr">
        <is>
          <t>1</t>
        </is>
      </c>
      <c r="J1495" t="inlineStr"/>
      <c r="K1495" t="inlineStr"/>
      <c r="L1495" t="inlineStr"/>
      <c r="M1495" t="inlineStr"/>
      <c r="N1495" t="inlineStr"/>
      <c r="O1495" t="inlineStr"/>
      <c r="P1495" t="inlineStr"/>
      <c r="Q1495" t="inlineStr"/>
      <c r="R1495" t="inlineStr"/>
      <c r="S1495" t="inlineStr"/>
      <c r="T1495" t="inlineStr"/>
      <c r="V1495" t="inlineStr"/>
    </row>
    <row r="1496">
      <c r="A1496">
        <f>Skills!A9</f>
        <v/>
      </c>
      <c r="B1496">
        <f>Skills!B9</f>
        <v/>
      </c>
      <c r="C1496">
        <f>Inputs!$B$3&gt;=103</f>
        <v/>
      </c>
      <c r="D1496">
        <f>IF(Skills!C9=1,60+Inputs!$B$25+Inputs!$B$29,IF(Skills!C9=2,90+Inputs!$B$26+Inputs!$B$29,IF(Skills!C9=3,120+Inputs!$B$27+Inputs!$B$29,MAX(0,(Inputs!$B$3-100)*3)+Inputs!$B$28+Inputs!$B$29)))</f>
        <v/>
      </c>
      <c r="E1496">
        <f>INDEX(FactorTable!$B$2:$Y$301, MATCH(ROUND(MIN(300,MAX(1,D1496)),0), FactorTable!$A$2:$A$301,0), Skills!M9+1)</f>
        <v/>
      </c>
      <c r="F1496">
        <f>IF(Skills!N9=TRUE,(Skills!L9/10)*(E1496/1000),Skills!L9/10)+Skills!O9</f>
        <v/>
      </c>
      <c r="G1496">
        <f>Skills!G9*IF(Skills!H9&gt;0,Skills!I9/Skills!H9,1)</f>
        <v/>
      </c>
      <c r="H1496">
        <f>1-(1-Skills!J9/100)^Skills!K9</f>
        <v/>
      </c>
      <c r="I1496" t="inlineStr">
        <is>
          <t>1</t>
        </is>
      </c>
      <c r="J1496">
        <f>((Inputs!$B$6*(1+Inputs!$B$7/100))+(((Inputs!$B$12*(1+Inputs!$B$13/100))-(Inputs!$B$12*(1+Inputs!$B$13/100)))+0.25*(Inputs!$B$14-Inputs!$B$14))*(1+Inputs!$B$7/100))*(F1496/100)</f>
        <v/>
      </c>
      <c r="K1496">
        <f>J1496*(1+((Inputs!$B$12*(1+Inputs!$B$13/100))*0.01+Inputs!$B$14*0.0025)/100)*(1+Inputs!$B$15/100)*(1+Inputs!$B$16/100)*(5000/(6000+Inputs!$B$42*(1-(Inputs!$B$19+0)/100)))*(1+(Inputs!$B$24+((C1511=TRUE)*(F1511-Calc!F24))+((C1512=TRUE)*(F1512-Calc!F25))+B1525)/100)*(1+(IF(Skills!A9="EMPOWERED_PIERCING_ARROW",Inputs!$B$17+((C1509=TRUE)*(F1509-Calc!F22)),Inputs!$B$18+((C1514=TRUE)*(F1514-Calc!F27))))/100)*((1+(((C1500=TRUE)*F1500)+((C1501=TRUE)*IF(Inputs!$B$38="pvp",F1501,(1-Summary!$B$55)*(F1501)+Summary!$B$55*(0)))+((C1502=TRUE)*F1502*IF(AND(Inputs!$B$38&lt;&gt;"pvp",Inputs!$B$43&gt;0),(((R1502-1)*(Skills!T15*(1+Inputs!$B$34/100))+MIN((Skills!T15*(1+Inputs!$B$34/100)),MAX(0,Inputs!$B$43-((R1502-1)*Skills!D15))))/Inputs!$B$43),IF(Inputs!$B$38="pvp",MIN((Skills!T15*(1+Inputs!$B$34/100)),15)/15,(Skills!T15*(1+Inputs!$B$34/100))/Skills!D15)))+((C1499=TRUE)*F1499)+((C1516=TRUE)*(F1516-Calc!F29)))/100)*I1496)</f>
        <v/>
      </c>
      <c r="L1496">
        <f>K1496*(MIN(Inputs!$B$22+((C1510=TRUE)*(F1510-Calc!F23)),Inputs!$B$23+((C1515=TRUE)*(F1515-Calc!F28)))/100+(Inputs!$B$23+((C1515=TRUE)*(F1515-Calc!F28)))/100)/2</f>
        <v/>
      </c>
      <c r="M1496">
        <f>L1496*(1+(Inputs!$B$10+0+B1524)/100)</f>
        <v/>
      </c>
      <c r="N1496">
        <f>L1496*(1-MIN((Inputs!$B$9+((C1506=TRUE)*(F1506-Calc!F19))+B1519),100)/100)+M1496*(MIN((Inputs!$B$9+((C1506=TRUE)*(F1506-Calc!F19))+B1519),100)/100)</f>
        <v/>
      </c>
      <c r="O1496">
        <f>(1-Summary!$B$55)*T1496+Summary!$B$55*V1496</f>
        <v/>
      </c>
      <c r="P1496">
        <f>IF(B1529=0,0,O1496/B1529)</f>
        <v/>
      </c>
      <c r="Q1496">
        <f>IFERROR(1/IF(Inputs!$B$38="pvp",15,MAX(0.1,Skills!D9-IF(Skills!E9=TRUE,3.5,0))),0)</f>
        <v/>
      </c>
      <c r="R1496">
        <f>IF(AND(Inputs!$B$38&lt;&gt;"pvp",Inputs!$B$43&gt;0),IF(MAX(0,Inputs!$B$43-B1526)&lt;=0,0,(INT(MAX(0,Inputs!$B$43-B1526)/IF(Inputs!$B$38="pvp",15,MAX(0.1,Skills!D9-IF(Skills!E9=TRUE,3.5,0))))+1)),0)</f>
        <v/>
      </c>
      <c r="S1496">
        <f>IFERROR((H1496*N1496*IF(AND(Inputs!$B$38&lt;&gt;"pvp",Inputs!$B$43&gt;0),((Skills!G9*((R1496-1)*IF(Skills!H9&gt;0,Skills!I9/Skills!H9,1)+IF(Skills!H9&gt;0,MIN(Skills!I9,MAX(0,MAX(0,Inputs!$B$43-B1526)-((R1496-1)*IF(Inputs!$B$38="pvp",15,MAX(0.1,Skills!D9-IF(Skills!E9=TRUE,3.5,0))))))/Skills!H9,1)))/Inputs!$B$43),G1496*Q1496))/N1496*IF(Inputs!$B$38="pvp",1,(1-Summary!$B$55)*1+Summary!$B$55*(MIN(Skills!R9,Inputs!$B$37))),0)</f>
        <v/>
      </c>
      <c r="T1496">
        <f>IF(C1496,(H1496*N1496*IF(AND(Inputs!$B$38&lt;&gt;"pvp",Inputs!$B$43&gt;0),((Skills!G9*((R1496-1)*IF(Skills!H9&gt;0,Skills!I9/Skills!H9,1)+IF(Skills!H9&gt;0,MIN(Skills!I9,MAX(0,MAX(0,Inputs!$B$43-B1526)-((R1496-1)*IF(Inputs!$B$38="pvp",15,MAX(0.1,Skills!D9-IF(Skills!E9=TRUE,3.5,0))))))/Skills!H9,1)))/Inputs!$B$43),G1496*Q1496))*IF(Inputs!$B$38="pvp",1,1+(Inputs!$B$20+0+Skills!P9)/100),0)</f>
        <v/>
      </c>
      <c r="V1496">
        <f>IF(C1496,(H1496*N1496*IF(AND(Inputs!$B$38&lt;&gt;"pvp",Inputs!$B$43&gt;0),((Skills!G9*((R1496-1)*IF(Skills!H9&gt;0,Skills!I9/Skills!H9,1)+IF(Skills!H9&gt;0,MIN(Skills!I9,MAX(0,MAX(0,Inputs!$B$43-B1526)-((R1496-1)*IF(Inputs!$B$38="pvp",15,MAX(0.1,Skills!D9-IF(Skills!E9=TRUE,3.5,0))))))/Skills!H9,1)))/Inputs!$B$43),G1496*Q1496))*IF(Inputs!$B$38="pvp",1,(1+(Inputs!$B$21+Skills!Q9)/100)*(MIN(Skills!R9,Inputs!$B$37))),0)</f>
        <v/>
      </c>
    </row>
    <row r="1497">
      <c r="A1497">
        <f>Skills!A10</f>
        <v/>
      </c>
      <c r="B1497">
        <f>Skills!B10</f>
        <v/>
      </c>
      <c r="C1497">
        <f>Inputs!$B$3&gt;=107</f>
        <v/>
      </c>
      <c r="D1497">
        <f>IF(Skills!C10=1,60+Inputs!$B$25+Inputs!$B$29,IF(Skills!C10=2,90+Inputs!$B$26+Inputs!$B$29,IF(Skills!C10=3,120+Inputs!$B$27+Inputs!$B$29,MAX(0,(Inputs!$B$3-100)*3)+Inputs!$B$28+Inputs!$B$29)))</f>
        <v/>
      </c>
      <c r="E1497">
        <f>INDEX(FactorTable!$B$2:$Y$301, MATCH(ROUND(MIN(300,MAX(1,D1497)),0), FactorTable!$A$2:$A$301,0), Skills!M10+1)</f>
        <v/>
      </c>
      <c r="F1497">
        <f>IF(Skills!N10=TRUE,(Skills!L10/10)*(E1497/1000),Skills!L10/10)+Skills!O10</f>
        <v/>
      </c>
      <c r="G1497">
        <f>Skills!G10*IF(Skills!H10&gt;0,Skills!I10/Skills!H10,1)</f>
        <v/>
      </c>
      <c r="H1497">
        <f>1-(1-Skills!J10/100)^Skills!K10</f>
        <v/>
      </c>
      <c r="I1497" t="inlineStr">
        <is>
          <t>1</t>
        </is>
      </c>
      <c r="J1497">
        <f>((Inputs!$B$6*(1+Inputs!$B$7/100))+(((Inputs!$B$12*(1+Inputs!$B$13/100))-(Inputs!$B$12*(1+Inputs!$B$13/100)))+0.25*(Inputs!$B$14-Inputs!$B$14))*(1+Inputs!$B$7/100))*(F1497/100)</f>
        <v/>
      </c>
      <c r="K1497">
        <f>J1497*(1+((Inputs!$B$12*(1+Inputs!$B$13/100))*0.01+Inputs!$B$14*0.0025)/100)*(1+Inputs!$B$15/100)*(1+Inputs!$B$16/100)*(5000/(6000+Inputs!$B$42*(1-(Inputs!$B$19+0)/100)))*(1+(Inputs!$B$24+((C1511=TRUE)*(F1511-Calc!F24))+((C1512=TRUE)*(F1512-Calc!F25))+B1525)/100)*(1+(IF(Skills!A10="EMPOWERED_PIERCING_ARROW",Inputs!$B$17+((C1509=TRUE)*(F1509-Calc!F22)),Inputs!$B$18+((C1514=TRUE)*(F1514-Calc!F27))))/100)*((1+(((C1500=TRUE)*F1500)+((C1501=TRUE)*IF(Inputs!$B$38="pvp",F1501,(1-Summary!$B$55)*(F1501)+Summary!$B$55*(0)))+((C1502=TRUE)*F1502*IF(AND(Inputs!$B$38&lt;&gt;"pvp",Inputs!$B$43&gt;0),(((R1502-1)*(Skills!T15*(1+Inputs!$B$34/100))+MIN((Skills!T15*(1+Inputs!$B$34/100)),MAX(0,Inputs!$B$43-((R1502-1)*Skills!D15))))/Inputs!$B$43),IF(Inputs!$B$38="pvp",MIN((Skills!T15*(1+Inputs!$B$34/100)),15)/15,(Skills!T15*(1+Inputs!$B$34/100))/Skills!D15)))+((C1499=TRUE)*F1499)+((C1516=TRUE)*(F1516-Calc!F29)))/100)*I1497)</f>
        <v/>
      </c>
      <c r="L1497">
        <f>K1497*(MIN(Inputs!$B$22+((C1510=TRUE)*(F1510-Calc!F23)),Inputs!$B$23+((C1515=TRUE)*(F1515-Calc!F28)))/100+(Inputs!$B$23+((C1515=TRUE)*(F1515-Calc!F28)))/100)/2</f>
        <v/>
      </c>
      <c r="M1497">
        <f>L1497*(1+(Inputs!$B$10+0+B1524)/100)</f>
        <v/>
      </c>
      <c r="N1497">
        <f>L1497*(1-MIN((Inputs!$B$9+((C1506=TRUE)*(F1506-Calc!F19))+B1519),100)/100)+M1497*(MIN((Inputs!$B$9+((C1506=TRUE)*(F1506-Calc!F19))+B1519),100)/100)</f>
        <v/>
      </c>
      <c r="O1497">
        <f>(1-Summary!$B$55)*T1497+Summary!$B$55*V1497</f>
        <v/>
      </c>
      <c r="P1497">
        <f>IF(B1529=0,0,O1497/B1529)</f>
        <v/>
      </c>
      <c r="Q1497" t="n">
        <v>0</v>
      </c>
      <c r="R1497" t="n">
        <v>0</v>
      </c>
      <c r="S1497" t="n">
        <v>0</v>
      </c>
      <c r="T1497">
        <f>IF(C1497,(0.15*SUMPRODUCT((Skills!U2:U29=TRUE)*(C1489:C1516=TRUE)*S1489:S1516)*Skills!G10*N1497)*IF(Inputs!$B$38="pvp",1,1+(Inputs!$B$20+0+Skills!P10)/100),0)</f>
        <v/>
      </c>
      <c r="V1497">
        <f>IF(C1497,(0.15*SUMPRODUCT((Skills!U2:U29=TRUE)*(C1489:C1516=TRUE)*S1489:S1516)*Skills!G10*N1497)*IF(Inputs!$B$38="pvp",1,(1+(Inputs!$B$21+Skills!Q10)/100)*(MIN(Skills!R10,Inputs!$B$37))),0)</f>
        <v/>
      </c>
    </row>
    <row r="1498">
      <c r="A1498">
        <f>Skills!A11</f>
        <v/>
      </c>
      <c r="B1498">
        <f>Skills!B11</f>
        <v/>
      </c>
      <c r="C1498">
        <f>Inputs!$B$3&gt;=110</f>
        <v/>
      </c>
      <c r="D1498">
        <f>IF(Skills!C11=1,60+Inputs!$B$25+Inputs!$B$29,IF(Skills!C11=2,90+Inputs!$B$26+Inputs!$B$29,IF(Skills!C11=3,120+Inputs!$B$27+Inputs!$B$29,MAX(0,(Inputs!$B$3-100)*3)+Inputs!$B$28+Inputs!$B$29)))</f>
        <v/>
      </c>
      <c r="E1498">
        <f>INDEX(FactorTable!$B$2:$Y$301, MATCH(ROUND(MIN(300,MAX(1,D1498)),0), FactorTable!$A$2:$A$301,0), Skills!M11+1)</f>
        <v/>
      </c>
      <c r="F1498">
        <f>IF(Skills!N11=TRUE,(Skills!L11/10)*(E1498/1000),Skills!L11/10)+Skills!O11</f>
        <v/>
      </c>
      <c r="G1498">
        <f>Skills!G11*IF(Skills!H11&gt;0,Skills!I11/Skills!H11,1)</f>
        <v/>
      </c>
      <c r="H1498">
        <f>1-(1-Skills!J11/100)^Skills!K11</f>
        <v/>
      </c>
      <c r="I1498" t="inlineStr">
        <is>
          <t>1</t>
        </is>
      </c>
      <c r="J1498">
        <f>((Inputs!$B$6*(1+Inputs!$B$7/100))+(((Inputs!$B$12*(1+Inputs!$B$13/100))-(Inputs!$B$12*(1+Inputs!$B$13/100)))+0.25*(Inputs!$B$14-Inputs!$B$14))*(1+Inputs!$B$7/100))*(F1498/100)</f>
        <v/>
      </c>
      <c r="K1498">
        <f>J1498*(1+((Inputs!$B$12*(1+Inputs!$B$13/100))*0.01+Inputs!$B$14*0.0025)/100)*(1+Inputs!$B$15/100)*(1+Inputs!$B$16/100)*(5000/(6000+Inputs!$B$42*(1-(Inputs!$B$19+0)/100)))*(1+(Inputs!$B$24+((C1511=TRUE)*(F1511-Calc!F24))+((C1512=TRUE)*(F1512-Calc!F25))+B1525)/100)*(1+(IF(Skills!A11="EMPOWERED_PIERCING_ARROW",Inputs!$B$17+((C1509=TRUE)*(F1509-Calc!F22)),Inputs!$B$18+((C1514=TRUE)*(F1514-Calc!F27))))/100)*((1+(((C1500=TRUE)*F1500)+((C1501=TRUE)*IF(Inputs!$B$38="pvp",F1501,(1-Summary!$B$55)*(F1501)+Summary!$B$55*(0)))+((C1502=TRUE)*F1502*IF(AND(Inputs!$B$38&lt;&gt;"pvp",Inputs!$B$43&gt;0),(((R1502-1)*(Skills!T15*(1+Inputs!$B$34/100))+MIN((Skills!T15*(1+Inputs!$B$34/100)),MAX(0,Inputs!$B$43-((R1502-1)*Skills!D15))))/Inputs!$B$43),IF(Inputs!$B$38="pvp",MIN((Skills!T15*(1+Inputs!$B$34/100)),15)/15,(Skills!T15*(1+Inputs!$B$34/100))/Skills!D15)))+((C1499=TRUE)*F1499)+((C1516=TRUE)*(F1516-Calc!F29)))/100)*I1498)</f>
        <v/>
      </c>
      <c r="L1498">
        <f>K1498*(MIN(Inputs!$B$22+((C1510=TRUE)*(F1510-Calc!F23)),Inputs!$B$23+((C1515=TRUE)*(F1515-Calc!F28)))/100+(Inputs!$B$23+((C1515=TRUE)*(F1515-Calc!F28)))/100)/2</f>
        <v/>
      </c>
      <c r="M1498">
        <f>L1498*(1+(Inputs!$B$10+0+B1524)/100)</f>
        <v/>
      </c>
      <c r="N1498">
        <f>L1498*(1-MIN((Inputs!$B$9+((C1506=TRUE)*(F1506-Calc!F19))+B1519),100)/100)+M1498*(MIN((Inputs!$B$9+((C1506=TRUE)*(F1506-Calc!F19))+B1519),100)/100)</f>
        <v/>
      </c>
      <c r="O1498">
        <f>(1-Summary!$B$55)*T1498+Summary!$B$55*V1498</f>
        <v/>
      </c>
      <c r="P1498">
        <f>IF(B1529=0,0,O1498/B1529)</f>
        <v/>
      </c>
      <c r="Q1498">
        <f>IFERROR(1/IF(Inputs!$B$38="pvp",15,MAX(0.1,Skills!D11-IF(Skills!E11=TRUE,3.5,0))),0)</f>
        <v/>
      </c>
      <c r="R1498">
        <f>IF(AND(Inputs!$B$38&lt;&gt;"pvp",Inputs!$B$43&gt;0),IF(MAX(0,Inputs!$B$43-B1526)&lt;=0,0,(INT(MAX(0,Inputs!$B$43-B1526)/IF(Inputs!$B$38="pvp",15,MAX(0.1,Skills!D11-IF(Skills!E11=TRUE,3.5,0))))+1)),0)</f>
        <v/>
      </c>
      <c r="S1498">
        <f>IFERROR((H1498*N1498*IF(AND(Inputs!$B$38&lt;&gt;"pvp",Inputs!$B$43&gt;0),((Skills!G11*((R1498-1)*IF(Skills!H11&gt;0,Skills!I11/Skills!H11,1)+IF(Skills!H11&gt;0,MIN(Skills!I11,MAX(0,MAX(0,Inputs!$B$43-B1526)-((R1498-1)*IF(Inputs!$B$38="pvp",15,MAX(0.1,Skills!D11-IF(Skills!E11=TRUE,3.5,0))))))/Skills!H11,1)))/Inputs!$B$43),G1498*Q1498))/N1498*IF(Inputs!$B$38="pvp",1,(1-Summary!$B$55)*1+Summary!$B$55*(MIN(Skills!R11,Inputs!$B$37))),0)</f>
        <v/>
      </c>
      <c r="T1498">
        <f>IF(C1498,(H1498*N1498*IF(AND(Inputs!$B$38&lt;&gt;"pvp",Inputs!$B$43&gt;0),((Skills!G11*((R1498-1)*IF(Skills!H11&gt;0,Skills!I11/Skills!H11,1)+IF(Skills!H11&gt;0,MIN(Skills!I11,MAX(0,MAX(0,Inputs!$B$43-B1526)-((R1498-1)*IF(Inputs!$B$38="pvp",15,MAX(0.1,Skills!D11-IF(Skills!E11=TRUE,3.5,0))))))/Skills!H11,1)))/Inputs!$B$43),G1498*Q1498))*IF(Inputs!$B$38="pvp",1,1+(Inputs!$B$20+0+Skills!P11)/100),0)</f>
        <v/>
      </c>
      <c r="V1498">
        <f>IF(C1498,(H1498*N1498*IF(AND(Inputs!$B$38&lt;&gt;"pvp",Inputs!$B$43&gt;0),((Skills!G11*((R1498-1)*IF(Skills!H11&gt;0,Skills!I11/Skills!H11,1)+IF(Skills!H11&gt;0,MIN(Skills!I11,MAX(0,MAX(0,Inputs!$B$43-B1526)-((R1498-1)*IF(Inputs!$B$38="pvp",15,MAX(0.1,Skills!D11-IF(Skills!E11=TRUE,3.5,0))))))/Skills!H11,1)))/Inputs!$B$43),G1498*Q1498))*IF(Inputs!$B$38="pvp",1,(1+(Inputs!$B$21+Skills!Q11)/100)*(MIN(Skills!R11,Inputs!$B$37))),0)</f>
        <v/>
      </c>
    </row>
    <row r="1499">
      <c r="A1499">
        <f>Skills!A12</f>
        <v/>
      </c>
      <c r="B1499">
        <f>Skills!B12</f>
        <v/>
      </c>
      <c r="C1499">
        <f>Inputs!$B$3&gt;=60</f>
        <v/>
      </c>
      <c r="D1499">
        <f>IF(Skills!C12=1,60+Inputs!$B$25+Inputs!$B$29,IF(Skills!C12=2,90+Inputs!$B$26+Inputs!$B$29,IF(Skills!C12=3,120+Inputs!$B$27+Inputs!$B$29,MAX(0,(Inputs!$B$3-100)*3)+Inputs!$B$28+Inputs!$B$29)))</f>
        <v/>
      </c>
      <c r="E1499">
        <f>INDEX(FactorTable!$B$2:$Y$301, MATCH(ROUND(MIN(300,MAX(1,D1499)),0), FactorTable!$A$2:$A$301,0), Skills!M12+1)</f>
        <v/>
      </c>
      <c r="F1499">
        <f>IF(Skills!N12=TRUE,(Skills!L12/10)*(E1499/1000),Skills!L12/10)+Skills!O12</f>
        <v/>
      </c>
      <c r="G1499">
        <f>Skills!G12*IF(Skills!H12&gt;0,Skills!I12/Skills!H12,1)</f>
        <v/>
      </c>
      <c r="H1499">
        <f>1-(1-Skills!J12/100)^Skills!K12</f>
        <v/>
      </c>
      <c r="I1499" t="inlineStr">
        <is>
          <t>1</t>
        </is>
      </c>
      <c r="J1499" t="inlineStr"/>
      <c r="K1499" t="inlineStr"/>
      <c r="L1499" t="inlineStr"/>
      <c r="M1499" t="inlineStr"/>
      <c r="N1499" t="inlineStr"/>
      <c r="O1499">
        <f>(1-Summary!$B$55)*T1499+Summary!$B$55*V1499</f>
        <v/>
      </c>
      <c r="P1499">
        <f>IF(B1529=0,0,O1499/B1529)</f>
        <v/>
      </c>
      <c r="Q1499" t="n">
        <v>0</v>
      </c>
      <c r="R1499" t="n">
        <v>0</v>
      </c>
      <c r="S1499" t="n">
        <v>0</v>
      </c>
      <c r="T1499" t="n">
        <v>0</v>
      </c>
      <c r="V1499" t="n">
        <v>0</v>
      </c>
    </row>
    <row r="1500">
      <c r="A1500">
        <f>Skills!A13</f>
        <v/>
      </c>
      <c r="B1500">
        <f>Skills!B13</f>
        <v/>
      </c>
      <c r="C1500">
        <f>Inputs!$B$3&gt;=74</f>
        <v/>
      </c>
      <c r="D1500">
        <f>IF(Skills!C13=1,60+Inputs!$B$25+Inputs!$B$29,IF(Skills!C13=2,90+Inputs!$B$26+Inputs!$B$29,IF(Skills!C13=3,120+Inputs!$B$27+Inputs!$B$29,MAX(0,(Inputs!$B$3-100)*3)+Inputs!$B$28+Inputs!$B$29)))</f>
        <v/>
      </c>
      <c r="E1500">
        <f>INDEX(FactorTable!$B$2:$Y$301, MATCH(ROUND(MIN(300,MAX(1,D1500)),0), FactorTable!$A$2:$A$301,0), Skills!M13+1)</f>
        <v/>
      </c>
      <c r="F1500">
        <f>IF(Skills!N13=TRUE,(Skills!L13/10)*(E1500/1000),Skills!L13/10)+Skills!O13</f>
        <v/>
      </c>
      <c r="G1500">
        <f>Skills!G13*IF(Skills!H13&gt;0,Skills!I13/Skills!H13,1)</f>
        <v/>
      </c>
      <c r="H1500">
        <f>1-(1-Skills!J13/100)^Skills!K13</f>
        <v/>
      </c>
      <c r="I1500" t="inlineStr">
        <is>
          <t>1</t>
        </is>
      </c>
      <c r="J1500" t="inlineStr"/>
      <c r="K1500" t="inlineStr"/>
      <c r="L1500" t="inlineStr"/>
      <c r="M1500" t="inlineStr"/>
      <c r="N1500" t="inlineStr"/>
      <c r="O1500">
        <f>(1-Summary!$B$55)*T1500+Summary!$B$55*V1500</f>
        <v/>
      </c>
      <c r="P1500">
        <f>IF(B1529=0,0,O1500/B1529)</f>
        <v/>
      </c>
      <c r="Q1500" t="n">
        <v>0</v>
      </c>
      <c r="R1500" t="n">
        <v>0</v>
      </c>
      <c r="S1500" t="n">
        <v>0</v>
      </c>
      <c r="T1500" t="n">
        <v>0</v>
      </c>
      <c r="V1500" t="n">
        <v>0</v>
      </c>
    </row>
    <row r="1501">
      <c r="A1501">
        <f>Skills!A14</f>
        <v/>
      </c>
      <c r="B1501">
        <f>Skills!B14</f>
        <v/>
      </c>
      <c r="C1501">
        <f>Inputs!$B$3&gt;=74</f>
        <v/>
      </c>
      <c r="D1501">
        <f>IF(Skills!C14=1,60+Inputs!$B$25+Inputs!$B$29,IF(Skills!C14=2,90+Inputs!$B$26+Inputs!$B$29,IF(Skills!C14=3,120+Inputs!$B$27+Inputs!$B$29,MAX(0,(Inputs!$B$3-100)*3)+Inputs!$B$28+Inputs!$B$29)))</f>
        <v/>
      </c>
      <c r="E1501">
        <f>INDEX(FactorTable!$B$2:$Y$301, MATCH(ROUND(MIN(300,MAX(1,D1501)),0), FactorTable!$A$2:$A$301,0), Skills!M14+1)</f>
        <v/>
      </c>
      <c r="F1501">
        <f>IF(Skills!N14=TRUE,(Skills!L14/10)*(E1501/1000),Skills!L14/10)+Skills!O14</f>
        <v/>
      </c>
      <c r="G1501">
        <f>Skills!G14*IF(Skills!H14&gt;0,Skills!I14/Skills!H14,1)</f>
        <v/>
      </c>
      <c r="H1501">
        <f>1-(1-Skills!J14/100)^Skills!K14</f>
        <v/>
      </c>
      <c r="I1501" t="inlineStr">
        <is>
          <t>1</t>
        </is>
      </c>
      <c r="J1501" t="inlineStr"/>
      <c r="K1501" t="inlineStr"/>
      <c r="L1501" t="inlineStr"/>
      <c r="M1501" t="inlineStr"/>
      <c r="N1501" t="inlineStr"/>
      <c r="O1501">
        <f>(1-Summary!$B$55)*T1501+Summary!$B$55*V1501</f>
        <v/>
      </c>
      <c r="P1501">
        <f>IF(B1529=0,0,O1501/B1529)</f>
        <v/>
      </c>
      <c r="Q1501" t="n">
        <v>0</v>
      </c>
      <c r="R1501" t="n">
        <v>0</v>
      </c>
      <c r="S1501" t="n">
        <v>0</v>
      </c>
      <c r="T1501" t="n">
        <v>0</v>
      </c>
      <c r="V1501" t="n">
        <v>0</v>
      </c>
    </row>
    <row r="1502">
      <c r="A1502">
        <f>Skills!A15</f>
        <v/>
      </c>
      <c r="B1502">
        <f>Skills!B15</f>
        <v/>
      </c>
      <c r="C1502">
        <f>Inputs!$B$3&gt;=117</f>
        <v/>
      </c>
      <c r="D1502">
        <f>IF(Skills!C15=1,60+Inputs!$B$25+Inputs!$B$29,IF(Skills!C15=2,90+Inputs!$B$26+Inputs!$B$29,IF(Skills!C15=3,120+Inputs!$B$27+Inputs!$B$29,MAX(0,(Inputs!$B$3-100)*3)+Inputs!$B$28+Inputs!$B$29)))</f>
        <v/>
      </c>
      <c r="E1502">
        <f>INDEX(FactorTable!$B$2:$Y$301, MATCH(ROUND(MIN(300,MAX(1,D1502)),0), FactorTable!$A$2:$A$301,0), Skills!M15+1)</f>
        <v/>
      </c>
      <c r="F1502">
        <f>IF(Skills!N15=TRUE,(Skills!L15/10)*(E1502/1000),Skills!L15/10)+Skills!O15</f>
        <v/>
      </c>
      <c r="G1502">
        <f>Skills!G15*IF(Skills!H15&gt;0,Skills!I15/Skills!H15,1)</f>
        <v/>
      </c>
      <c r="H1502">
        <f>1-(1-Skills!J15/100)^Skills!K15</f>
        <v/>
      </c>
      <c r="I1502" t="inlineStr">
        <is>
          <t>1</t>
        </is>
      </c>
      <c r="J1502" t="inlineStr"/>
      <c r="K1502" t="inlineStr"/>
      <c r="L1502" t="inlineStr"/>
      <c r="M1502" t="inlineStr"/>
      <c r="N1502" t="inlineStr"/>
      <c r="O1502">
        <f>(1-Summary!$B$55)*T1502+Summary!$B$55*V1502</f>
        <v/>
      </c>
      <c r="P1502">
        <f>IF(B1529=0,0,O1502/B1529)</f>
        <v/>
      </c>
      <c r="Q1502">
        <f>IFERROR(1/IF(Inputs!$B$38="pvp",15,MAX(0.1,Skills!D15-IF(Skills!E15=TRUE,3.5,0))),0)</f>
        <v/>
      </c>
      <c r="R1502">
        <f>IF(AND(Inputs!$B$38&lt;&gt;"pvp",Inputs!$B$43&gt;0),IF(Inputs!$B$43&lt;=0,0,(INT(Inputs!$B$43/IF(Inputs!$B$38="pvp",15,MAX(0.1,Skills!D15-IF(Skills!E15=TRUE,3.5,0))))+1)),0)</f>
        <v/>
      </c>
      <c r="S1502" t="n">
        <v>0</v>
      </c>
      <c r="T1502" t="n">
        <v>0</v>
      </c>
      <c r="V1502" t="n">
        <v>0</v>
      </c>
    </row>
    <row r="1503">
      <c r="A1503">
        <f>Skills!A16</f>
        <v/>
      </c>
      <c r="B1503">
        <f>Skills!B16</f>
        <v/>
      </c>
      <c r="C1503">
        <f>Inputs!$B$3&gt;=115</f>
        <v/>
      </c>
      <c r="D1503">
        <f>IF(Skills!C16=1,60+Inputs!$B$25+Inputs!$B$29,IF(Skills!C16=2,90+Inputs!$B$26+Inputs!$B$29,IF(Skills!C16=3,120+Inputs!$B$27+Inputs!$B$29,MAX(0,(Inputs!$B$3-100)*3)+Inputs!$B$28+Inputs!$B$29)))</f>
        <v/>
      </c>
      <c r="E1503">
        <f>INDEX(FactorTable!$B$2:$Y$301, MATCH(ROUND(MIN(300,MAX(1,D1503)),0), FactorTable!$A$2:$A$301,0), Skills!M16+1)</f>
        <v/>
      </c>
      <c r="F1503">
        <f>IF(Skills!N16=TRUE,(Skills!L16/10)*(E1503/1000),Skills!L16/10)+Skills!O16</f>
        <v/>
      </c>
      <c r="G1503">
        <f>Skills!G16*IF(Skills!H16&gt;0,Skills!I16/Skills!H16,1)</f>
        <v/>
      </c>
      <c r="H1503">
        <f>1-(1-Skills!J16/100)^Skills!K16</f>
        <v/>
      </c>
      <c r="I1503" t="inlineStr">
        <is>
          <t>1</t>
        </is>
      </c>
      <c r="J1503" t="inlineStr"/>
      <c r="K1503" t="inlineStr"/>
      <c r="L1503" t="inlineStr"/>
      <c r="M1503" t="inlineStr"/>
      <c r="N1503" t="inlineStr"/>
      <c r="O1503">
        <f>(1-Summary!$B$55)*T1503+Summary!$B$55*V1503</f>
        <v/>
      </c>
      <c r="P1503">
        <f>IF(B1529=0,0,O1503/B1529)</f>
        <v/>
      </c>
      <c r="Q1503">
        <f>IFERROR(1/IF(Inputs!$B$38="pvp",15,MAX(0.1,Skills!D16-IF(Skills!E16=TRUE,3.5,0))),0)</f>
        <v/>
      </c>
      <c r="R1503">
        <f>IF(AND(Inputs!$B$38&lt;&gt;"pvp",Inputs!$B$43&gt;0),IF(Inputs!$B$43&lt;=0,0,(INT(Inputs!$B$43/IF(Inputs!$B$38="pvp",15,MAX(0.1,Skills!D16-IF(Skills!E16=TRUE,3.5,0))))+1)),0)</f>
        <v/>
      </c>
      <c r="S1503" t="n">
        <v>0</v>
      </c>
      <c r="T1503" t="n">
        <v>0</v>
      </c>
      <c r="V1503" t="n">
        <v>0</v>
      </c>
    </row>
    <row r="1504">
      <c r="A1504">
        <f>Skills!A17</f>
        <v/>
      </c>
      <c r="B1504">
        <f>Skills!B17</f>
        <v/>
      </c>
      <c r="C1504">
        <f>Inputs!$B$3&gt;=72</f>
        <v/>
      </c>
      <c r="D1504">
        <f>IF(Skills!C17=1,60+Inputs!$B$25+Inputs!$B$29,IF(Skills!C17=2,90+Inputs!$B$26+Inputs!$B$29,IF(Skills!C17=3,120+Inputs!$B$27+Inputs!$B$29,MAX(0,(Inputs!$B$3-100)*3)+Inputs!$B$28+Inputs!$B$29)))</f>
        <v/>
      </c>
      <c r="E1504">
        <f>INDEX(FactorTable!$B$2:$Y$301, MATCH(ROUND(MIN(300,MAX(1,D1504)),0), FactorTable!$A$2:$A$301,0), Skills!M17+1)</f>
        <v/>
      </c>
      <c r="F1504">
        <f>IF(Skills!N17=TRUE,(Skills!L17/10)*(E1504/1000),Skills!L17/10)+Skills!O17</f>
        <v/>
      </c>
      <c r="G1504">
        <f>Skills!G17*IF(Skills!H17&gt;0,Skills!I17/Skills!H17,1)</f>
        <v/>
      </c>
      <c r="H1504">
        <f>1-(1-Skills!J17/100)^Skills!K17</f>
        <v/>
      </c>
      <c r="I1504" t="inlineStr">
        <is>
          <t>1</t>
        </is>
      </c>
      <c r="J1504" t="inlineStr"/>
      <c r="K1504" t="inlineStr"/>
      <c r="L1504" t="inlineStr"/>
      <c r="M1504" t="inlineStr"/>
      <c r="N1504" t="inlineStr"/>
      <c r="O1504">
        <f>(1-Summary!$B$55)*T1504+Summary!$B$55*V1504</f>
        <v/>
      </c>
      <c r="P1504">
        <f>IF(B1529=0,0,O1504/B1529)</f>
        <v/>
      </c>
      <c r="Q1504" t="n">
        <v>0</v>
      </c>
      <c r="R1504" t="n">
        <v>0</v>
      </c>
      <c r="S1504" t="n">
        <v>0</v>
      </c>
      <c r="T1504" t="n">
        <v>0</v>
      </c>
      <c r="V1504" t="n">
        <v>0</v>
      </c>
    </row>
    <row r="1505">
      <c r="A1505">
        <f>Skills!A18</f>
        <v/>
      </c>
      <c r="B1505">
        <f>Skills!B18</f>
        <v/>
      </c>
      <c r="C1505">
        <f>TRUE</f>
        <v/>
      </c>
      <c r="D1505">
        <f>IF(Skills!C18=1,60+Inputs!$B$25+Inputs!$B$29,IF(Skills!C18=2,90+Inputs!$B$26+Inputs!$B$29,IF(Skills!C18=3,120+Inputs!$B$27+Inputs!$B$29,MAX(0,(Inputs!$B$3-100)*3)+Inputs!$B$28+Inputs!$B$29)))</f>
        <v/>
      </c>
      <c r="E1505">
        <f>INDEX(FactorTable!$B$2:$Y$301, MATCH(ROUND(MIN(300,MAX(1,D1505)),0), FactorTable!$A$2:$A$301,0), Skills!M18+1)</f>
        <v/>
      </c>
      <c r="F1505">
        <f>IF(Skills!N18=TRUE,(Skills!L18/10)*(E1505/1000),Skills!L18/10)+Skills!O18</f>
        <v/>
      </c>
      <c r="G1505">
        <f>Skills!G18*IF(Skills!H18&gt;0,Skills!I18/Skills!H18,1)</f>
        <v/>
      </c>
      <c r="H1505">
        <f>1-(1-Skills!J18/100)^Skills!K18</f>
        <v/>
      </c>
      <c r="I1505" t="inlineStr">
        <is>
          <t>1</t>
        </is>
      </c>
      <c r="J1505" t="inlineStr"/>
      <c r="K1505" t="inlineStr"/>
      <c r="L1505" t="inlineStr"/>
      <c r="M1505" t="inlineStr"/>
      <c r="N1505" t="inlineStr"/>
      <c r="O1505">
        <f>(1-Summary!$B$55)*T1505+Summary!$B$55*V1505</f>
        <v/>
      </c>
      <c r="P1505">
        <f>IF(B1529=0,0,O1505/B1529)</f>
        <v/>
      </c>
      <c r="Q1505">
        <f>IFERROR(1/IF(Inputs!$B$38="pvp",15,MAX(0.1,Skills!D18-IF(Skills!E18=TRUE,3.5,0))),0)</f>
        <v/>
      </c>
      <c r="R1505">
        <f>IF(AND(Inputs!$B$38&lt;&gt;"pvp",Inputs!$B$43&gt;0),IF(Inputs!$B$43&lt;=0,0,(INT(Inputs!$B$43/IF(Inputs!$B$38="pvp",15,MAX(0.1,Skills!D18-IF(Skills!E18=TRUE,3.5,0))))+1)),0)</f>
        <v/>
      </c>
      <c r="S1505" t="n">
        <v>0</v>
      </c>
      <c r="T1505" t="n">
        <v>0</v>
      </c>
      <c r="V1505" t="n">
        <v>0</v>
      </c>
    </row>
    <row r="1506">
      <c r="A1506">
        <f>Skills!A19</f>
        <v/>
      </c>
      <c r="B1506">
        <f>Skills!B19</f>
        <v/>
      </c>
      <c r="C1506">
        <f>Inputs!$B$3&gt;=15</f>
        <v/>
      </c>
      <c r="D1506">
        <f>IF(Skills!C19=1,60+Inputs!$B$25+Inputs!$B$29,IF(Skills!C19=2,90+Inputs!$B$26+Inputs!$B$29,IF(Skills!C19=3,120+Inputs!$B$27+Inputs!$B$29,MAX(0,(Inputs!$B$3-100)*3)+Inputs!$B$28+Inputs!$B$29)))</f>
        <v/>
      </c>
      <c r="E1506">
        <f>INDEX(FactorTable!$B$2:$Y$301, MATCH(ROUND(MIN(300,MAX(1,D1506)),0), FactorTable!$A$2:$A$301,0), Skills!M19+1)</f>
        <v/>
      </c>
      <c r="F1506">
        <f>IF(Skills!N19=TRUE,(Skills!L19/10)*(E1506/1000),Skills!L19/10)+Skills!O19</f>
        <v/>
      </c>
      <c r="G1506">
        <f>Skills!G19*IF(Skills!H19&gt;0,Skills!I19/Skills!H19,1)</f>
        <v/>
      </c>
      <c r="H1506">
        <f>1-(1-Skills!J19/100)^Skills!K19</f>
        <v/>
      </c>
      <c r="I1506" t="inlineStr">
        <is>
          <t>1</t>
        </is>
      </c>
      <c r="J1506" t="inlineStr"/>
      <c r="K1506" t="inlineStr"/>
      <c r="L1506" t="inlineStr"/>
      <c r="M1506" t="inlineStr"/>
      <c r="N1506" t="inlineStr"/>
      <c r="O1506">
        <f>(1-Summary!$B$55)*T1506+Summary!$B$55*V1506</f>
        <v/>
      </c>
      <c r="P1506">
        <f>IF(B1529=0,0,O1506/B1529)</f>
        <v/>
      </c>
      <c r="Q1506" t="n">
        <v>0</v>
      </c>
      <c r="R1506" t="n">
        <v>0</v>
      </c>
      <c r="S1506" t="n">
        <v>0</v>
      </c>
      <c r="T1506" t="n">
        <v>0</v>
      </c>
      <c r="V1506" t="n">
        <v>0</v>
      </c>
    </row>
    <row r="1507">
      <c r="A1507">
        <f>Skills!A20</f>
        <v/>
      </c>
      <c r="B1507">
        <f>Skills!B20</f>
        <v/>
      </c>
      <c r="C1507">
        <f>Inputs!$B$3&gt;=10</f>
        <v/>
      </c>
      <c r="D1507">
        <f>IF(Skills!C20=1,60+Inputs!$B$25+Inputs!$B$29,IF(Skills!C20=2,90+Inputs!$B$26+Inputs!$B$29,IF(Skills!C20=3,120+Inputs!$B$27+Inputs!$B$29,MAX(0,(Inputs!$B$3-100)*3)+Inputs!$B$28+Inputs!$B$29)))</f>
        <v/>
      </c>
      <c r="E1507">
        <f>INDEX(FactorTable!$B$2:$Y$301, MATCH(ROUND(MIN(300,MAX(1,D1507)),0), FactorTable!$A$2:$A$301,0), Skills!M20+1)</f>
        <v/>
      </c>
      <c r="F1507">
        <f>IF(Skills!N20=TRUE,(Skills!L20/10)*(E1507/1000),Skills!L20/10)+Skills!O20</f>
        <v/>
      </c>
      <c r="G1507">
        <f>Skills!G20*IF(Skills!H20&gt;0,Skills!I20/Skills!H20,1)</f>
        <v/>
      </c>
      <c r="H1507">
        <f>1-(1-Skills!J20/100)^Skills!K20</f>
        <v/>
      </c>
      <c r="I1507" t="inlineStr">
        <is>
          <t>1</t>
        </is>
      </c>
      <c r="J1507" t="inlineStr"/>
      <c r="K1507" t="inlineStr"/>
      <c r="L1507" t="inlineStr"/>
      <c r="M1507" t="inlineStr"/>
      <c r="N1507" t="inlineStr"/>
      <c r="O1507">
        <f>(1-Summary!$B$55)*T1507+Summary!$B$55*V1507</f>
        <v/>
      </c>
      <c r="P1507">
        <f>IF(B1529=0,0,O1507/B1529)</f>
        <v/>
      </c>
      <c r="Q1507" t="n">
        <v>0</v>
      </c>
      <c r="R1507" t="n">
        <v>0</v>
      </c>
      <c r="S1507" t="n">
        <v>0</v>
      </c>
      <c r="T1507" t="n">
        <v>0</v>
      </c>
      <c r="V1507" t="n">
        <v>0</v>
      </c>
    </row>
    <row r="1508">
      <c r="A1508">
        <f>Skills!A21</f>
        <v/>
      </c>
      <c r="B1508">
        <f>Skills!B21</f>
        <v/>
      </c>
      <c r="C1508">
        <f>Inputs!$B$3&gt;=33</f>
        <v/>
      </c>
      <c r="D1508">
        <f>IF(Skills!C21=1,60+Inputs!$B$25+Inputs!$B$29,IF(Skills!C21=2,90+Inputs!$B$26+Inputs!$B$29,IF(Skills!C21=3,120+Inputs!$B$27+Inputs!$B$29,MAX(0,(Inputs!$B$3-100)*3)+Inputs!$B$28+Inputs!$B$29)))</f>
        <v/>
      </c>
      <c r="E1508">
        <f>INDEX(FactorTable!$B$2:$Y$301, MATCH(ROUND(MIN(300,MAX(1,D1508)),0), FactorTable!$A$2:$A$301,0), Skills!M21+1)</f>
        <v/>
      </c>
      <c r="F1508">
        <f>IF(Skills!N21=TRUE,(Skills!L21/10)*(E1508/1000),Skills!L21/10)+Skills!O21</f>
        <v/>
      </c>
      <c r="G1508">
        <f>Skills!G21*IF(Skills!H21&gt;0,Skills!I21/Skills!H21,1)</f>
        <v/>
      </c>
      <c r="H1508">
        <f>1-(1-Skills!J21/100)^Skills!K21</f>
        <v/>
      </c>
      <c r="I1508" t="inlineStr">
        <is>
          <t>1</t>
        </is>
      </c>
      <c r="J1508" t="inlineStr"/>
      <c r="K1508" t="inlineStr"/>
      <c r="L1508" t="inlineStr"/>
      <c r="M1508" t="inlineStr"/>
      <c r="N1508" t="inlineStr"/>
      <c r="O1508">
        <f>(1-Summary!$B$55)*T1508+Summary!$B$55*V1508</f>
        <v/>
      </c>
      <c r="P1508">
        <f>IF(B1529=0,0,O1508/B1529)</f>
        <v/>
      </c>
      <c r="Q1508" t="n">
        <v>0</v>
      </c>
      <c r="R1508" t="n">
        <v>0</v>
      </c>
      <c r="S1508" t="n">
        <v>0</v>
      </c>
      <c r="T1508" t="n">
        <v>0</v>
      </c>
      <c r="V1508" t="n">
        <v>0</v>
      </c>
    </row>
    <row r="1509">
      <c r="A1509">
        <f>Skills!A22</f>
        <v/>
      </c>
      <c r="B1509">
        <f>Skills!B22</f>
        <v/>
      </c>
      <c r="C1509">
        <f>Inputs!$B$3&gt;=38</f>
        <v/>
      </c>
      <c r="D1509">
        <f>IF(Skills!C22=1,60+Inputs!$B$25+Inputs!$B$29,IF(Skills!C22=2,90+Inputs!$B$26+Inputs!$B$29,IF(Skills!C22=3,120+Inputs!$B$27+Inputs!$B$29,MAX(0,(Inputs!$B$3-100)*3)+Inputs!$B$28+Inputs!$B$29)))</f>
        <v/>
      </c>
      <c r="E1509">
        <f>INDEX(FactorTable!$B$2:$Y$301, MATCH(ROUND(MIN(300,MAX(1,D1509)),0), FactorTable!$A$2:$A$301,0), Skills!M22+1)</f>
        <v/>
      </c>
      <c r="F1509">
        <f>IF(Skills!N22=TRUE,(Skills!L22/10)*(E1509/1000),Skills!L22/10)+Skills!O22</f>
        <v/>
      </c>
      <c r="G1509">
        <f>Skills!G22*IF(Skills!H22&gt;0,Skills!I22/Skills!H22,1)</f>
        <v/>
      </c>
      <c r="H1509">
        <f>1-(1-Skills!J22/100)^Skills!K22</f>
        <v/>
      </c>
      <c r="I1509" t="inlineStr">
        <is>
          <t>1</t>
        </is>
      </c>
      <c r="J1509" t="inlineStr"/>
      <c r="K1509" t="inlineStr"/>
      <c r="L1509" t="inlineStr"/>
      <c r="M1509" t="inlineStr"/>
      <c r="N1509" t="inlineStr"/>
      <c r="O1509">
        <f>(1-Summary!$B$55)*T1509+Summary!$B$55*V1509</f>
        <v/>
      </c>
      <c r="P1509">
        <f>IF(B1529=0,0,O1509/B1529)</f>
        <v/>
      </c>
      <c r="Q1509" t="n">
        <v>0</v>
      </c>
      <c r="R1509" t="n">
        <v>0</v>
      </c>
      <c r="S1509" t="n">
        <v>0</v>
      </c>
      <c r="T1509" t="n">
        <v>0</v>
      </c>
      <c r="V1509" t="n">
        <v>0</v>
      </c>
    </row>
    <row r="1510">
      <c r="A1510">
        <f>Skills!A23</f>
        <v/>
      </c>
      <c r="B1510">
        <f>Skills!B23</f>
        <v/>
      </c>
      <c r="C1510">
        <f>Inputs!$B$3&gt;=43</f>
        <v/>
      </c>
      <c r="D1510">
        <f>IF(Skills!C23=1,60+Inputs!$B$25+Inputs!$B$29,IF(Skills!C23=2,90+Inputs!$B$26+Inputs!$B$29,IF(Skills!C23=3,120+Inputs!$B$27+Inputs!$B$29,MAX(0,(Inputs!$B$3-100)*3)+Inputs!$B$28+Inputs!$B$29)))</f>
        <v/>
      </c>
      <c r="E1510">
        <f>INDEX(FactorTable!$B$2:$Y$301, MATCH(ROUND(MIN(300,MAX(1,D1510)),0), FactorTable!$A$2:$A$301,0), Skills!M23+1)</f>
        <v/>
      </c>
      <c r="F1510">
        <f>IF(Skills!N23=TRUE,(Skills!L23/10)*(E1510/1000),Skills!L23/10)+Skills!O23</f>
        <v/>
      </c>
      <c r="G1510">
        <f>Skills!G23*IF(Skills!H23&gt;0,Skills!I23/Skills!H23,1)</f>
        <v/>
      </c>
      <c r="H1510">
        <f>1-(1-Skills!J23/100)^Skills!K23</f>
        <v/>
      </c>
      <c r="I1510" t="inlineStr">
        <is>
          <t>1</t>
        </is>
      </c>
      <c r="J1510" t="inlineStr"/>
      <c r="K1510" t="inlineStr"/>
      <c r="L1510" t="inlineStr"/>
      <c r="M1510" t="inlineStr"/>
      <c r="N1510" t="inlineStr"/>
      <c r="O1510">
        <f>(1-Summary!$B$55)*T1510+Summary!$B$55*V1510</f>
        <v/>
      </c>
      <c r="P1510">
        <f>IF(B1529=0,0,O1510/B1529)</f>
        <v/>
      </c>
      <c r="Q1510" t="n">
        <v>0</v>
      </c>
      <c r="R1510" t="n">
        <v>0</v>
      </c>
      <c r="S1510" t="n">
        <v>0</v>
      </c>
      <c r="T1510" t="n">
        <v>0</v>
      </c>
      <c r="V1510" t="n">
        <v>0</v>
      </c>
    </row>
    <row r="1511">
      <c r="A1511">
        <f>Skills!A24</f>
        <v/>
      </c>
      <c r="B1511">
        <f>Skills!B24</f>
        <v/>
      </c>
      <c r="C1511">
        <f>Inputs!$B$3&gt;=75</f>
        <v/>
      </c>
      <c r="D1511">
        <f>IF(Skills!C24=1,60+Inputs!$B$25+Inputs!$B$29,IF(Skills!C24=2,90+Inputs!$B$26+Inputs!$B$29,IF(Skills!C24=3,120+Inputs!$B$27+Inputs!$B$29,MAX(0,(Inputs!$B$3-100)*3)+Inputs!$B$28+Inputs!$B$29)))</f>
        <v/>
      </c>
      <c r="E1511">
        <f>INDEX(FactorTable!$B$2:$Y$301, MATCH(ROUND(MIN(300,MAX(1,D1511)),0), FactorTable!$A$2:$A$301,0), Skills!M24+1)</f>
        <v/>
      </c>
      <c r="F1511">
        <f>IF(Skills!N24=TRUE,(Skills!L24/10)*(E1511/1000),Skills!L24/10)+Skills!O24</f>
        <v/>
      </c>
      <c r="G1511">
        <f>Skills!G24*IF(Skills!H24&gt;0,Skills!I24/Skills!H24,1)</f>
        <v/>
      </c>
      <c r="H1511">
        <f>1-(1-Skills!J24/100)^Skills!K24</f>
        <v/>
      </c>
      <c r="I1511" t="inlineStr">
        <is>
          <t>1</t>
        </is>
      </c>
      <c r="J1511" t="inlineStr"/>
      <c r="K1511" t="inlineStr"/>
      <c r="L1511" t="inlineStr"/>
      <c r="M1511" t="inlineStr"/>
      <c r="N1511" t="inlineStr"/>
      <c r="O1511">
        <f>(1-Summary!$B$55)*T1511+Summary!$B$55*V1511</f>
        <v/>
      </c>
      <c r="P1511">
        <f>IF(B1529=0,0,O1511/B1529)</f>
        <v/>
      </c>
      <c r="Q1511" t="n">
        <v>0</v>
      </c>
      <c r="R1511" t="n">
        <v>0</v>
      </c>
      <c r="S1511" t="n">
        <v>0</v>
      </c>
      <c r="T1511" t="n">
        <v>0</v>
      </c>
      <c r="V1511" t="n">
        <v>0</v>
      </c>
    </row>
    <row r="1512">
      <c r="A1512">
        <f>Skills!A25</f>
        <v/>
      </c>
      <c r="B1512">
        <f>Skills!B25</f>
        <v/>
      </c>
      <c r="C1512">
        <f>Inputs!$B$3&gt;=125</f>
        <v/>
      </c>
      <c r="D1512">
        <f>IF(Skills!C25=1,60+Inputs!$B$25+Inputs!$B$29,IF(Skills!C25=2,90+Inputs!$B$26+Inputs!$B$29,IF(Skills!C25=3,120+Inputs!$B$27+Inputs!$B$29,MAX(0,(Inputs!$B$3-100)*3)+Inputs!$B$28+Inputs!$B$29)))</f>
        <v/>
      </c>
      <c r="E1512">
        <f>INDEX(FactorTable!$B$2:$Y$301, MATCH(ROUND(MIN(300,MAX(1,D1512)),0), FactorTable!$A$2:$A$301,0), Skills!M25+1)</f>
        <v/>
      </c>
      <c r="F1512">
        <f>IF(Skills!N25=TRUE,(Skills!L25/10)*(E1512/1000),Skills!L25/10)+Skills!O25</f>
        <v/>
      </c>
      <c r="G1512">
        <f>Skills!G25*IF(Skills!H25&gt;0,Skills!I25/Skills!H25,1)</f>
        <v/>
      </c>
      <c r="H1512">
        <f>1-(1-Skills!J25/100)^Skills!K25</f>
        <v/>
      </c>
      <c r="I1512" t="inlineStr">
        <is>
          <t>1</t>
        </is>
      </c>
      <c r="J1512" t="inlineStr"/>
      <c r="K1512" t="inlineStr"/>
      <c r="L1512" t="inlineStr"/>
      <c r="M1512" t="inlineStr"/>
      <c r="N1512" t="inlineStr"/>
      <c r="O1512">
        <f>(1-Summary!$B$55)*T1512+Summary!$B$55*V1512</f>
        <v/>
      </c>
      <c r="P1512">
        <f>IF(B1529=0,0,O1512/B1529)</f>
        <v/>
      </c>
      <c r="Q1512" t="n">
        <v>0</v>
      </c>
      <c r="R1512" t="n">
        <v>0</v>
      </c>
      <c r="S1512" t="n">
        <v>0</v>
      </c>
      <c r="T1512" t="n">
        <v>0</v>
      </c>
      <c r="V1512" t="n">
        <v>0</v>
      </c>
    </row>
    <row r="1513">
      <c r="A1513">
        <f>Skills!A26</f>
        <v/>
      </c>
      <c r="B1513">
        <f>Skills!B26</f>
        <v/>
      </c>
      <c r="C1513">
        <f>Inputs!$B$3&gt;=125</f>
        <v/>
      </c>
      <c r="D1513">
        <f>IF(Skills!C26=1,60+Inputs!$B$25+Inputs!$B$29,IF(Skills!C26=2,90+Inputs!$B$26+Inputs!$B$29,IF(Skills!C26=3,120+Inputs!$B$27+Inputs!$B$29,MAX(0,(Inputs!$B$3-100)*3)+Inputs!$B$28+Inputs!$B$29)))</f>
        <v/>
      </c>
      <c r="E1513">
        <f>INDEX(FactorTable!$B$2:$Y$301, MATCH(ROUND(MIN(300,MAX(1,D1513)),0), FactorTable!$A$2:$A$301,0), Skills!M26+1)</f>
        <v/>
      </c>
      <c r="F1513">
        <f>IF(Skills!N26=TRUE,(Skills!L26/10)*(E1513/1000),Skills!L26/10)+Skills!O26</f>
        <v/>
      </c>
      <c r="G1513">
        <f>Skills!G26*IF(Skills!H26&gt;0,Skills!I26/Skills!H26,1)</f>
        <v/>
      </c>
      <c r="H1513">
        <f>1-(1-Skills!J26/100)^Skills!K26</f>
        <v/>
      </c>
      <c r="I1513" t="inlineStr">
        <is>
          <t>1</t>
        </is>
      </c>
      <c r="J1513" t="inlineStr"/>
      <c r="K1513" t="inlineStr"/>
      <c r="L1513" t="inlineStr"/>
      <c r="M1513" t="inlineStr"/>
      <c r="N1513" t="inlineStr"/>
      <c r="O1513">
        <f>(1-Summary!$B$55)*T1513+Summary!$B$55*V1513</f>
        <v/>
      </c>
      <c r="P1513">
        <f>IF(B1529=0,0,O1513/B1529)</f>
        <v/>
      </c>
      <c r="Q1513" t="n">
        <v>0</v>
      </c>
      <c r="R1513" t="n">
        <v>0</v>
      </c>
      <c r="S1513" t="n">
        <v>0</v>
      </c>
      <c r="T1513" t="n">
        <v>0</v>
      </c>
      <c r="V1513" t="n">
        <v>0</v>
      </c>
    </row>
    <row r="1514">
      <c r="A1514">
        <f>Skills!A27</f>
        <v/>
      </c>
      <c r="B1514">
        <f>Skills!B27</f>
        <v/>
      </c>
      <c r="C1514">
        <f>Inputs!$B$3&gt;=120</f>
        <v/>
      </c>
      <c r="D1514">
        <f>IF(Skills!C27=1,60+Inputs!$B$25+Inputs!$B$29,IF(Skills!C27=2,90+Inputs!$B$26+Inputs!$B$29,IF(Skills!C27=3,120+Inputs!$B$27+Inputs!$B$29,MAX(0,(Inputs!$B$3-100)*3)+Inputs!$B$28+Inputs!$B$29)))</f>
        <v/>
      </c>
      <c r="E1514">
        <f>INDEX(FactorTable!$B$2:$Y$301, MATCH(ROUND(MIN(300,MAX(1,D1514)),0), FactorTable!$A$2:$A$301,0), Skills!M27+1)</f>
        <v/>
      </c>
      <c r="F1514">
        <f>IF(Skills!N27=TRUE,(Skills!L27/10)*(E1514/1000),Skills!L27/10)+Skills!O27</f>
        <v/>
      </c>
      <c r="G1514">
        <f>Skills!G27*IF(Skills!H27&gt;0,Skills!I27/Skills!H27,1)</f>
        <v/>
      </c>
      <c r="H1514">
        <f>1-(1-Skills!J27/100)^Skills!K27</f>
        <v/>
      </c>
      <c r="I1514" t="inlineStr">
        <is>
          <t>1</t>
        </is>
      </c>
      <c r="J1514" t="inlineStr"/>
      <c r="K1514" t="inlineStr"/>
      <c r="L1514" t="inlineStr"/>
      <c r="M1514" t="inlineStr"/>
      <c r="N1514" t="inlineStr"/>
      <c r="O1514">
        <f>(1-Summary!$B$55)*T1514+Summary!$B$55*V1514</f>
        <v/>
      </c>
      <c r="P1514">
        <f>IF(B1529=0,0,O1514/B1529)</f>
        <v/>
      </c>
      <c r="Q1514" t="n">
        <v>0</v>
      </c>
      <c r="R1514" t="n">
        <v>0</v>
      </c>
      <c r="S1514" t="n">
        <v>0</v>
      </c>
      <c r="T1514" t="n">
        <v>0</v>
      </c>
      <c r="V1514" t="n">
        <v>0</v>
      </c>
    </row>
    <row r="1515">
      <c r="A1515">
        <f>Skills!A28</f>
        <v/>
      </c>
      <c r="B1515">
        <f>Skills!B28</f>
        <v/>
      </c>
      <c r="C1515">
        <f>Inputs!$B$3&gt;=120</f>
        <v/>
      </c>
      <c r="D1515">
        <f>IF(Skills!C28=1,60+Inputs!$B$25+Inputs!$B$29,IF(Skills!C28=2,90+Inputs!$B$26+Inputs!$B$29,IF(Skills!C28=3,120+Inputs!$B$27+Inputs!$B$29,MAX(0,(Inputs!$B$3-100)*3)+Inputs!$B$28+Inputs!$B$29)))</f>
        <v/>
      </c>
      <c r="E1515">
        <f>INDEX(FactorTable!$B$2:$Y$301, MATCH(ROUND(MIN(300,MAX(1,D1515)),0), FactorTable!$A$2:$A$301,0), Skills!M28+1)</f>
        <v/>
      </c>
      <c r="F1515">
        <f>IF(Skills!N28=TRUE,(Skills!L28/10)*(E1515/1000),Skills!L28/10)+Skills!O28</f>
        <v/>
      </c>
      <c r="G1515">
        <f>Skills!G28*IF(Skills!H28&gt;0,Skills!I28/Skills!H28,1)</f>
        <v/>
      </c>
      <c r="H1515">
        <f>1-(1-Skills!J28/100)^Skills!K28</f>
        <v/>
      </c>
      <c r="I1515" t="inlineStr">
        <is>
          <t>1</t>
        </is>
      </c>
      <c r="J1515" t="inlineStr"/>
      <c r="K1515" t="inlineStr"/>
      <c r="L1515" t="inlineStr"/>
      <c r="M1515" t="inlineStr"/>
      <c r="N1515" t="inlineStr"/>
      <c r="O1515">
        <f>(1-Summary!$B$55)*T1515+Summary!$B$55*V1515</f>
        <v/>
      </c>
      <c r="P1515">
        <f>IF(B1529=0,0,O1515/B1529)</f>
        <v/>
      </c>
      <c r="Q1515" t="n">
        <v>0</v>
      </c>
      <c r="R1515" t="n">
        <v>0</v>
      </c>
      <c r="S1515" t="n">
        <v>0</v>
      </c>
      <c r="T1515" t="n">
        <v>0</v>
      </c>
      <c r="V1515" t="n">
        <v>0</v>
      </c>
    </row>
    <row r="1516">
      <c r="A1516">
        <f>Skills!A29</f>
        <v/>
      </c>
      <c r="B1516">
        <f>Skills!B29</f>
        <v/>
      </c>
      <c r="C1516">
        <f>Inputs!$B$3&gt;=45</f>
        <v/>
      </c>
      <c r="D1516">
        <f>IF(Skills!C29=1,60+Inputs!$B$25+Inputs!$B$29,IF(Skills!C29=2,90+Inputs!$B$26+Inputs!$B$29,IF(Skills!C29=3,120+Inputs!$B$27+Inputs!$B$29,MAX(0,(Inputs!$B$3-100)*3)+Inputs!$B$28+Inputs!$B$29)))</f>
        <v/>
      </c>
      <c r="E1516">
        <f>INDEX(FactorTable!$B$2:$Y$301, MATCH(ROUND(MIN(300,MAX(1,D1516)),0), FactorTable!$A$2:$A$301,0), Skills!M29+1)</f>
        <v/>
      </c>
      <c r="F1516">
        <f>IF(Skills!N29=TRUE,(Skills!L29/10)*(E1516/1000),Skills!L29/10)+Skills!O29</f>
        <v/>
      </c>
      <c r="G1516">
        <f>Skills!G29*IF(Skills!H29&gt;0,Skills!I29/Skills!H29,1)</f>
        <v/>
      </c>
      <c r="H1516">
        <f>1-(1-Skills!J29/100)^Skills!K29</f>
        <v/>
      </c>
      <c r="I1516" t="inlineStr">
        <is>
          <t>1</t>
        </is>
      </c>
      <c r="J1516" t="inlineStr"/>
      <c r="K1516" t="inlineStr"/>
      <c r="L1516" t="inlineStr"/>
      <c r="M1516" t="inlineStr"/>
      <c r="N1516" t="inlineStr"/>
      <c r="O1516">
        <f>(1-Summary!$B$55)*T1516+Summary!$B$55*V1516</f>
        <v/>
      </c>
      <c r="P1516">
        <f>IF(B1529=0,0,O1516/B1529)</f>
        <v/>
      </c>
      <c r="Q1516" t="n">
        <v>0</v>
      </c>
      <c r="R1516" t="n">
        <v>0</v>
      </c>
      <c r="S1516" t="n">
        <v>0</v>
      </c>
      <c r="T1516" t="n">
        <v>0</v>
      </c>
      <c r="V1516" t="n">
        <v>0</v>
      </c>
    </row>
    <row r="1518">
      <c r="A1518" t="inlineStr">
        <is>
          <t>Attack% Bucket Multiplier</t>
        </is>
      </c>
      <c r="B1518">
        <f>(1+(((C1500=TRUE)*F1500)+((C1501=TRUE)*IF(Inputs!$B$38="pvp",F1501,(1-Summary!$B$55)*(F1501)+Summary!$B$55*(0)))+((C1502=TRUE)*F1502*IF(AND(Inputs!$B$38&lt;&gt;"pvp",Inputs!$B$43&gt;0),(((R1502-1)*(Skills!T15*(1+Inputs!$B$34/100))+MIN((Skills!T15*(1+Inputs!$B$34/100)),MAX(0,Inputs!$B$43-((R1502-1)*Skills!D15))))/Inputs!$B$43),IF(Inputs!$B$38="pvp",MIN((Skills!T15*(1+Inputs!$B$34/100)),15)/15,(Skills!T15*(1+Inputs!$B$34/100))/Skills!D15)))+((C1499=TRUE)*F1499)+((C1516=TRUE)*(F1516-Calc!F29)))/100)</f>
        <v/>
      </c>
    </row>
    <row r="1519">
      <c r="A1519" t="inlineStr">
        <is>
          <t>Global Crit Rate Bonus %</t>
        </is>
      </c>
      <c r="B1519">
        <f>(C1503=TRUE)*20*IF(AND(Inputs!$B$38&lt;&gt;"pvp",Inputs!$B$43&gt;0),(((R1503-1)*(Skills!T16*(1+Inputs!$B$34/100))+MIN((Skills!T16*(1+Inputs!$B$34/100)),MAX(0,Inputs!$B$43-((R1503-1)*Skills!D16))))/Inputs!$B$43),IF(Inputs!$B$38="pvp",MIN((Skills!T16*(1+Inputs!$B$34/100)),15)/15,(Skills!T16*(1+Inputs!$B$34/100))/Skills!D16))</f>
        <v/>
      </c>
    </row>
    <row r="1520">
      <c r="A1520" t="inlineStr">
        <is>
          <t>Attack Speed Buff Bonus %</t>
        </is>
      </c>
      <c r="B1520">
        <f>((C1505=TRUE)*F1505*IF(AND(Inputs!$B$38&lt;&gt;"pvp",Inputs!$B$43&gt;0),(((R1505-1)*(Skills!T18*(1+Inputs!$B$34/100))+MIN((Skills!T18*(1+Inputs!$B$34/100)),MAX(0,Inputs!$B$43-((R1505-1)*Skills!D18))))/Inputs!$B$43),IF(Inputs!$B$38="pvp",MIN((Skills!T18*(1+Inputs!$B$34/100)),15)/15,(Skills!T18*(1+Inputs!$B$34/100))/Skills!D18)))</f>
        <v/>
      </c>
    </row>
    <row r="1521">
      <c r="A1521" t="inlineStr">
        <is>
          <t>Actions Per Second</t>
        </is>
      </c>
      <c r="B1521">
        <f>1+MIN(150,150*(1-(1-(Inputs!$B$11+((C1507=TRUE)*(F1507-Calc!F20))+((C1508=TRUE)*(F1508-Calc!F21)))/150)*(1-B1520/150)))/100</f>
        <v/>
      </c>
    </row>
    <row r="1522">
      <c r="A1522" t="inlineStr">
        <is>
          <t>Skill + Buff Cast Rate</t>
        </is>
      </c>
      <c r="B1522">
        <f>IF(AND(Inputs!$B$38&lt;&gt;"pvp",Inputs!$B$43&gt;0),SUMPRODUCT((Skills!E2:E29=TRUE)*(C1489:C1516=TRUE)*R1489:R1516*Skills!F2:F29)/Inputs!$B$43,SUMPRODUCT((Skills!E2:E29=TRUE)*(C1489:C1516=TRUE)*Q1489:Q1516*Skills!F2:F29))</f>
        <v/>
      </c>
    </row>
    <row r="1523">
      <c r="A1523" t="inlineStr">
        <is>
          <t>Empowered Piercing Arrow Casts Per Second</t>
        </is>
      </c>
      <c r="B1523">
        <f>MAX(0,B1521-B1522)</f>
        <v/>
      </c>
    </row>
    <row r="1524">
      <c r="A1524" t="inlineStr">
        <is>
          <t>Global Critical Damage Bonus % (Sharp Eyes)</t>
        </is>
      </c>
      <c r="B1524">
        <f>(C1503=TRUE)*F1503*IF(AND(Inputs!$B$38&lt;&gt;"pvp",Inputs!$B$43&gt;0),(((R1503-1)*(Skills!T16*(1+Inputs!$B$34/100))+MIN((Skills!T16*(1+Inputs!$B$34/100)),MAX(0,Inputs!$B$43-((R1503-1)*Skills!D16))))/Inputs!$B$43),IF(Inputs!$B$38="pvp",MIN((Skills!T16*(1+Inputs!$B$34/100)),15)/15,(Skills!T16*(1+Inputs!$B$34/100))/Skills!D16))</f>
        <v/>
      </c>
    </row>
    <row r="1525">
      <c r="A1525" t="inlineStr">
        <is>
          <t>Global Final Damage Bonus % (Mortal Blow + Last Man Standing conditional half)</t>
        </is>
      </c>
      <c r="B1525">
        <f>(C1504=TRUE)*F1504+((C1513=TRUE)*IF(Inputs!$B$38="pvp",F1513,(1-Summary!$B$55)*(F1513)+Summary!$B$55*(0)))</f>
        <v/>
      </c>
    </row>
    <row r="1526">
      <c r="A1526" t="inlineStr">
        <is>
          <t>Buff-Casting Startup Delay (s, fixed-duration only)</t>
        </is>
      </c>
      <c r="B1526">
        <f>IF(AND(Inputs!$B$38&lt;&gt;"pvp",Inputs!$B$43&gt;0),SUMPRODUCT((Skills!T2:T29&gt;0)*(Skills!E2:E29=TRUE)*(C1489:C1516=TRUE))/B1521,0)</f>
        <v/>
      </c>
    </row>
    <row r="1527">
      <c r="A1527" t="inlineStr">
        <is>
          <t>Boss-Only Total DPS (this block's swept value)</t>
        </is>
      </c>
      <c r="B1527">
        <f>SUM(T1489:T1516)</f>
        <v/>
      </c>
    </row>
    <row r="1528">
      <c r="A1528" t="inlineStr">
        <is>
          <t>Normal-Only Total DPS (this block's swept value)</t>
        </is>
      </c>
      <c r="B1528">
        <f>SUM(V1489:V1516)</f>
        <v/>
      </c>
    </row>
    <row r="1529">
      <c r="A1529" s="5" t="inlineStr">
        <is>
          <t>TOTAL DPS</t>
        </is>
      </c>
      <c r="B1529" s="5">
        <f>SUM(O1489:O1516)</f>
        <v/>
      </c>
    </row>
    <row r="1532">
      <c r="A1532" s="5" t="inlineStr">
        <is>
          <t>Stat: CDR = 4.0s</t>
        </is>
      </c>
    </row>
    <row r="1533">
      <c r="A1533" s="9" t="inlineStr">
        <is>
          <t>Key</t>
        </is>
      </c>
      <c r="B1533" s="9" t="inlineStr">
        <is>
          <t>Name</t>
        </is>
      </c>
      <c r="C1533" s="9" t="inlineStr">
        <is>
          <t>Unlocked</t>
        </is>
      </c>
      <c r="D1533" s="9" t="inlineStr">
        <is>
          <t>InputLevel</t>
        </is>
      </c>
      <c r="E1533" s="9" t="inlineStr">
        <is>
          <t>Factor</t>
        </is>
      </c>
      <c r="F1533" s="9" t="inlineStr">
        <is>
          <t>CoefficientPercent</t>
        </is>
      </c>
      <c r="G1533" s="9" t="inlineStr">
        <is>
          <t>EffectiveHits</t>
        </is>
      </c>
      <c r="H1533" s="9" t="inlineStr">
        <is>
          <t>ProcProbability</t>
        </is>
      </c>
      <c r="I1533" s="9" t="inlineStr">
        <is>
          <t>MapleHeroMultiplier</t>
        </is>
      </c>
      <c r="J1533" s="9" t="inlineStr">
        <is>
          <t>BaseDamage</t>
        </is>
      </c>
      <c r="K1533" s="9" t="inlineStr">
        <is>
          <t>BaseHitDamage</t>
        </is>
      </c>
      <c r="L1533" s="9" t="inlineStr">
        <is>
          <t>NonCritAvg</t>
        </is>
      </c>
      <c r="M1533" s="9" t="inlineStr">
        <is>
          <t>CritAvg</t>
        </is>
      </c>
      <c r="N1533" s="9" t="inlineStr">
        <is>
          <t>ExpectedDamage(perHit)</t>
        </is>
      </c>
      <c r="O1533" s="9" t="inlineStr">
        <is>
          <t>DPS</t>
        </is>
      </c>
      <c r="P1533" s="9" t="inlineStr">
        <is>
          <t>% of Total</t>
        </is>
      </c>
      <c r="Q1533" s="9" t="inlineStr">
        <is>
          <t>InvCooldown</t>
        </is>
      </c>
      <c r="R1533" s="9" t="inlineStr">
        <is>
          <t>CastsInFight</t>
        </is>
      </c>
      <c r="S1533" s="9" t="inlineStr">
        <is>
          <t>HitRate(perSec)</t>
        </is>
      </c>
      <c r="U1533" t="inlineStr">
        <is>
          <t>helpers</t>
        </is>
      </c>
    </row>
    <row r="1534">
      <c r="A1534">
        <f>Skills!A2</f>
        <v/>
      </c>
      <c r="B1534">
        <f>Skills!B2</f>
        <v/>
      </c>
      <c r="C1534">
        <f>Inputs!$B$3&gt;=100</f>
        <v/>
      </c>
      <c r="D1534" t="inlineStr"/>
      <c r="E1534" t="inlineStr"/>
      <c r="F1534">
        <f>U1536+Skills!O2</f>
        <v/>
      </c>
      <c r="G1534">
        <f>Skills!G2*IF(Skills!H2&gt;0,Skills!I2/Skills!H2,1)</f>
        <v/>
      </c>
      <c r="H1534">
        <f>1-(1-Skills!J2/100)^Skills!K2</f>
        <v/>
      </c>
      <c r="I1534" t="inlineStr">
        <is>
          <t>1</t>
        </is>
      </c>
      <c r="J1534">
        <f>((Inputs!$B$6*(1+Inputs!$B$7/100))+(((Inputs!$B$12*(1+Inputs!$B$13/100))-(Inputs!$B$12*(1+Inputs!$B$13/100)))+0.25*(Inputs!$B$14-Inputs!$B$14))*(1+Inputs!$B$7/100))*(F1534/100)</f>
        <v/>
      </c>
      <c r="K1534">
        <f>J1534*(1+((Inputs!$B$12*(1+Inputs!$B$13/100))*0.01+Inputs!$B$14*0.0025)/100)*(1+Inputs!$B$15/100)*(1+Inputs!$B$16/100)*(5000/(6000+Inputs!$B$42*(1-(Inputs!$B$19+0)/100)))*(1+(Inputs!$B$24+((C1556=TRUE)*(F1556-Calc!F24))+((C1557=TRUE)*(F1557-Calc!F25))+B1570)/100)*(1+(IF(Skills!A2="EMPOWERED_PIERCING_ARROW",Inputs!$B$17+((C1554=TRUE)*(F1554-Calc!F22)),Inputs!$B$18+((C1559=TRUE)*(F1559-Calc!F27))))/100)*((1+(((C1545=TRUE)*F1545)+((C1546=TRUE)*IF(Inputs!$B$38="pvp",F1546,(1-Summary!$B$55)*(F1546)+Summary!$B$55*(0)))+((C1547=TRUE)*F1547*IF(AND(Inputs!$B$38&lt;&gt;"pvp",Inputs!$B$43&gt;0),(((R1547-1)*(Skills!T15*(1+Inputs!$B$34/100))+MIN((Skills!T15*(1+Inputs!$B$34/100)),MAX(0,Inputs!$B$43-((R1547-1)*Skills!D15))))/Inputs!$B$43),IF(Inputs!$B$38="pvp",MIN((Skills!T15*(1+Inputs!$B$34/100)),15)/15,(Skills!T15*(1+Inputs!$B$34/100))/Skills!D15)))+((C1544=TRUE)*F1544)+((C1561=TRUE)*(F1561-Calc!F29)))/100)*I1534)</f>
        <v/>
      </c>
      <c r="L1534">
        <f>K1534*(MIN(Inputs!$B$22+((C1555=TRUE)*(F1555-Calc!F23)),Inputs!$B$23+((C1560=TRUE)*(F1560-Calc!F28)))/100+(Inputs!$B$23+((C1560=TRUE)*(F1560-Calc!F28)))/100)/2</f>
        <v/>
      </c>
      <c r="M1534">
        <f>L1534*(1+(Inputs!$B$10+0+B1569)/100)</f>
        <v/>
      </c>
      <c r="N1534">
        <f>L1534*(1-MIN((Inputs!$B$9+((C1551=TRUE)*(F1551-Calc!F19))+B1564),100)/100)+M1534*(MIN((Inputs!$B$9+((C1551=TRUE)*(F1551-Calc!F19))+B1564),100)/100)</f>
        <v/>
      </c>
      <c r="O1534">
        <f>(1-Summary!$B$55)*T1534+Summary!$B$55*V1534</f>
        <v/>
      </c>
      <c r="P1534">
        <f>IF(B1574=0,0,O1534/B1574)</f>
        <v/>
      </c>
      <c r="Q1534" t="n">
        <v>0</v>
      </c>
      <c r="R1534" t="n">
        <v>0</v>
      </c>
      <c r="S1534">
        <f>IFERROR((Skills!G2*N1534*B1568)/N1534*IF(Inputs!$B$38="pvp",1,(1-Summary!$B$55)*1+Summary!$B$55*(MIN((6+Inputs!$B$33),Inputs!$B$37))),0)</f>
        <v/>
      </c>
      <c r="T1534">
        <f>IF(C1534,(Skills!G2*N1534*B1568)*IF(Inputs!$B$38="pvp",1,1+(Inputs!$B$20+0+Skills!P2)/100),0)</f>
        <v/>
      </c>
      <c r="U1534">
        <f>MAX(0,(Inputs!$B$3-100)*3)+Inputs!$B$28+Inputs!$B$29</f>
        <v/>
      </c>
      <c r="V1534">
        <f>IF(C1534,(Skills!G2*N1534*B1568)*IF(Inputs!$B$38="pvp",1,(1+(Inputs!$B$21+Skills!Q2)/100)*(MIN((6+Inputs!$B$33),Inputs!$B$37))),0)</f>
        <v/>
      </c>
    </row>
    <row r="1535">
      <c r="A1535">
        <f>Skills!A3</f>
        <v/>
      </c>
      <c r="B1535">
        <f>Skills!B3</f>
        <v/>
      </c>
      <c r="C1535">
        <f>Inputs!$B$3&gt;=50</f>
        <v/>
      </c>
      <c r="D1535">
        <f>IF(Skills!C3=1,60+Inputs!$B$25+Inputs!$B$29,IF(Skills!C3=2,90+Inputs!$B$26+Inputs!$B$29,IF(Skills!C3=3,120+Inputs!$B$27+Inputs!$B$29,MAX(0,(Inputs!$B$3-100)*3)+Inputs!$B$28+Inputs!$B$29)))</f>
        <v/>
      </c>
      <c r="E1535">
        <f>INDEX(FactorTable!$B$2:$Y$301, MATCH(ROUND(MIN(300,MAX(1,D1535)),0), FactorTable!$A$2:$A$301,0), Skills!M3+1)</f>
        <v/>
      </c>
      <c r="F1535">
        <f>IF(Skills!N3=TRUE,(Skills!L3/10)*(E1535/1000),Skills!L3/10)+Skills!O3</f>
        <v/>
      </c>
      <c r="G1535" t="inlineStr"/>
      <c r="H1535" t="inlineStr"/>
      <c r="I1535" t="inlineStr">
        <is>
          <t>1</t>
        </is>
      </c>
      <c r="J1535" t="inlineStr"/>
      <c r="K1535" t="inlineStr"/>
      <c r="L1535" t="inlineStr"/>
      <c r="M1535" t="inlineStr"/>
      <c r="N1535" t="inlineStr"/>
      <c r="O1535" t="inlineStr"/>
      <c r="P1535" t="inlineStr"/>
      <c r="Q1535" t="inlineStr"/>
      <c r="R1535" t="inlineStr"/>
      <c r="S1535" t="inlineStr"/>
      <c r="T1535" t="inlineStr"/>
      <c r="U1535">
        <f>INDEX(FactorTable!$B$2:$Y$301, MATCH(ROUND(MIN(300,MAX(1,U1534)),0), FactorTable!$A$2:$A$301,0), 22)</f>
        <v/>
      </c>
      <c r="V1535" t="inlineStr"/>
    </row>
    <row r="1536">
      <c r="A1536">
        <f>Skills!A4</f>
        <v/>
      </c>
      <c r="B1536">
        <f>Skills!B4</f>
        <v/>
      </c>
      <c r="C1536">
        <f>Inputs!$B$3&gt;=105</f>
        <v/>
      </c>
      <c r="D1536">
        <f>IF(Skills!C4=1,60+Inputs!$B$25+Inputs!$B$29,IF(Skills!C4=2,90+Inputs!$B$26+Inputs!$B$29,IF(Skills!C4=3,120+Inputs!$B$27+Inputs!$B$29,MAX(0,(Inputs!$B$3-100)*3)+Inputs!$B$28+Inputs!$B$29)))</f>
        <v/>
      </c>
      <c r="E1536">
        <f>INDEX(FactorTable!$B$2:$Y$301, MATCH(ROUND(MIN(300,MAX(1,D1536)),0), FactorTable!$A$2:$A$301,0), Skills!M4+1)</f>
        <v/>
      </c>
      <c r="F1536">
        <f>IF(Skills!N4=TRUE,(Skills!L4/10)*(E1536/1000),Skills!L4/10)+Skills!O4</f>
        <v/>
      </c>
      <c r="G1536" t="inlineStr"/>
      <c r="H1536" t="inlineStr"/>
      <c r="I1536" t="inlineStr">
        <is>
          <t>1</t>
        </is>
      </c>
      <c r="J1536" t="inlineStr"/>
      <c r="K1536" t="inlineStr"/>
      <c r="L1536" t="inlineStr"/>
      <c r="M1536" t="inlineStr"/>
      <c r="N1536" t="inlineStr"/>
      <c r="O1536" t="inlineStr"/>
      <c r="P1536" t="inlineStr"/>
      <c r="Q1536" t="inlineStr"/>
      <c r="R1536" t="inlineStr"/>
      <c r="S1536" t="inlineStr"/>
      <c r="T1536" t="inlineStr"/>
      <c r="U1536">
        <f>290*U1535/1000</f>
        <v/>
      </c>
      <c r="V1536" t="inlineStr"/>
    </row>
    <row r="1537">
      <c r="A1537">
        <f>Skills!A5</f>
        <v/>
      </c>
      <c r="B1537">
        <f>Skills!B5</f>
        <v/>
      </c>
      <c r="C1537">
        <f>Inputs!$B$3&gt;=35</f>
        <v/>
      </c>
      <c r="D1537">
        <f>IF(Skills!C5=1,60+Inputs!$B$25+Inputs!$B$29,IF(Skills!C5=2,90+Inputs!$B$26+Inputs!$B$29,IF(Skills!C5=3,120+Inputs!$B$27+Inputs!$B$29,MAX(0,(Inputs!$B$3-100)*3)+Inputs!$B$28+Inputs!$B$29)))</f>
        <v/>
      </c>
      <c r="E1537">
        <f>INDEX(FactorTable!$B$2:$Y$301, MATCH(ROUND(MIN(300,MAX(1,D1537)),0), FactorTable!$A$2:$A$301,0), Skills!M5+1)</f>
        <v/>
      </c>
      <c r="F1537">
        <f>IF(Skills!N5=TRUE,(Skills!L5/10)*(E1537/1000),Skills!L5/10)+Skills!O5</f>
        <v/>
      </c>
      <c r="G1537">
        <f>Skills!G5*IF(Skills!H5&gt;0,Skills!I5/Skills!H5,1)</f>
        <v/>
      </c>
      <c r="H1537">
        <f>1-(1-Skills!J5/100)^Skills!K5</f>
        <v/>
      </c>
      <c r="I1537" t="inlineStr">
        <is>
          <t>1</t>
        </is>
      </c>
      <c r="J1537">
        <f>((Inputs!$B$6*(1+Inputs!$B$7/100))+(((Inputs!$B$12*(1+Inputs!$B$13/100))-(Inputs!$B$12*(1+Inputs!$B$13/100)))+0.25*(Inputs!$B$14-Inputs!$B$14))*(1+Inputs!$B$7/100))*(F1537/100)</f>
        <v/>
      </c>
      <c r="K1537">
        <f>J1537*(1+((Inputs!$B$12*(1+Inputs!$B$13/100))*0.01+Inputs!$B$14*0.0025)/100)*(1+Inputs!$B$15/100)*(1+Inputs!$B$16/100)*(5000/(6000+Inputs!$B$42*(1-(Inputs!$B$19+0)/100)))*(1+(Inputs!$B$24+((C1556=TRUE)*(F1556-Calc!F24))+((C1557=TRUE)*(F1557-Calc!F25))+B1570)/100)*(1+4.0*IF(C1540=TRUE,F1540,0)/100)*(1+(IF(Skills!A5="EMPOWERED_PIERCING_ARROW",Inputs!$B$17+((C1554=TRUE)*(F1554-Calc!F22)),Inputs!$B$18+((C1559=TRUE)*(F1559-Calc!F27))))/100)*((1+(((C1545=TRUE)*F1545)+((C1546=TRUE)*IF(Inputs!$B$38="pvp",F1546,(1-Summary!$B$55)*(F1546)+Summary!$B$55*(0)))+((C1547=TRUE)*F1547*IF(AND(Inputs!$B$38&lt;&gt;"pvp",Inputs!$B$43&gt;0),(((R1547-1)*(Skills!T15*(1+Inputs!$B$34/100))+MIN((Skills!T15*(1+Inputs!$B$34/100)),MAX(0,Inputs!$B$43-((R1547-1)*Skills!D15))))/Inputs!$B$43),IF(Inputs!$B$38="pvp",MIN((Skills!T15*(1+Inputs!$B$34/100)),15)/15,(Skills!T15*(1+Inputs!$B$34/100))/Skills!D15)))+((C1544=TRUE)*F1544)+((C1561=TRUE)*(F1561-Calc!F29)))/100)*I1537)</f>
        <v/>
      </c>
      <c r="L1537">
        <f>K1537*(MIN(Inputs!$B$22+((C1555=TRUE)*(F1555-Calc!F23)),Inputs!$B$23+((C1560=TRUE)*(F1560-Calc!F28)))/100+(Inputs!$B$23+((C1560=TRUE)*(F1560-Calc!F28)))/100)/2</f>
        <v/>
      </c>
      <c r="M1537">
        <f>L1537*(1+(Inputs!$B$10+0+B1569)/100)</f>
        <v/>
      </c>
      <c r="N1537">
        <f>L1537*(1-MIN((Inputs!$B$9+((C1551=TRUE)*(F1551-Calc!F19))+B1564),100)/100)+M1537*(MIN((Inputs!$B$9+((C1551=TRUE)*(F1551-Calc!F19))+B1564),100)/100)</f>
        <v/>
      </c>
      <c r="O1537">
        <f>(1-Summary!$B$55)*T1537+Summary!$B$55*V1537</f>
        <v/>
      </c>
      <c r="P1537">
        <f>IF(B1574=0,0,O1537/B1574)</f>
        <v/>
      </c>
      <c r="Q1537">
        <f>IFERROR(1/IF(Inputs!$B$38="pvp",15,MAX(0.1,Skills!D5-IF(Skills!E5=TRUE,4.0,0))),0)</f>
        <v/>
      </c>
      <c r="R1537">
        <f>IF(AND(Inputs!$B$38&lt;&gt;"pvp",Inputs!$B$43&gt;0),IF(MAX(0,Inputs!$B$43-B1571)&lt;=0,0,(INT(MAX(0,Inputs!$B$43-B1571)/IF(Inputs!$B$38="pvp",15,MAX(0.1,Skills!D5-IF(Skills!E5=TRUE,4.0,0))))+1)),0)</f>
        <v/>
      </c>
      <c r="S1537">
        <f>IFERROR((H1537*N1537*IF(AND(Inputs!$B$38&lt;&gt;"pvp",Inputs!$B$43&gt;0),((Skills!G5*((R1537-1)*IF(Skills!H5&gt;0,Skills!I5/Skills!H5,1)+IF(Skills!H5&gt;0,MIN(Skills!I5,MAX(0,MAX(0,Inputs!$B$43-B1571)-((R1537-1)*IF(Inputs!$B$38="pvp",15,MAX(0.1,Skills!D5-IF(Skills!E5=TRUE,4.0,0))))))/Skills!H5,1)))/Inputs!$B$43),G1537*Q1537))/N1537*IF(Inputs!$B$38="pvp",1,(1-Summary!$B$55)*1+Summary!$B$55*(MIN(Skills!R5,Inputs!$B$37))),0)</f>
        <v/>
      </c>
      <c r="T1537">
        <f>IF(C1537,(H1537*N1537*IF(AND(Inputs!$B$38&lt;&gt;"pvp",Inputs!$B$43&gt;0),((Skills!G5*((R1537-1)*IF(Skills!H5&gt;0,Skills!I5/Skills!H5,1)+IF(Skills!H5&gt;0,MIN(Skills!I5,MAX(0,MAX(0,Inputs!$B$43-B1571)-((R1537-1)*IF(Inputs!$B$38="pvp",15,MAX(0.1,Skills!D5-IF(Skills!E5=TRUE,4.0,0))))))/Skills!H5,1)))/Inputs!$B$43),G1537*Q1537))*IF(Inputs!$B$38="pvp",1,1+(Inputs!$B$20+0+Skills!P5)/100),0)</f>
        <v/>
      </c>
      <c r="V1537">
        <f>IF(C1537,(H1537*N1537*IF(AND(Inputs!$B$38&lt;&gt;"pvp",Inputs!$B$43&gt;0),((Skills!G5*((R1537-1)*IF(Skills!H5&gt;0,Skills!I5/Skills!H5,1)+IF(Skills!H5&gt;0,MIN(Skills!I5,MAX(0,MAX(0,Inputs!$B$43-B1571)-((R1537-1)*IF(Inputs!$B$38="pvp",15,MAX(0.1,Skills!D5-IF(Skills!E5=TRUE,4.0,0))))))/Skills!H5,1)))/Inputs!$B$43),G1537*Q1537))*IF(Inputs!$B$38="pvp",1,(1+(Inputs!$B$21+Skills!Q5)/100)*(MIN(Skills!R5,Inputs!$B$37))),0)</f>
        <v/>
      </c>
    </row>
    <row r="1538">
      <c r="A1538">
        <f>Skills!A6</f>
        <v/>
      </c>
      <c r="B1538">
        <f>Skills!B6</f>
        <v/>
      </c>
      <c r="C1538">
        <f>Inputs!$B$3&gt;=63</f>
        <v/>
      </c>
      <c r="D1538">
        <f>IF(Skills!C6=1,60+Inputs!$B$25+Inputs!$B$29,IF(Skills!C6=2,90+Inputs!$B$26+Inputs!$B$29,IF(Skills!C6=3,120+Inputs!$B$27+Inputs!$B$29,MAX(0,(Inputs!$B$3-100)*3)+Inputs!$B$28+Inputs!$B$29)))</f>
        <v/>
      </c>
      <c r="E1538">
        <f>INDEX(FactorTable!$B$2:$Y$301, MATCH(ROUND(MIN(300,MAX(1,D1538)),0), FactorTable!$A$2:$A$301,0), Skills!M6+1)</f>
        <v/>
      </c>
      <c r="F1538">
        <f>IF(Skills!N6=TRUE,(Skills!L6/10)*(E1538/1000),Skills!L6/10)+Skills!O6</f>
        <v/>
      </c>
      <c r="G1538">
        <f>Skills!G6*IF(Skills!H6&gt;0,Skills!I6/Skills!H6,1)</f>
        <v/>
      </c>
      <c r="H1538">
        <f>1-(1-Skills!J6/100)^Skills!K6</f>
        <v/>
      </c>
      <c r="I1538" t="inlineStr">
        <is>
          <t>1</t>
        </is>
      </c>
      <c r="J1538">
        <f>((Inputs!$B$6*(1+Inputs!$B$7/100))+(((Inputs!$B$12*(1+Inputs!$B$13/100))-(Inputs!$B$12*(1+Inputs!$B$13/100)))+0.25*(Inputs!$B$14-Inputs!$B$14))*(1+Inputs!$B$7/100))*(F1538/100)</f>
        <v/>
      </c>
      <c r="K1538">
        <f>J1538*(1+((Inputs!$B$12*(1+Inputs!$B$13/100))*0.01+Inputs!$B$14*0.0025)/100)*(1+Inputs!$B$15/100)*(1+Inputs!$B$16/100)*(5000/(6000+Inputs!$B$42*(1-(Inputs!$B$19+0)/100)))*(1+(Inputs!$B$24+((C1556=TRUE)*(F1556-Calc!F24))+((C1557=TRUE)*(F1557-Calc!F25))+B1570)/100)*(1+1.0*IF(C1540=TRUE,F1540,0)/100)*(1+(IF(Skills!A6="EMPOWERED_PIERCING_ARROW",Inputs!$B$17+((C1554=TRUE)*(F1554-Calc!F22)),Inputs!$B$18+((C1559=TRUE)*(F1559-Calc!F27))))/100)*((1+(((C1545=TRUE)*F1545)+((C1546=TRUE)*IF(Inputs!$B$38="pvp",F1546,(1-Summary!$B$55)*(F1546)+Summary!$B$55*(0)))+((C1547=TRUE)*F1547*IF(AND(Inputs!$B$38&lt;&gt;"pvp",Inputs!$B$43&gt;0),(((R1547-1)*(Skills!T15*(1+Inputs!$B$34/100))+MIN((Skills!T15*(1+Inputs!$B$34/100)),MAX(0,Inputs!$B$43-((R1547-1)*Skills!D15))))/Inputs!$B$43),IF(Inputs!$B$38="pvp",MIN((Skills!T15*(1+Inputs!$B$34/100)),15)/15,(Skills!T15*(1+Inputs!$B$34/100))/Skills!D15)))+((C1544=TRUE)*F1544)+((C1561=TRUE)*(F1561-Calc!F29)))/100)*I1538)</f>
        <v/>
      </c>
      <c r="L1538">
        <f>K1538*(MIN(Inputs!$B$22+((C1555=TRUE)*(F1555-Calc!F23)),Inputs!$B$23+((C1560=TRUE)*(F1560-Calc!F28)))/100+(Inputs!$B$23+((C1560=TRUE)*(F1560-Calc!F28)))/100)/2</f>
        <v/>
      </c>
      <c r="M1538">
        <f>L1538*(1+(Inputs!$B$10+0+B1569)/100)</f>
        <v/>
      </c>
      <c r="N1538">
        <f>L1538*(1-MIN((Inputs!$B$9+((C1551=TRUE)*(F1551-Calc!F19))+B1564),100)/100)+M1538*(MIN((Inputs!$B$9+((C1551=TRUE)*(F1551-Calc!F19))+B1564),100)/100)</f>
        <v/>
      </c>
      <c r="O1538">
        <f>(1-Summary!$B$55)*T1538+Summary!$B$55*V1538</f>
        <v/>
      </c>
      <c r="P1538">
        <f>IF(B1574=0,0,O1538/B1574)</f>
        <v/>
      </c>
      <c r="Q1538">
        <f>IFERROR(1/IF(Inputs!$B$38="pvp",15,MAX(0.1,Skills!D6-IF(Skills!E6=TRUE,4.0,0))),0)</f>
        <v/>
      </c>
      <c r="R1538">
        <f>IF(AND(Inputs!$B$38&lt;&gt;"pvp",Inputs!$B$43&gt;0),IF(MAX(0,Inputs!$B$43-B1571)&lt;=0,0,(INT(MAX(0,Inputs!$B$43-B1571)/IF(Inputs!$B$38="pvp",15,MAX(0.1,Skills!D6-IF(Skills!E6=TRUE,4.0,0))))+1)),0)</f>
        <v/>
      </c>
      <c r="S1538">
        <f>IFERROR((H1538*N1538*IF(AND(Inputs!$B$38&lt;&gt;"pvp",Inputs!$B$43&gt;0),((Skills!G6*((R1538-1)*IF(Skills!H6&gt;0,Skills!I6/Skills!H6,1)+IF(Skills!H6&gt;0,MIN(Skills!I6,MAX(0,MAX(0,Inputs!$B$43-B1571)-((R1538-1)*IF(Inputs!$B$38="pvp",15,MAX(0.1,Skills!D6-IF(Skills!E6=TRUE,4.0,0))))))/Skills!H6,1)))/Inputs!$B$43),G1538*Q1538))/N1538*IF(Inputs!$B$38="pvp",1,(1-Summary!$B$55)*1+Summary!$B$55*(MIN(Skills!R6,Inputs!$B$37))),0)</f>
        <v/>
      </c>
      <c r="T1538">
        <f>IF(C1538,(H1538*N1538*IF(AND(Inputs!$B$38&lt;&gt;"pvp",Inputs!$B$43&gt;0),((Skills!G6*((R1538-1)*IF(Skills!H6&gt;0,Skills!I6/Skills!H6,1)+IF(Skills!H6&gt;0,MIN(Skills!I6,MAX(0,MAX(0,Inputs!$B$43-B1571)-((R1538-1)*IF(Inputs!$B$38="pvp",15,MAX(0.1,Skills!D6-IF(Skills!E6=TRUE,4.0,0))))))/Skills!H6,1)))/Inputs!$B$43),G1538*Q1538))*IF(Inputs!$B$38="pvp",1,1+(Inputs!$B$20+0+Skills!P6)/100),0)</f>
        <v/>
      </c>
      <c r="V1538">
        <f>IF(C1538,(H1538*N1538*IF(AND(Inputs!$B$38&lt;&gt;"pvp",Inputs!$B$43&gt;0),((Skills!G6*((R1538-1)*IF(Skills!H6&gt;0,Skills!I6/Skills!H6,1)+IF(Skills!H6&gt;0,MIN(Skills!I6,MAX(0,MAX(0,Inputs!$B$43-B1571)-((R1538-1)*IF(Inputs!$B$38="pvp",15,MAX(0.1,Skills!D6-IF(Skills!E6=TRUE,4.0,0))))))/Skills!H6,1)))/Inputs!$B$43),G1538*Q1538))*IF(Inputs!$B$38="pvp",1,(1+(Inputs!$B$21+Skills!Q6)/100)*(MIN(Skills!R6,Inputs!$B$37))),0)</f>
        <v/>
      </c>
    </row>
    <row r="1539">
      <c r="A1539">
        <f>Skills!A7</f>
        <v/>
      </c>
      <c r="B1539">
        <f>Skills!B7</f>
        <v/>
      </c>
      <c r="C1539">
        <f>Inputs!$B$3&gt;=69</f>
        <v/>
      </c>
      <c r="D1539">
        <f>IF(Skills!C7=1,60+Inputs!$B$25+Inputs!$B$29,IF(Skills!C7=2,90+Inputs!$B$26+Inputs!$B$29,IF(Skills!C7=3,120+Inputs!$B$27+Inputs!$B$29,MAX(0,(Inputs!$B$3-100)*3)+Inputs!$B$28+Inputs!$B$29)))</f>
        <v/>
      </c>
      <c r="E1539">
        <f>INDEX(FactorTable!$B$2:$Y$301, MATCH(ROUND(MIN(300,MAX(1,D1539)),0), FactorTable!$A$2:$A$301,0), Skills!M7+1)</f>
        <v/>
      </c>
      <c r="F1539">
        <f>IF(Skills!N7=TRUE,(Skills!L7/10)*(E1539/1000),Skills!L7/10)+Skills!O7</f>
        <v/>
      </c>
      <c r="G1539">
        <f>Skills!G7*IF(Skills!H7&gt;0,Skills!I7/Skills!H7,1)</f>
        <v/>
      </c>
      <c r="H1539">
        <f>1-(1-Skills!J7/100)^Skills!K7</f>
        <v/>
      </c>
      <c r="I1539" t="inlineStr">
        <is>
          <t>1</t>
        </is>
      </c>
      <c r="J1539">
        <f>((Inputs!$B$6*(1+Inputs!$B$7/100))+(((Inputs!$B$12*(1+Inputs!$B$13/100))-(Inputs!$B$12*(1+Inputs!$B$13/100)))+0.25*(Inputs!$B$14-Inputs!$B$14))*(1+Inputs!$B$7/100))*(F1539/100)</f>
        <v/>
      </c>
      <c r="K1539">
        <f>J1539*(1+((Inputs!$B$12*(1+Inputs!$B$13/100))*0.01+Inputs!$B$14*0.0025)/100)*(1+Inputs!$B$15/100)*(1+Inputs!$B$16/100)*(5000/(6000+Inputs!$B$42*(1-(Inputs!$B$19+0)/100)))*(1+(Inputs!$B$24+((C1556=TRUE)*(F1556-Calc!F24))+((C1557=TRUE)*(F1557-Calc!F25))+B1570)/100)*(1+1.2*IF(C1540=TRUE,F1540,0)/100)*(1+(IF(Skills!A7="EMPOWERED_PIERCING_ARROW",Inputs!$B$17+((C1554=TRUE)*(F1554-Calc!F22)),Inputs!$B$18+((C1559=TRUE)*(F1559-Calc!F27))))/100)*((1+(((C1545=TRUE)*F1545)+((C1546=TRUE)*IF(Inputs!$B$38="pvp",F1546,(1-Summary!$B$55)*(F1546)+Summary!$B$55*(0)))+((C1547=TRUE)*F1547*IF(AND(Inputs!$B$38&lt;&gt;"pvp",Inputs!$B$43&gt;0),(((R1547-1)*(Skills!T15*(1+Inputs!$B$34/100))+MIN((Skills!T15*(1+Inputs!$B$34/100)),MAX(0,Inputs!$B$43-((R1547-1)*Skills!D15))))/Inputs!$B$43),IF(Inputs!$B$38="pvp",MIN((Skills!T15*(1+Inputs!$B$34/100)),15)/15,(Skills!T15*(1+Inputs!$B$34/100))/Skills!D15)))+((C1544=TRUE)*F1544)+((C1561=TRUE)*(F1561-Calc!F29)))/100)*I1539)</f>
        <v/>
      </c>
      <c r="L1539">
        <f>K1539*(MIN(Inputs!$B$22+((C1555=TRUE)*(F1555-Calc!F23)),Inputs!$B$23+((C1560=TRUE)*(F1560-Calc!F28)))/100+(Inputs!$B$23+((C1560=TRUE)*(F1560-Calc!F28)))/100)/2</f>
        <v/>
      </c>
      <c r="M1539">
        <f>L1539*(1+(Inputs!$B$10+0+B1569)/100)</f>
        <v/>
      </c>
      <c r="N1539">
        <f>L1539*(1-MIN((Inputs!$B$9+((C1551=TRUE)*(F1551-Calc!F19))+B1564),100)/100)+M1539*(MIN((Inputs!$B$9+((C1551=TRUE)*(F1551-Calc!F19))+B1564),100)/100)</f>
        <v/>
      </c>
      <c r="O1539">
        <f>(1-Summary!$B$55)*T1539+Summary!$B$55*V1539</f>
        <v/>
      </c>
      <c r="P1539">
        <f>IF(B1574=0,0,O1539/B1574)</f>
        <v/>
      </c>
      <c r="Q1539">
        <f>IFERROR(1/IF(Inputs!$B$38="pvp",15,MAX(0.1,Skills!D7-IF(Skills!E7=TRUE,4.0,0))),0)</f>
        <v/>
      </c>
      <c r="R1539">
        <f>IF(AND(Inputs!$B$38&lt;&gt;"pvp",Inputs!$B$43&gt;0),IF(MAX(0,Inputs!$B$43-B1571)&lt;=0,0,(INT(MAX(0,Inputs!$B$43-B1571)/IF(Inputs!$B$38="pvp",15,MAX(0.1,Skills!D7-IF(Skills!E7=TRUE,4.0,0))))+1)),0)</f>
        <v/>
      </c>
      <c r="S1539">
        <f>IFERROR((H1539*N1539*IF(AND(Inputs!$B$38&lt;&gt;"pvp",Inputs!$B$43&gt;0),((Skills!G7*((R1539-1)*IF(Skills!H7&gt;0,Skills!I7/Skills!H7,1)+IF(Skills!H7&gt;0,MIN(Skills!I7,MAX(0,MAX(0,Inputs!$B$43-B1571)-((R1539-1)*IF(Inputs!$B$38="pvp",15,MAX(0.1,Skills!D7-IF(Skills!E7=TRUE,4.0,0))))))/Skills!H7,1)))/Inputs!$B$43),G1539*Q1539))/N1539*IF(Inputs!$B$38="pvp",1,(1-Summary!$B$55)*1+Summary!$B$55*(MIN(Skills!R7,Inputs!$B$37))),0)</f>
        <v/>
      </c>
      <c r="T1539">
        <f>IF(C1539,(H1539*N1539*IF(AND(Inputs!$B$38&lt;&gt;"pvp",Inputs!$B$43&gt;0),((Skills!G7*((R1539-1)*IF(Skills!H7&gt;0,Skills!I7/Skills!H7,1)+IF(Skills!H7&gt;0,MIN(Skills!I7,MAX(0,MAX(0,Inputs!$B$43-B1571)-((R1539-1)*IF(Inputs!$B$38="pvp",15,MAX(0.1,Skills!D7-IF(Skills!E7=TRUE,4.0,0))))))/Skills!H7,1)))/Inputs!$B$43),G1539*Q1539))*IF(Inputs!$B$38="pvp",1,1+(Inputs!$B$20+0+Skills!P7)/100),0)</f>
        <v/>
      </c>
      <c r="V1539">
        <f>IF(C1539,(H1539*N1539*IF(AND(Inputs!$B$38&lt;&gt;"pvp",Inputs!$B$43&gt;0),((Skills!G7*((R1539-1)*IF(Skills!H7&gt;0,Skills!I7/Skills!H7,1)+IF(Skills!H7&gt;0,MIN(Skills!I7,MAX(0,MAX(0,Inputs!$B$43-B1571)-((R1539-1)*IF(Inputs!$B$38="pvp",15,MAX(0.1,Skills!D7-IF(Skills!E7=TRUE,4.0,0))))))/Skills!H7,1)))/Inputs!$B$43),G1539*Q1539))*IF(Inputs!$B$38="pvp",1,(1+(Inputs!$B$21+Skills!Q7)/100)*(MIN(Skills!R7,Inputs!$B$37))),0)</f>
        <v/>
      </c>
    </row>
    <row r="1540">
      <c r="A1540">
        <f>Skills!A8</f>
        <v/>
      </c>
      <c r="B1540">
        <f>Skills!B8</f>
        <v/>
      </c>
      <c r="C1540">
        <f>Inputs!$B$3&gt;=100</f>
        <v/>
      </c>
      <c r="D1540">
        <f>IF(Skills!C8=1,60+Inputs!$B$25+Inputs!$B$29,IF(Skills!C8=2,90+Inputs!$B$26+Inputs!$B$29,IF(Skills!C8=3,120+Inputs!$B$27+Inputs!$B$29,MAX(0,(Inputs!$B$3-100)*3)+Inputs!$B$28+Inputs!$B$29)))</f>
        <v/>
      </c>
      <c r="E1540">
        <f>INDEX(FactorTable!$B$2:$Y$301, MATCH(ROUND(MIN(300,MAX(1,D1540)),0), FactorTable!$A$2:$A$301,0), Skills!M8+1)</f>
        <v/>
      </c>
      <c r="F1540">
        <f>IF(Skills!N8=TRUE,(Skills!L8/10)*(E1540/1000),Skills!L8/10)+Skills!O8</f>
        <v/>
      </c>
      <c r="G1540" t="inlineStr"/>
      <c r="H1540" t="inlineStr"/>
      <c r="I1540" t="inlineStr">
        <is>
          <t>1</t>
        </is>
      </c>
      <c r="J1540" t="inlineStr"/>
      <c r="K1540" t="inlineStr"/>
      <c r="L1540" t="inlineStr"/>
      <c r="M1540" t="inlineStr"/>
      <c r="N1540" t="inlineStr"/>
      <c r="O1540" t="inlineStr"/>
      <c r="P1540" t="inlineStr"/>
      <c r="Q1540" t="inlineStr"/>
      <c r="R1540" t="inlineStr"/>
      <c r="S1540" t="inlineStr"/>
      <c r="T1540" t="inlineStr"/>
      <c r="V1540" t="inlineStr"/>
    </row>
    <row r="1541">
      <c r="A1541">
        <f>Skills!A9</f>
        <v/>
      </c>
      <c r="B1541">
        <f>Skills!B9</f>
        <v/>
      </c>
      <c r="C1541">
        <f>Inputs!$B$3&gt;=103</f>
        <v/>
      </c>
      <c r="D1541">
        <f>IF(Skills!C9=1,60+Inputs!$B$25+Inputs!$B$29,IF(Skills!C9=2,90+Inputs!$B$26+Inputs!$B$29,IF(Skills!C9=3,120+Inputs!$B$27+Inputs!$B$29,MAX(0,(Inputs!$B$3-100)*3)+Inputs!$B$28+Inputs!$B$29)))</f>
        <v/>
      </c>
      <c r="E1541">
        <f>INDEX(FactorTable!$B$2:$Y$301, MATCH(ROUND(MIN(300,MAX(1,D1541)),0), FactorTable!$A$2:$A$301,0), Skills!M9+1)</f>
        <v/>
      </c>
      <c r="F1541">
        <f>IF(Skills!N9=TRUE,(Skills!L9/10)*(E1541/1000),Skills!L9/10)+Skills!O9</f>
        <v/>
      </c>
      <c r="G1541">
        <f>Skills!G9*IF(Skills!H9&gt;0,Skills!I9/Skills!H9,1)</f>
        <v/>
      </c>
      <c r="H1541">
        <f>1-(1-Skills!J9/100)^Skills!K9</f>
        <v/>
      </c>
      <c r="I1541" t="inlineStr">
        <is>
          <t>1</t>
        </is>
      </c>
      <c r="J1541">
        <f>((Inputs!$B$6*(1+Inputs!$B$7/100))+(((Inputs!$B$12*(1+Inputs!$B$13/100))-(Inputs!$B$12*(1+Inputs!$B$13/100)))+0.25*(Inputs!$B$14-Inputs!$B$14))*(1+Inputs!$B$7/100))*(F1541/100)</f>
        <v/>
      </c>
      <c r="K1541">
        <f>J1541*(1+((Inputs!$B$12*(1+Inputs!$B$13/100))*0.01+Inputs!$B$14*0.0025)/100)*(1+Inputs!$B$15/100)*(1+Inputs!$B$16/100)*(5000/(6000+Inputs!$B$42*(1-(Inputs!$B$19+0)/100)))*(1+(Inputs!$B$24+((C1556=TRUE)*(F1556-Calc!F24))+((C1557=TRUE)*(F1557-Calc!F25))+B1570)/100)*(1+(IF(Skills!A9="EMPOWERED_PIERCING_ARROW",Inputs!$B$17+((C1554=TRUE)*(F1554-Calc!F22)),Inputs!$B$18+((C1559=TRUE)*(F1559-Calc!F27))))/100)*((1+(((C1545=TRUE)*F1545)+((C1546=TRUE)*IF(Inputs!$B$38="pvp",F1546,(1-Summary!$B$55)*(F1546)+Summary!$B$55*(0)))+((C1547=TRUE)*F1547*IF(AND(Inputs!$B$38&lt;&gt;"pvp",Inputs!$B$43&gt;0),(((R1547-1)*(Skills!T15*(1+Inputs!$B$34/100))+MIN((Skills!T15*(1+Inputs!$B$34/100)),MAX(0,Inputs!$B$43-((R1547-1)*Skills!D15))))/Inputs!$B$43),IF(Inputs!$B$38="pvp",MIN((Skills!T15*(1+Inputs!$B$34/100)),15)/15,(Skills!T15*(1+Inputs!$B$34/100))/Skills!D15)))+((C1544=TRUE)*F1544)+((C1561=TRUE)*(F1561-Calc!F29)))/100)*I1541)</f>
        <v/>
      </c>
      <c r="L1541">
        <f>K1541*(MIN(Inputs!$B$22+((C1555=TRUE)*(F1555-Calc!F23)),Inputs!$B$23+((C1560=TRUE)*(F1560-Calc!F28)))/100+(Inputs!$B$23+((C1560=TRUE)*(F1560-Calc!F28)))/100)/2</f>
        <v/>
      </c>
      <c r="M1541">
        <f>L1541*(1+(Inputs!$B$10+0+B1569)/100)</f>
        <v/>
      </c>
      <c r="N1541">
        <f>L1541*(1-MIN((Inputs!$B$9+((C1551=TRUE)*(F1551-Calc!F19))+B1564),100)/100)+M1541*(MIN((Inputs!$B$9+((C1551=TRUE)*(F1551-Calc!F19))+B1564),100)/100)</f>
        <v/>
      </c>
      <c r="O1541">
        <f>(1-Summary!$B$55)*T1541+Summary!$B$55*V1541</f>
        <v/>
      </c>
      <c r="P1541">
        <f>IF(B1574=0,0,O1541/B1574)</f>
        <v/>
      </c>
      <c r="Q1541">
        <f>IFERROR(1/IF(Inputs!$B$38="pvp",15,MAX(0.1,Skills!D9-IF(Skills!E9=TRUE,4.0,0))),0)</f>
        <v/>
      </c>
      <c r="R1541">
        <f>IF(AND(Inputs!$B$38&lt;&gt;"pvp",Inputs!$B$43&gt;0),IF(MAX(0,Inputs!$B$43-B1571)&lt;=0,0,(INT(MAX(0,Inputs!$B$43-B1571)/IF(Inputs!$B$38="pvp",15,MAX(0.1,Skills!D9-IF(Skills!E9=TRUE,4.0,0))))+1)),0)</f>
        <v/>
      </c>
      <c r="S1541">
        <f>IFERROR((H1541*N1541*IF(AND(Inputs!$B$38&lt;&gt;"pvp",Inputs!$B$43&gt;0),((Skills!G9*((R1541-1)*IF(Skills!H9&gt;0,Skills!I9/Skills!H9,1)+IF(Skills!H9&gt;0,MIN(Skills!I9,MAX(0,MAX(0,Inputs!$B$43-B1571)-((R1541-1)*IF(Inputs!$B$38="pvp",15,MAX(0.1,Skills!D9-IF(Skills!E9=TRUE,4.0,0))))))/Skills!H9,1)))/Inputs!$B$43),G1541*Q1541))/N1541*IF(Inputs!$B$38="pvp",1,(1-Summary!$B$55)*1+Summary!$B$55*(MIN(Skills!R9,Inputs!$B$37))),0)</f>
        <v/>
      </c>
      <c r="T1541">
        <f>IF(C1541,(H1541*N1541*IF(AND(Inputs!$B$38&lt;&gt;"pvp",Inputs!$B$43&gt;0),((Skills!G9*((R1541-1)*IF(Skills!H9&gt;0,Skills!I9/Skills!H9,1)+IF(Skills!H9&gt;0,MIN(Skills!I9,MAX(0,MAX(0,Inputs!$B$43-B1571)-((R1541-1)*IF(Inputs!$B$38="pvp",15,MAX(0.1,Skills!D9-IF(Skills!E9=TRUE,4.0,0))))))/Skills!H9,1)))/Inputs!$B$43),G1541*Q1541))*IF(Inputs!$B$38="pvp",1,1+(Inputs!$B$20+0+Skills!P9)/100),0)</f>
        <v/>
      </c>
      <c r="V1541">
        <f>IF(C1541,(H1541*N1541*IF(AND(Inputs!$B$38&lt;&gt;"pvp",Inputs!$B$43&gt;0),((Skills!G9*((R1541-1)*IF(Skills!H9&gt;0,Skills!I9/Skills!H9,1)+IF(Skills!H9&gt;0,MIN(Skills!I9,MAX(0,MAX(0,Inputs!$B$43-B1571)-((R1541-1)*IF(Inputs!$B$38="pvp",15,MAX(0.1,Skills!D9-IF(Skills!E9=TRUE,4.0,0))))))/Skills!H9,1)))/Inputs!$B$43),G1541*Q1541))*IF(Inputs!$B$38="pvp",1,(1+(Inputs!$B$21+Skills!Q9)/100)*(MIN(Skills!R9,Inputs!$B$37))),0)</f>
        <v/>
      </c>
    </row>
    <row r="1542">
      <c r="A1542">
        <f>Skills!A10</f>
        <v/>
      </c>
      <c r="B1542">
        <f>Skills!B10</f>
        <v/>
      </c>
      <c r="C1542">
        <f>Inputs!$B$3&gt;=107</f>
        <v/>
      </c>
      <c r="D1542">
        <f>IF(Skills!C10=1,60+Inputs!$B$25+Inputs!$B$29,IF(Skills!C10=2,90+Inputs!$B$26+Inputs!$B$29,IF(Skills!C10=3,120+Inputs!$B$27+Inputs!$B$29,MAX(0,(Inputs!$B$3-100)*3)+Inputs!$B$28+Inputs!$B$29)))</f>
        <v/>
      </c>
      <c r="E1542">
        <f>INDEX(FactorTable!$B$2:$Y$301, MATCH(ROUND(MIN(300,MAX(1,D1542)),0), FactorTable!$A$2:$A$301,0), Skills!M10+1)</f>
        <v/>
      </c>
      <c r="F1542">
        <f>IF(Skills!N10=TRUE,(Skills!L10/10)*(E1542/1000),Skills!L10/10)+Skills!O10</f>
        <v/>
      </c>
      <c r="G1542">
        <f>Skills!G10*IF(Skills!H10&gt;0,Skills!I10/Skills!H10,1)</f>
        <v/>
      </c>
      <c r="H1542">
        <f>1-(1-Skills!J10/100)^Skills!K10</f>
        <v/>
      </c>
      <c r="I1542" t="inlineStr">
        <is>
          <t>1</t>
        </is>
      </c>
      <c r="J1542">
        <f>((Inputs!$B$6*(1+Inputs!$B$7/100))+(((Inputs!$B$12*(1+Inputs!$B$13/100))-(Inputs!$B$12*(1+Inputs!$B$13/100)))+0.25*(Inputs!$B$14-Inputs!$B$14))*(1+Inputs!$B$7/100))*(F1542/100)</f>
        <v/>
      </c>
      <c r="K1542">
        <f>J1542*(1+((Inputs!$B$12*(1+Inputs!$B$13/100))*0.01+Inputs!$B$14*0.0025)/100)*(1+Inputs!$B$15/100)*(1+Inputs!$B$16/100)*(5000/(6000+Inputs!$B$42*(1-(Inputs!$B$19+0)/100)))*(1+(Inputs!$B$24+((C1556=TRUE)*(F1556-Calc!F24))+((C1557=TRUE)*(F1557-Calc!F25))+B1570)/100)*(1+(IF(Skills!A10="EMPOWERED_PIERCING_ARROW",Inputs!$B$17+((C1554=TRUE)*(F1554-Calc!F22)),Inputs!$B$18+((C1559=TRUE)*(F1559-Calc!F27))))/100)*((1+(((C1545=TRUE)*F1545)+((C1546=TRUE)*IF(Inputs!$B$38="pvp",F1546,(1-Summary!$B$55)*(F1546)+Summary!$B$55*(0)))+((C1547=TRUE)*F1547*IF(AND(Inputs!$B$38&lt;&gt;"pvp",Inputs!$B$43&gt;0),(((R1547-1)*(Skills!T15*(1+Inputs!$B$34/100))+MIN((Skills!T15*(1+Inputs!$B$34/100)),MAX(0,Inputs!$B$43-((R1547-1)*Skills!D15))))/Inputs!$B$43),IF(Inputs!$B$38="pvp",MIN((Skills!T15*(1+Inputs!$B$34/100)),15)/15,(Skills!T15*(1+Inputs!$B$34/100))/Skills!D15)))+((C1544=TRUE)*F1544)+((C1561=TRUE)*(F1561-Calc!F29)))/100)*I1542)</f>
        <v/>
      </c>
      <c r="L1542">
        <f>K1542*(MIN(Inputs!$B$22+((C1555=TRUE)*(F1555-Calc!F23)),Inputs!$B$23+((C1560=TRUE)*(F1560-Calc!F28)))/100+(Inputs!$B$23+((C1560=TRUE)*(F1560-Calc!F28)))/100)/2</f>
        <v/>
      </c>
      <c r="M1542">
        <f>L1542*(1+(Inputs!$B$10+0+B1569)/100)</f>
        <v/>
      </c>
      <c r="N1542">
        <f>L1542*(1-MIN((Inputs!$B$9+((C1551=TRUE)*(F1551-Calc!F19))+B1564),100)/100)+M1542*(MIN((Inputs!$B$9+((C1551=TRUE)*(F1551-Calc!F19))+B1564),100)/100)</f>
        <v/>
      </c>
      <c r="O1542">
        <f>(1-Summary!$B$55)*T1542+Summary!$B$55*V1542</f>
        <v/>
      </c>
      <c r="P1542">
        <f>IF(B1574=0,0,O1542/B1574)</f>
        <v/>
      </c>
      <c r="Q1542" t="n">
        <v>0</v>
      </c>
      <c r="R1542" t="n">
        <v>0</v>
      </c>
      <c r="S1542" t="n">
        <v>0</v>
      </c>
      <c r="T1542">
        <f>IF(C1542,(0.15*SUMPRODUCT((Skills!U2:U29=TRUE)*(C1534:C1561=TRUE)*S1534:S1561)*Skills!G10*N1542)*IF(Inputs!$B$38="pvp",1,1+(Inputs!$B$20+0+Skills!P10)/100),0)</f>
        <v/>
      </c>
      <c r="V1542">
        <f>IF(C1542,(0.15*SUMPRODUCT((Skills!U2:U29=TRUE)*(C1534:C1561=TRUE)*S1534:S1561)*Skills!G10*N1542)*IF(Inputs!$B$38="pvp",1,(1+(Inputs!$B$21+Skills!Q10)/100)*(MIN(Skills!R10,Inputs!$B$37))),0)</f>
        <v/>
      </c>
    </row>
    <row r="1543">
      <c r="A1543">
        <f>Skills!A11</f>
        <v/>
      </c>
      <c r="B1543">
        <f>Skills!B11</f>
        <v/>
      </c>
      <c r="C1543">
        <f>Inputs!$B$3&gt;=110</f>
        <v/>
      </c>
      <c r="D1543">
        <f>IF(Skills!C11=1,60+Inputs!$B$25+Inputs!$B$29,IF(Skills!C11=2,90+Inputs!$B$26+Inputs!$B$29,IF(Skills!C11=3,120+Inputs!$B$27+Inputs!$B$29,MAX(0,(Inputs!$B$3-100)*3)+Inputs!$B$28+Inputs!$B$29)))</f>
        <v/>
      </c>
      <c r="E1543">
        <f>INDEX(FactorTable!$B$2:$Y$301, MATCH(ROUND(MIN(300,MAX(1,D1543)),0), FactorTable!$A$2:$A$301,0), Skills!M11+1)</f>
        <v/>
      </c>
      <c r="F1543">
        <f>IF(Skills!N11=TRUE,(Skills!L11/10)*(E1543/1000),Skills!L11/10)+Skills!O11</f>
        <v/>
      </c>
      <c r="G1543">
        <f>Skills!G11*IF(Skills!H11&gt;0,Skills!I11/Skills!H11,1)</f>
        <v/>
      </c>
      <c r="H1543">
        <f>1-(1-Skills!J11/100)^Skills!K11</f>
        <v/>
      </c>
      <c r="I1543" t="inlineStr">
        <is>
          <t>1</t>
        </is>
      </c>
      <c r="J1543">
        <f>((Inputs!$B$6*(1+Inputs!$B$7/100))+(((Inputs!$B$12*(1+Inputs!$B$13/100))-(Inputs!$B$12*(1+Inputs!$B$13/100)))+0.25*(Inputs!$B$14-Inputs!$B$14))*(1+Inputs!$B$7/100))*(F1543/100)</f>
        <v/>
      </c>
      <c r="K1543">
        <f>J1543*(1+((Inputs!$B$12*(1+Inputs!$B$13/100))*0.01+Inputs!$B$14*0.0025)/100)*(1+Inputs!$B$15/100)*(1+Inputs!$B$16/100)*(5000/(6000+Inputs!$B$42*(1-(Inputs!$B$19+0)/100)))*(1+(Inputs!$B$24+((C1556=TRUE)*(F1556-Calc!F24))+((C1557=TRUE)*(F1557-Calc!F25))+B1570)/100)*(1+(IF(Skills!A11="EMPOWERED_PIERCING_ARROW",Inputs!$B$17+((C1554=TRUE)*(F1554-Calc!F22)),Inputs!$B$18+((C1559=TRUE)*(F1559-Calc!F27))))/100)*((1+(((C1545=TRUE)*F1545)+((C1546=TRUE)*IF(Inputs!$B$38="pvp",F1546,(1-Summary!$B$55)*(F1546)+Summary!$B$55*(0)))+((C1547=TRUE)*F1547*IF(AND(Inputs!$B$38&lt;&gt;"pvp",Inputs!$B$43&gt;0),(((R1547-1)*(Skills!T15*(1+Inputs!$B$34/100))+MIN((Skills!T15*(1+Inputs!$B$34/100)),MAX(0,Inputs!$B$43-((R1547-1)*Skills!D15))))/Inputs!$B$43),IF(Inputs!$B$38="pvp",MIN((Skills!T15*(1+Inputs!$B$34/100)),15)/15,(Skills!T15*(1+Inputs!$B$34/100))/Skills!D15)))+((C1544=TRUE)*F1544)+((C1561=TRUE)*(F1561-Calc!F29)))/100)*I1543)</f>
        <v/>
      </c>
      <c r="L1543">
        <f>K1543*(MIN(Inputs!$B$22+((C1555=TRUE)*(F1555-Calc!F23)),Inputs!$B$23+((C1560=TRUE)*(F1560-Calc!F28)))/100+(Inputs!$B$23+((C1560=TRUE)*(F1560-Calc!F28)))/100)/2</f>
        <v/>
      </c>
      <c r="M1543">
        <f>L1543*(1+(Inputs!$B$10+0+B1569)/100)</f>
        <v/>
      </c>
      <c r="N1543">
        <f>L1543*(1-MIN((Inputs!$B$9+((C1551=TRUE)*(F1551-Calc!F19))+B1564),100)/100)+M1543*(MIN((Inputs!$B$9+((C1551=TRUE)*(F1551-Calc!F19))+B1564),100)/100)</f>
        <v/>
      </c>
      <c r="O1543">
        <f>(1-Summary!$B$55)*T1543+Summary!$B$55*V1543</f>
        <v/>
      </c>
      <c r="P1543">
        <f>IF(B1574=0,0,O1543/B1574)</f>
        <v/>
      </c>
      <c r="Q1543">
        <f>IFERROR(1/IF(Inputs!$B$38="pvp",15,MAX(0.1,Skills!D11-IF(Skills!E11=TRUE,4.0,0))),0)</f>
        <v/>
      </c>
      <c r="R1543">
        <f>IF(AND(Inputs!$B$38&lt;&gt;"pvp",Inputs!$B$43&gt;0),IF(MAX(0,Inputs!$B$43-B1571)&lt;=0,0,(INT(MAX(0,Inputs!$B$43-B1571)/IF(Inputs!$B$38="pvp",15,MAX(0.1,Skills!D11-IF(Skills!E11=TRUE,4.0,0))))+1)),0)</f>
        <v/>
      </c>
      <c r="S1543">
        <f>IFERROR((H1543*N1543*IF(AND(Inputs!$B$38&lt;&gt;"pvp",Inputs!$B$43&gt;0),((Skills!G11*((R1543-1)*IF(Skills!H11&gt;0,Skills!I11/Skills!H11,1)+IF(Skills!H11&gt;0,MIN(Skills!I11,MAX(0,MAX(0,Inputs!$B$43-B1571)-((R1543-1)*IF(Inputs!$B$38="pvp",15,MAX(0.1,Skills!D11-IF(Skills!E11=TRUE,4.0,0))))))/Skills!H11,1)))/Inputs!$B$43),G1543*Q1543))/N1543*IF(Inputs!$B$38="pvp",1,(1-Summary!$B$55)*1+Summary!$B$55*(MIN(Skills!R11,Inputs!$B$37))),0)</f>
        <v/>
      </c>
      <c r="T1543">
        <f>IF(C1543,(H1543*N1543*IF(AND(Inputs!$B$38&lt;&gt;"pvp",Inputs!$B$43&gt;0),((Skills!G11*((R1543-1)*IF(Skills!H11&gt;0,Skills!I11/Skills!H11,1)+IF(Skills!H11&gt;0,MIN(Skills!I11,MAX(0,MAX(0,Inputs!$B$43-B1571)-((R1543-1)*IF(Inputs!$B$38="pvp",15,MAX(0.1,Skills!D11-IF(Skills!E11=TRUE,4.0,0))))))/Skills!H11,1)))/Inputs!$B$43),G1543*Q1543))*IF(Inputs!$B$38="pvp",1,1+(Inputs!$B$20+0+Skills!P11)/100),0)</f>
        <v/>
      </c>
      <c r="V1543">
        <f>IF(C1543,(H1543*N1543*IF(AND(Inputs!$B$38&lt;&gt;"pvp",Inputs!$B$43&gt;0),((Skills!G11*((R1543-1)*IF(Skills!H11&gt;0,Skills!I11/Skills!H11,1)+IF(Skills!H11&gt;0,MIN(Skills!I11,MAX(0,MAX(0,Inputs!$B$43-B1571)-((R1543-1)*IF(Inputs!$B$38="pvp",15,MAX(0.1,Skills!D11-IF(Skills!E11=TRUE,4.0,0))))))/Skills!H11,1)))/Inputs!$B$43),G1543*Q1543))*IF(Inputs!$B$38="pvp",1,(1+(Inputs!$B$21+Skills!Q11)/100)*(MIN(Skills!R11,Inputs!$B$37))),0)</f>
        <v/>
      </c>
    </row>
    <row r="1544">
      <c r="A1544">
        <f>Skills!A12</f>
        <v/>
      </c>
      <c r="B1544">
        <f>Skills!B12</f>
        <v/>
      </c>
      <c r="C1544">
        <f>Inputs!$B$3&gt;=60</f>
        <v/>
      </c>
      <c r="D1544">
        <f>IF(Skills!C12=1,60+Inputs!$B$25+Inputs!$B$29,IF(Skills!C12=2,90+Inputs!$B$26+Inputs!$B$29,IF(Skills!C12=3,120+Inputs!$B$27+Inputs!$B$29,MAX(0,(Inputs!$B$3-100)*3)+Inputs!$B$28+Inputs!$B$29)))</f>
        <v/>
      </c>
      <c r="E1544">
        <f>INDEX(FactorTable!$B$2:$Y$301, MATCH(ROUND(MIN(300,MAX(1,D1544)),0), FactorTable!$A$2:$A$301,0), Skills!M12+1)</f>
        <v/>
      </c>
      <c r="F1544">
        <f>IF(Skills!N12=TRUE,(Skills!L12/10)*(E1544/1000),Skills!L12/10)+Skills!O12</f>
        <v/>
      </c>
      <c r="G1544">
        <f>Skills!G12*IF(Skills!H12&gt;0,Skills!I12/Skills!H12,1)</f>
        <v/>
      </c>
      <c r="H1544">
        <f>1-(1-Skills!J12/100)^Skills!K12</f>
        <v/>
      </c>
      <c r="I1544" t="inlineStr">
        <is>
          <t>1</t>
        </is>
      </c>
      <c r="J1544" t="inlineStr"/>
      <c r="K1544" t="inlineStr"/>
      <c r="L1544" t="inlineStr"/>
      <c r="M1544" t="inlineStr"/>
      <c r="N1544" t="inlineStr"/>
      <c r="O1544">
        <f>(1-Summary!$B$55)*T1544+Summary!$B$55*V1544</f>
        <v/>
      </c>
      <c r="P1544">
        <f>IF(B1574=0,0,O1544/B1574)</f>
        <v/>
      </c>
      <c r="Q1544" t="n">
        <v>0</v>
      </c>
      <c r="R1544" t="n">
        <v>0</v>
      </c>
      <c r="S1544" t="n">
        <v>0</v>
      </c>
      <c r="T1544" t="n">
        <v>0</v>
      </c>
      <c r="V1544" t="n">
        <v>0</v>
      </c>
    </row>
    <row r="1545">
      <c r="A1545">
        <f>Skills!A13</f>
        <v/>
      </c>
      <c r="B1545">
        <f>Skills!B13</f>
        <v/>
      </c>
      <c r="C1545">
        <f>Inputs!$B$3&gt;=74</f>
        <v/>
      </c>
      <c r="D1545">
        <f>IF(Skills!C13=1,60+Inputs!$B$25+Inputs!$B$29,IF(Skills!C13=2,90+Inputs!$B$26+Inputs!$B$29,IF(Skills!C13=3,120+Inputs!$B$27+Inputs!$B$29,MAX(0,(Inputs!$B$3-100)*3)+Inputs!$B$28+Inputs!$B$29)))</f>
        <v/>
      </c>
      <c r="E1545">
        <f>INDEX(FactorTable!$B$2:$Y$301, MATCH(ROUND(MIN(300,MAX(1,D1545)),0), FactorTable!$A$2:$A$301,0), Skills!M13+1)</f>
        <v/>
      </c>
      <c r="F1545">
        <f>IF(Skills!N13=TRUE,(Skills!L13/10)*(E1545/1000),Skills!L13/10)+Skills!O13</f>
        <v/>
      </c>
      <c r="G1545">
        <f>Skills!G13*IF(Skills!H13&gt;0,Skills!I13/Skills!H13,1)</f>
        <v/>
      </c>
      <c r="H1545">
        <f>1-(1-Skills!J13/100)^Skills!K13</f>
        <v/>
      </c>
      <c r="I1545" t="inlineStr">
        <is>
          <t>1</t>
        </is>
      </c>
      <c r="J1545" t="inlineStr"/>
      <c r="K1545" t="inlineStr"/>
      <c r="L1545" t="inlineStr"/>
      <c r="M1545" t="inlineStr"/>
      <c r="N1545" t="inlineStr"/>
      <c r="O1545">
        <f>(1-Summary!$B$55)*T1545+Summary!$B$55*V1545</f>
        <v/>
      </c>
      <c r="P1545">
        <f>IF(B1574=0,0,O1545/B1574)</f>
        <v/>
      </c>
      <c r="Q1545" t="n">
        <v>0</v>
      </c>
      <c r="R1545" t="n">
        <v>0</v>
      </c>
      <c r="S1545" t="n">
        <v>0</v>
      </c>
      <c r="T1545" t="n">
        <v>0</v>
      </c>
      <c r="V1545" t="n">
        <v>0</v>
      </c>
    </row>
    <row r="1546">
      <c r="A1546">
        <f>Skills!A14</f>
        <v/>
      </c>
      <c r="B1546">
        <f>Skills!B14</f>
        <v/>
      </c>
      <c r="C1546">
        <f>Inputs!$B$3&gt;=74</f>
        <v/>
      </c>
      <c r="D1546">
        <f>IF(Skills!C14=1,60+Inputs!$B$25+Inputs!$B$29,IF(Skills!C14=2,90+Inputs!$B$26+Inputs!$B$29,IF(Skills!C14=3,120+Inputs!$B$27+Inputs!$B$29,MAX(0,(Inputs!$B$3-100)*3)+Inputs!$B$28+Inputs!$B$29)))</f>
        <v/>
      </c>
      <c r="E1546">
        <f>INDEX(FactorTable!$B$2:$Y$301, MATCH(ROUND(MIN(300,MAX(1,D1546)),0), FactorTable!$A$2:$A$301,0), Skills!M14+1)</f>
        <v/>
      </c>
      <c r="F1546">
        <f>IF(Skills!N14=TRUE,(Skills!L14/10)*(E1546/1000),Skills!L14/10)+Skills!O14</f>
        <v/>
      </c>
      <c r="G1546">
        <f>Skills!G14*IF(Skills!H14&gt;0,Skills!I14/Skills!H14,1)</f>
        <v/>
      </c>
      <c r="H1546">
        <f>1-(1-Skills!J14/100)^Skills!K14</f>
        <v/>
      </c>
      <c r="I1546" t="inlineStr">
        <is>
          <t>1</t>
        </is>
      </c>
      <c r="J1546" t="inlineStr"/>
      <c r="K1546" t="inlineStr"/>
      <c r="L1546" t="inlineStr"/>
      <c r="M1546" t="inlineStr"/>
      <c r="N1546" t="inlineStr"/>
      <c r="O1546">
        <f>(1-Summary!$B$55)*T1546+Summary!$B$55*V1546</f>
        <v/>
      </c>
      <c r="P1546">
        <f>IF(B1574=0,0,O1546/B1574)</f>
        <v/>
      </c>
      <c r="Q1546" t="n">
        <v>0</v>
      </c>
      <c r="R1546" t="n">
        <v>0</v>
      </c>
      <c r="S1546" t="n">
        <v>0</v>
      </c>
      <c r="T1546" t="n">
        <v>0</v>
      </c>
      <c r="V1546" t="n">
        <v>0</v>
      </c>
    </row>
    <row r="1547">
      <c r="A1547">
        <f>Skills!A15</f>
        <v/>
      </c>
      <c r="B1547">
        <f>Skills!B15</f>
        <v/>
      </c>
      <c r="C1547">
        <f>Inputs!$B$3&gt;=117</f>
        <v/>
      </c>
      <c r="D1547">
        <f>IF(Skills!C15=1,60+Inputs!$B$25+Inputs!$B$29,IF(Skills!C15=2,90+Inputs!$B$26+Inputs!$B$29,IF(Skills!C15=3,120+Inputs!$B$27+Inputs!$B$29,MAX(0,(Inputs!$B$3-100)*3)+Inputs!$B$28+Inputs!$B$29)))</f>
        <v/>
      </c>
      <c r="E1547">
        <f>INDEX(FactorTable!$B$2:$Y$301, MATCH(ROUND(MIN(300,MAX(1,D1547)),0), FactorTable!$A$2:$A$301,0), Skills!M15+1)</f>
        <v/>
      </c>
      <c r="F1547">
        <f>IF(Skills!N15=TRUE,(Skills!L15/10)*(E1547/1000),Skills!L15/10)+Skills!O15</f>
        <v/>
      </c>
      <c r="G1547">
        <f>Skills!G15*IF(Skills!H15&gt;0,Skills!I15/Skills!H15,1)</f>
        <v/>
      </c>
      <c r="H1547">
        <f>1-(1-Skills!J15/100)^Skills!K15</f>
        <v/>
      </c>
      <c r="I1547" t="inlineStr">
        <is>
          <t>1</t>
        </is>
      </c>
      <c r="J1547" t="inlineStr"/>
      <c r="K1547" t="inlineStr"/>
      <c r="L1547" t="inlineStr"/>
      <c r="M1547" t="inlineStr"/>
      <c r="N1547" t="inlineStr"/>
      <c r="O1547">
        <f>(1-Summary!$B$55)*T1547+Summary!$B$55*V1547</f>
        <v/>
      </c>
      <c r="P1547">
        <f>IF(B1574=0,0,O1547/B1574)</f>
        <v/>
      </c>
      <c r="Q1547">
        <f>IFERROR(1/IF(Inputs!$B$38="pvp",15,MAX(0.1,Skills!D15-IF(Skills!E15=TRUE,4.0,0))),0)</f>
        <v/>
      </c>
      <c r="R1547">
        <f>IF(AND(Inputs!$B$38&lt;&gt;"pvp",Inputs!$B$43&gt;0),IF(Inputs!$B$43&lt;=0,0,(INT(Inputs!$B$43/IF(Inputs!$B$38="pvp",15,MAX(0.1,Skills!D15-IF(Skills!E15=TRUE,4.0,0))))+1)),0)</f>
        <v/>
      </c>
      <c r="S1547" t="n">
        <v>0</v>
      </c>
      <c r="T1547" t="n">
        <v>0</v>
      </c>
      <c r="V1547" t="n">
        <v>0</v>
      </c>
    </row>
    <row r="1548">
      <c r="A1548">
        <f>Skills!A16</f>
        <v/>
      </c>
      <c r="B1548">
        <f>Skills!B16</f>
        <v/>
      </c>
      <c r="C1548">
        <f>Inputs!$B$3&gt;=115</f>
        <v/>
      </c>
      <c r="D1548">
        <f>IF(Skills!C16=1,60+Inputs!$B$25+Inputs!$B$29,IF(Skills!C16=2,90+Inputs!$B$26+Inputs!$B$29,IF(Skills!C16=3,120+Inputs!$B$27+Inputs!$B$29,MAX(0,(Inputs!$B$3-100)*3)+Inputs!$B$28+Inputs!$B$29)))</f>
        <v/>
      </c>
      <c r="E1548">
        <f>INDEX(FactorTable!$B$2:$Y$301, MATCH(ROUND(MIN(300,MAX(1,D1548)),0), FactorTable!$A$2:$A$301,0), Skills!M16+1)</f>
        <v/>
      </c>
      <c r="F1548">
        <f>IF(Skills!N16=TRUE,(Skills!L16/10)*(E1548/1000),Skills!L16/10)+Skills!O16</f>
        <v/>
      </c>
      <c r="G1548">
        <f>Skills!G16*IF(Skills!H16&gt;0,Skills!I16/Skills!H16,1)</f>
        <v/>
      </c>
      <c r="H1548">
        <f>1-(1-Skills!J16/100)^Skills!K16</f>
        <v/>
      </c>
      <c r="I1548" t="inlineStr">
        <is>
          <t>1</t>
        </is>
      </c>
      <c r="J1548" t="inlineStr"/>
      <c r="K1548" t="inlineStr"/>
      <c r="L1548" t="inlineStr"/>
      <c r="M1548" t="inlineStr"/>
      <c r="N1548" t="inlineStr"/>
      <c r="O1548">
        <f>(1-Summary!$B$55)*T1548+Summary!$B$55*V1548</f>
        <v/>
      </c>
      <c r="P1548">
        <f>IF(B1574=0,0,O1548/B1574)</f>
        <v/>
      </c>
      <c r="Q1548">
        <f>IFERROR(1/IF(Inputs!$B$38="pvp",15,MAX(0.1,Skills!D16-IF(Skills!E16=TRUE,4.0,0))),0)</f>
        <v/>
      </c>
      <c r="R1548">
        <f>IF(AND(Inputs!$B$38&lt;&gt;"pvp",Inputs!$B$43&gt;0),IF(Inputs!$B$43&lt;=0,0,(INT(Inputs!$B$43/IF(Inputs!$B$38="pvp",15,MAX(0.1,Skills!D16-IF(Skills!E16=TRUE,4.0,0))))+1)),0)</f>
        <v/>
      </c>
      <c r="S1548" t="n">
        <v>0</v>
      </c>
      <c r="T1548" t="n">
        <v>0</v>
      </c>
      <c r="V1548" t="n">
        <v>0</v>
      </c>
    </row>
    <row r="1549">
      <c r="A1549">
        <f>Skills!A17</f>
        <v/>
      </c>
      <c r="B1549">
        <f>Skills!B17</f>
        <v/>
      </c>
      <c r="C1549">
        <f>Inputs!$B$3&gt;=72</f>
        <v/>
      </c>
      <c r="D1549">
        <f>IF(Skills!C17=1,60+Inputs!$B$25+Inputs!$B$29,IF(Skills!C17=2,90+Inputs!$B$26+Inputs!$B$29,IF(Skills!C17=3,120+Inputs!$B$27+Inputs!$B$29,MAX(0,(Inputs!$B$3-100)*3)+Inputs!$B$28+Inputs!$B$29)))</f>
        <v/>
      </c>
      <c r="E1549">
        <f>INDEX(FactorTable!$B$2:$Y$301, MATCH(ROUND(MIN(300,MAX(1,D1549)),0), FactorTable!$A$2:$A$301,0), Skills!M17+1)</f>
        <v/>
      </c>
      <c r="F1549">
        <f>IF(Skills!N17=TRUE,(Skills!L17/10)*(E1549/1000),Skills!L17/10)+Skills!O17</f>
        <v/>
      </c>
      <c r="G1549">
        <f>Skills!G17*IF(Skills!H17&gt;0,Skills!I17/Skills!H17,1)</f>
        <v/>
      </c>
      <c r="H1549">
        <f>1-(1-Skills!J17/100)^Skills!K17</f>
        <v/>
      </c>
      <c r="I1549" t="inlineStr">
        <is>
          <t>1</t>
        </is>
      </c>
      <c r="J1549" t="inlineStr"/>
      <c r="K1549" t="inlineStr"/>
      <c r="L1549" t="inlineStr"/>
      <c r="M1549" t="inlineStr"/>
      <c r="N1549" t="inlineStr"/>
      <c r="O1549">
        <f>(1-Summary!$B$55)*T1549+Summary!$B$55*V1549</f>
        <v/>
      </c>
      <c r="P1549">
        <f>IF(B1574=0,0,O1549/B1574)</f>
        <v/>
      </c>
      <c r="Q1549" t="n">
        <v>0</v>
      </c>
      <c r="R1549" t="n">
        <v>0</v>
      </c>
      <c r="S1549" t="n">
        <v>0</v>
      </c>
      <c r="T1549" t="n">
        <v>0</v>
      </c>
      <c r="V1549" t="n">
        <v>0</v>
      </c>
    </row>
    <row r="1550">
      <c r="A1550">
        <f>Skills!A18</f>
        <v/>
      </c>
      <c r="B1550">
        <f>Skills!B18</f>
        <v/>
      </c>
      <c r="C1550">
        <f>TRUE</f>
        <v/>
      </c>
      <c r="D1550">
        <f>IF(Skills!C18=1,60+Inputs!$B$25+Inputs!$B$29,IF(Skills!C18=2,90+Inputs!$B$26+Inputs!$B$29,IF(Skills!C18=3,120+Inputs!$B$27+Inputs!$B$29,MAX(0,(Inputs!$B$3-100)*3)+Inputs!$B$28+Inputs!$B$29)))</f>
        <v/>
      </c>
      <c r="E1550">
        <f>INDEX(FactorTable!$B$2:$Y$301, MATCH(ROUND(MIN(300,MAX(1,D1550)),0), FactorTable!$A$2:$A$301,0), Skills!M18+1)</f>
        <v/>
      </c>
      <c r="F1550">
        <f>IF(Skills!N18=TRUE,(Skills!L18/10)*(E1550/1000),Skills!L18/10)+Skills!O18</f>
        <v/>
      </c>
      <c r="G1550">
        <f>Skills!G18*IF(Skills!H18&gt;0,Skills!I18/Skills!H18,1)</f>
        <v/>
      </c>
      <c r="H1550">
        <f>1-(1-Skills!J18/100)^Skills!K18</f>
        <v/>
      </c>
      <c r="I1550" t="inlineStr">
        <is>
          <t>1</t>
        </is>
      </c>
      <c r="J1550" t="inlineStr"/>
      <c r="K1550" t="inlineStr"/>
      <c r="L1550" t="inlineStr"/>
      <c r="M1550" t="inlineStr"/>
      <c r="N1550" t="inlineStr"/>
      <c r="O1550">
        <f>(1-Summary!$B$55)*T1550+Summary!$B$55*V1550</f>
        <v/>
      </c>
      <c r="P1550">
        <f>IF(B1574=0,0,O1550/B1574)</f>
        <v/>
      </c>
      <c r="Q1550">
        <f>IFERROR(1/IF(Inputs!$B$38="pvp",15,MAX(0.1,Skills!D18-IF(Skills!E18=TRUE,4.0,0))),0)</f>
        <v/>
      </c>
      <c r="R1550">
        <f>IF(AND(Inputs!$B$38&lt;&gt;"pvp",Inputs!$B$43&gt;0),IF(Inputs!$B$43&lt;=0,0,(INT(Inputs!$B$43/IF(Inputs!$B$38="pvp",15,MAX(0.1,Skills!D18-IF(Skills!E18=TRUE,4.0,0))))+1)),0)</f>
        <v/>
      </c>
      <c r="S1550" t="n">
        <v>0</v>
      </c>
      <c r="T1550" t="n">
        <v>0</v>
      </c>
      <c r="V1550" t="n">
        <v>0</v>
      </c>
    </row>
    <row r="1551">
      <c r="A1551">
        <f>Skills!A19</f>
        <v/>
      </c>
      <c r="B1551">
        <f>Skills!B19</f>
        <v/>
      </c>
      <c r="C1551">
        <f>Inputs!$B$3&gt;=15</f>
        <v/>
      </c>
      <c r="D1551">
        <f>IF(Skills!C19=1,60+Inputs!$B$25+Inputs!$B$29,IF(Skills!C19=2,90+Inputs!$B$26+Inputs!$B$29,IF(Skills!C19=3,120+Inputs!$B$27+Inputs!$B$29,MAX(0,(Inputs!$B$3-100)*3)+Inputs!$B$28+Inputs!$B$29)))</f>
        <v/>
      </c>
      <c r="E1551">
        <f>INDEX(FactorTable!$B$2:$Y$301, MATCH(ROUND(MIN(300,MAX(1,D1551)),0), FactorTable!$A$2:$A$301,0), Skills!M19+1)</f>
        <v/>
      </c>
      <c r="F1551">
        <f>IF(Skills!N19=TRUE,(Skills!L19/10)*(E1551/1000),Skills!L19/10)+Skills!O19</f>
        <v/>
      </c>
      <c r="G1551">
        <f>Skills!G19*IF(Skills!H19&gt;0,Skills!I19/Skills!H19,1)</f>
        <v/>
      </c>
      <c r="H1551">
        <f>1-(1-Skills!J19/100)^Skills!K19</f>
        <v/>
      </c>
      <c r="I1551" t="inlineStr">
        <is>
          <t>1</t>
        </is>
      </c>
      <c r="J1551" t="inlineStr"/>
      <c r="K1551" t="inlineStr"/>
      <c r="L1551" t="inlineStr"/>
      <c r="M1551" t="inlineStr"/>
      <c r="N1551" t="inlineStr"/>
      <c r="O1551">
        <f>(1-Summary!$B$55)*T1551+Summary!$B$55*V1551</f>
        <v/>
      </c>
      <c r="P1551">
        <f>IF(B1574=0,0,O1551/B1574)</f>
        <v/>
      </c>
      <c r="Q1551" t="n">
        <v>0</v>
      </c>
      <c r="R1551" t="n">
        <v>0</v>
      </c>
      <c r="S1551" t="n">
        <v>0</v>
      </c>
      <c r="T1551" t="n">
        <v>0</v>
      </c>
      <c r="V1551" t="n">
        <v>0</v>
      </c>
    </row>
    <row r="1552">
      <c r="A1552">
        <f>Skills!A20</f>
        <v/>
      </c>
      <c r="B1552">
        <f>Skills!B20</f>
        <v/>
      </c>
      <c r="C1552">
        <f>Inputs!$B$3&gt;=10</f>
        <v/>
      </c>
      <c r="D1552">
        <f>IF(Skills!C20=1,60+Inputs!$B$25+Inputs!$B$29,IF(Skills!C20=2,90+Inputs!$B$26+Inputs!$B$29,IF(Skills!C20=3,120+Inputs!$B$27+Inputs!$B$29,MAX(0,(Inputs!$B$3-100)*3)+Inputs!$B$28+Inputs!$B$29)))</f>
        <v/>
      </c>
      <c r="E1552">
        <f>INDEX(FactorTable!$B$2:$Y$301, MATCH(ROUND(MIN(300,MAX(1,D1552)),0), FactorTable!$A$2:$A$301,0), Skills!M20+1)</f>
        <v/>
      </c>
      <c r="F1552">
        <f>IF(Skills!N20=TRUE,(Skills!L20/10)*(E1552/1000),Skills!L20/10)+Skills!O20</f>
        <v/>
      </c>
      <c r="G1552">
        <f>Skills!G20*IF(Skills!H20&gt;0,Skills!I20/Skills!H20,1)</f>
        <v/>
      </c>
      <c r="H1552">
        <f>1-(1-Skills!J20/100)^Skills!K20</f>
        <v/>
      </c>
      <c r="I1552" t="inlineStr">
        <is>
          <t>1</t>
        </is>
      </c>
      <c r="J1552" t="inlineStr"/>
      <c r="K1552" t="inlineStr"/>
      <c r="L1552" t="inlineStr"/>
      <c r="M1552" t="inlineStr"/>
      <c r="N1552" t="inlineStr"/>
      <c r="O1552">
        <f>(1-Summary!$B$55)*T1552+Summary!$B$55*V1552</f>
        <v/>
      </c>
      <c r="P1552">
        <f>IF(B1574=0,0,O1552/B1574)</f>
        <v/>
      </c>
      <c r="Q1552" t="n">
        <v>0</v>
      </c>
      <c r="R1552" t="n">
        <v>0</v>
      </c>
      <c r="S1552" t="n">
        <v>0</v>
      </c>
      <c r="T1552" t="n">
        <v>0</v>
      </c>
      <c r="V1552" t="n">
        <v>0</v>
      </c>
    </row>
    <row r="1553">
      <c r="A1553">
        <f>Skills!A21</f>
        <v/>
      </c>
      <c r="B1553">
        <f>Skills!B21</f>
        <v/>
      </c>
      <c r="C1553">
        <f>Inputs!$B$3&gt;=33</f>
        <v/>
      </c>
      <c r="D1553">
        <f>IF(Skills!C21=1,60+Inputs!$B$25+Inputs!$B$29,IF(Skills!C21=2,90+Inputs!$B$26+Inputs!$B$29,IF(Skills!C21=3,120+Inputs!$B$27+Inputs!$B$29,MAX(0,(Inputs!$B$3-100)*3)+Inputs!$B$28+Inputs!$B$29)))</f>
        <v/>
      </c>
      <c r="E1553">
        <f>INDEX(FactorTable!$B$2:$Y$301, MATCH(ROUND(MIN(300,MAX(1,D1553)),0), FactorTable!$A$2:$A$301,0), Skills!M21+1)</f>
        <v/>
      </c>
      <c r="F1553">
        <f>IF(Skills!N21=TRUE,(Skills!L21/10)*(E1553/1000),Skills!L21/10)+Skills!O21</f>
        <v/>
      </c>
      <c r="G1553">
        <f>Skills!G21*IF(Skills!H21&gt;0,Skills!I21/Skills!H21,1)</f>
        <v/>
      </c>
      <c r="H1553">
        <f>1-(1-Skills!J21/100)^Skills!K21</f>
        <v/>
      </c>
      <c r="I1553" t="inlineStr">
        <is>
          <t>1</t>
        </is>
      </c>
      <c r="J1553" t="inlineStr"/>
      <c r="K1553" t="inlineStr"/>
      <c r="L1553" t="inlineStr"/>
      <c r="M1553" t="inlineStr"/>
      <c r="N1553" t="inlineStr"/>
      <c r="O1553">
        <f>(1-Summary!$B$55)*T1553+Summary!$B$55*V1553</f>
        <v/>
      </c>
      <c r="P1553">
        <f>IF(B1574=0,0,O1553/B1574)</f>
        <v/>
      </c>
      <c r="Q1553" t="n">
        <v>0</v>
      </c>
      <c r="R1553" t="n">
        <v>0</v>
      </c>
      <c r="S1553" t="n">
        <v>0</v>
      </c>
      <c r="T1553" t="n">
        <v>0</v>
      </c>
      <c r="V1553" t="n">
        <v>0</v>
      </c>
    </row>
    <row r="1554">
      <c r="A1554">
        <f>Skills!A22</f>
        <v/>
      </c>
      <c r="B1554">
        <f>Skills!B22</f>
        <v/>
      </c>
      <c r="C1554">
        <f>Inputs!$B$3&gt;=38</f>
        <v/>
      </c>
      <c r="D1554">
        <f>IF(Skills!C22=1,60+Inputs!$B$25+Inputs!$B$29,IF(Skills!C22=2,90+Inputs!$B$26+Inputs!$B$29,IF(Skills!C22=3,120+Inputs!$B$27+Inputs!$B$29,MAX(0,(Inputs!$B$3-100)*3)+Inputs!$B$28+Inputs!$B$29)))</f>
        <v/>
      </c>
      <c r="E1554">
        <f>INDEX(FactorTable!$B$2:$Y$301, MATCH(ROUND(MIN(300,MAX(1,D1554)),0), FactorTable!$A$2:$A$301,0), Skills!M22+1)</f>
        <v/>
      </c>
      <c r="F1554">
        <f>IF(Skills!N22=TRUE,(Skills!L22/10)*(E1554/1000),Skills!L22/10)+Skills!O22</f>
        <v/>
      </c>
      <c r="G1554">
        <f>Skills!G22*IF(Skills!H22&gt;0,Skills!I22/Skills!H22,1)</f>
        <v/>
      </c>
      <c r="H1554">
        <f>1-(1-Skills!J22/100)^Skills!K22</f>
        <v/>
      </c>
      <c r="I1554" t="inlineStr">
        <is>
          <t>1</t>
        </is>
      </c>
      <c r="J1554" t="inlineStr"/>
      <c r="K1554" t="inlineStr"/>
      <c r="L1554" t="inlineStr"/>
      <c r="M1554" t="inlineStr"/>
      <c r="N1554" t="inlineStr"/>
      <c r="O1554">
        <f>(1-Summary!$B$55)*T1554+Summary!$B$55*V1554</f>
        <v/>
      </c>
      <c r="P1554">
        <f>IF(B1574=0,0,O1554/B1574)</f>
        <v/>
      </c>
      <c r="Q1554" t="n">
        <v>0</v>
      </c>
      <c r="R1554" t="n">
        <v>0</v>
      </c>
      <c r="S1554" t="n">
        <v>0</v>
      </c>
      <c r="T1554" t="n">
        <v>0</v>
      </c>
      <c r="V1554" t="n">
        <v>0</v>
      </c>
    </row>
    <row r="1555">
      <c r="A1555">
        <f>Skills!A23</f>
        <v/>
      </c>
      <c r="B1555">
        <f>Skills!B23</f>
        <v/>
      </c>
      <c r="C1555">
        <f>Inputs!$B$3&gt;=43</f>
        <v/>
      </c>
      <c r="D1555">
        <f>IF(Skills!C23=1,60+Inputs!$B$25+Inputs!$B$29,IF(Skills!C23=2,90+Inputs!$B$26+Inputs!$B$29,IF(Skills!C23=3,120+Inputs!$B$27+Inputs!$B$29,MAX(0,(Inputs!$B$3-100)*3)+Inputs!$B$28+Inputs!$B$29)))</f>
        <v/>
      </c>
      <c r="E1555">
        <f>INDEX(FactorTable!$B$2:$Y$301, MATCH(ROUND(MIN(300,MAX(1,D1555)),0), FactorTable!$A$2:$A$301,0), Skills!M23+1)</f>
        <v/>
      </c>
      <c r="F1555">
        <f>IF(Skills!N23=TRUE,(Skills!L23/10)*(E1555/1000),Skills!L23/10)+Skills!O23</f>
        <v/>
      </c>
      <c r="G1555">
        <f>Skills!G23*IF(Skills!H23&gt;0,Skills!I23/Skills!H23,1)</f>
        <v/>
      </c>
      <c r="H1555">
        <f>1-(1-Skills!J23/100)^Skills!K23</f>
        <v/>
      </c>
      <c r="I1555" t="inlineStr">
        <is>
          <t>1</t>
        </is>
      </c>
      <c r="J1555" t="inlineStr"/>
      <c r="K1555" t="inlineStr"/>
      <c r="L1555" t="inlineStr"/>
      <c r="M1555" t="inlineStr"/>
      <c r="N1555" t="inlineStr"/>
      <c r="O1555">
        <f>(1-Summary!$B$55)*T1555+Summary!$B$55*V1555</f>
        <v/>
      </c>
      <c r="P1555">
        <f>IF(B1574=0,0,O1555/B1574)</f>
        <v/>
      </c>
      <c r="Q1555" t="n">
        <v>0</v>
      </c>
      <c r="R1555" t="n">
        <v>0</v>
      </c>
      <c r="S1555" t="n">
        <v>0</v>
      </c>
      <c r="T1555" t="n">
        <v>0</v>
      </c>
      <c r="V1555" t="n">
        <v>0</v>
      </c>
    </row>
    <row r="1556">
      <c r="A1556">
        <f>Skills!A24</f>
        <v/>
      </c>
      <c r="B1556">
        <f>Skills!B24</f>
        <v/>
      </c>
      <c r="C1556">
        <f>Inputs!$B$3&gt;=75</f>
        <v/>
      </c>
      <c r="D1556">
        <f>IF(Skills!C24=1,60+Inputs!$B$25+Inputs!$B$29,IF(Skills!C24=2,90+Inputs!$B$26+Inputs!$B$29,IF(Skills!C24=3,120+Inputs!$B$27+Inputs!$B$29,MAX(0,(Inputs!$B$3-100)*3)+Inputs!$B$28+Inputs!$B$29)))</f>
        <v/>
      </c>
      <c r="E1556">
        <f>INDEX(FactorTable!$B$2:$Y$301, MATCH(ROUND(MIN(300,MAX(1,D1556)),0), FactorTable!$A$2:$A$301,0), Skills!M24+1)</f>
        <v/>
      </c>
      <c r="F1556">
        <f>IF(Skills!N24=TRUE,(Skills!L24/10)*(E1556/1000),Skills!L24/10)+Skills!O24</f>
        <v/>
      </c>
      <c r="G1556">
        <f>Skills!G24*IF(Skills!H24&gt;0,Skills!I24/Skills!H24,1)</f>
        <v/>
      </c>
      <c r="H1556">
        <f>1-(1-Skills!J24/100)^Skills!K24</f>
        <v/>
      </c>
      <c r="I1556" t="inlineStr">
        <is>
          <t>1</t>
        </is>
      </c>
      <c r="J1556" t="inlineStr"/>
      <c r="K1556" t="inlineStr"/>
      <c r="L1556" t="inlineStr"/>
      <c r="M1556" t="inlineStr"/>
      <c r="N1556" t="inlineStr"/>
      <c r="O1556">
        <f>(1-Summary!$B$55)*T1556+Summary!$B$55*V1556</f>
        <v/>
      </c>
      <c r="P1556">
        <f>IF(B1574=0,0,O1556/B1574)</f>
        <v/>
      </c>
      <c r="Q1556" t="n">
        <v>0</v>
      </c>
      <c r="R1556" t="n">
        <v>0</v>
      </c>
      <c r="S1556" t="n">
        <v>0</v>
      </c>
      <c r="T1556" t="n">
        <v>0</v>
      </c>
      <c r="V1556" t="n">
        <v>0</v>
      </c>
    </row>
    <row r="1557">
      <c r="A1557">
        <f>Skills!A25</f>
        <v/>
      </c>
      <c r="B1557">
        <f>Skills!B25</f>
        <v/>
      </c>
      <c r="C1557">
        <f>Inputs!$B$3&gt;=125</f>
        <v/>
      </c>
      <c r="D1557">
        <f>IF(Skills!C25=1,60+Inputs!$B$25+Inputs!$B$29,IF(Skills!C25=2,90+Inputs!$B$26+Inputs!$B$29,IF(Skills!C25=3,120+Inputs!$B$27+Inputs!$B$29,MAX(0,(Inputs!$B$3-100)*3)+Inputs!$B$28+Inputs!$B$29)))</f>
        <v/>
      </c>
      <c r="E1557">
        <f>INDEX(FactorTable!$B$2:$Y$301, MATCH(ROUND(MIN(300,MAX(1,D1557)),0), FactorTable!$A$2:$A$301,0), Skills!M25+1)</f>
        <v/>
      </c>
      <c r="F1557">
        <f>IF(Skills!N25=TRUE,(Skills!L25/10)*(E1557/1000),Skills!L25/10)+Skills!O25</f>
        <v/>
      </c>
      <c r="G1557">
        <f>Skills!G25*IF(Skills!H25&gt;0,Skills!I25/Skills!H25,1)</f>
        <v/>
      </c>
      <c r="H1557">
        <f>1-(1-Skills!J25/100)^Skills!K25</f>
        <v/>
      </c>
      <c r="I1557" t="inlineStr">
        <is>
          <t>1</t>
        </is>
      </c>
      <c r="J1557" t="inlineStr"/>
      <c r="K1557" t="inlineStr"/>
      <c r="L1557" t="inlineStr"/>
      <c r="M1557" t="inlineStr"/>
      <c r="N1557" t="inlineStr"/>
      <c r="O1557">
        <f>(1-Summary!$B$55)*T1557+Summary!$B$55*V1557</f>
        <v/>
      </c>
      <c r="P1557">
        <f>IF(B1574=0,0,O1557/B1574)</f>
        <v/>
      </c>
      <c r="Q1557" t="n">
        <v>0</v>
      </c>
      <c r="R1557" t="n">
        <v>0</v>
      </c>
      <c r="S1557" t="n">
        <v>0</v>
      </c>
      <c r="T1557" t="n">
        <v>0</v>
      </c>
      <c r="V1557" t="n">
        <v>0</v>
      </c>
    </row>
    <row r="1558">
      <c r="A1558">
        <f>Skills!A26</f>
        <v/>
      </c>
      <c r="B1558">
        <f>Skills!B26</f>
        <v/>
      </c>
      <c r="C1558">
        <f>Inputs!$B$3&gt;=125</f>
        <v/>
      </c>
      <c r="D1558">
        <f>IF(Skills!C26=1,60+Inputs!$B$25+Inputs!$B$29,IF(Skills!C26=2,90+Inputs!$B$26+Inputs!$B$29,IF(Skills!C26=3,120+Inputs!$B$27+Inputs!$B$29,MAX(0,(Inputs!$B$3-100)*3)+Inputs!$B$28+Inputs!$B$29)))</f>
        <v/>
      </c>
      <c r="E1558">
        <f>INDEX(FactorTable!$B$2:$Y$301, MATCH(ROUND(MIN(300,MAX(1,D1558)),0), FactorTable!$A$2:$A$301,0), Skills!M26+1)</f>
        <v/>
      </c>
      <c r="F1558">
        <f>IF(Skills!N26=TRUE,(Skills!L26/10)*(E1558/1000),Skills!L26/10)+Skills!O26</f>
        <v/>
      </c>
      <c r="G1558">
        <f>Skills!G26*IF(Skills!H26&gt;0,Skills!I26/Skills!H26,1)</f>
        <v/>
      </c>
      <c r="H1558">
        <f>1-(1-Skills!J26/100)^Skills!K26</f>
        <v/>
      </c>
      <c r="I1558" t="inlineStr">
        <is>
          <t>1</t>
        </is>
      </c>
      <c r="J1558" t="inlineStr"/>
      <c r="K1558" t="inlineStr"/>
      <c r="L1558" t="inlineStr"/>
      <c r="M1558" t="inlineStr"/>
      <c r="N1558" t="inlineStr"/>
      <c r="O1558">
        <f>(1-Summary!$B$55)*T1558+Summary!$B$55*V1558</f>
        <v/>
      </c>
      <c r="P1558">
        <f>IF(B1574=0,0,O1558/B1574)</f>
        <v/>
      </c>
      <c r="Q1558" t="n">
        <v>0</v>
      </c>
      <c r="R1558" t="n">
        <v>0</v>
      </c>
      <c r="S1558" t="n">
        <v>0</v>
      </c>
      <c r="T1558" t="n">
        <v>0</v>
      </c>
      <c r="V1558" t="n">
        <v>0</v>
      </c>
    </row>
    <row r="1559">
      <c r="A1559">
        <f>Skills!A27</f>
        <v/>
      </c>
      <c r="B1559">
        <f>Skills!B27</f>
        <v/>
      </c>
      <c r="C1559">
        <f>Inputs!$B$3&gt;=120</f>
        <v/>
      </c>
      <c r="D1559">
        <f>IF(Skills!C27=1,60+Inputs!$B$25+Inputs!$B$29,IF(Skills!C27=2,90+Inputs!$B$26+Inputs!$B$29,IF(Skills!C27=3,120+Inputs!$B$27+Inputs!$B$29,MAX(0,(Inputs!$B$3-100)*3)+Inputs!$B$28+Inputs!$B$29)))</f>
        <v/>
      </c>
      <c r="E1559">
        <f>INDEX(FactorTable!$B$2:$Y$301, MATCH(ROUND(MIN(300,MAX(1,D1559)),0), FactorTable!$A$2:$A$301,0), Skills!M27+1)</f>
        <v/>
      </c>
      <c r="F1559">
        <f>IF(Skills!N27=TRUE,(Skills!L27/10)*(E1559/1000),Skills!L27/10)+Skills!O27</f>
        <v/>
      </c>
      <c r="G1559">
        <f>Skills!G27*IF(Skills!H27&gt;0,Skills!I27/Skills!H27,1)</f>
        <v/>
      </c>
      <c r="H1559">
        <f>1-(1-Skills!J27/100)^Skills!K27</f>
        <v/>
      </c>
      <c r="I1559" t="inlineStr">
        <is>
          <t>1</t>
        </is>
      </c>
      <c r="J1559" t="inlineStr"/>
      <c r="K1559" t="inlineStr"/>
      <c r="L1559" t="inlineStr"/>
      <c r="M1559" t="inlineStr"/>
      <c r="N1559" t="inlineStr"/>
      <c r="O1559">
        <f>(1-Summary!$B$55)*T1559+Summary!$B$55*V1559</f>
        <v/>
      </c>
      <c r="P1559">
        <f>IF(B1574=0,0,O1559/B1574)</f>
        <v/>
      </c>
      <c r="Q1559" t="n">
        <v>0</v>
      </c>
      <c r="R1559" t="n">
        <v>0</v>
      </c>
      <c r="S1559" t="n">
        <v>0</v>
      </c>
      <c r="T1559" t="n">
        <v>0</v>
      </c>
      <c r="V1559" t="n">
        <v>0</v>
      </c>
    </row>
    <row r="1560">
      <c r="A1560">
        <f>Skills!A28</f>
        <v/>
      </c>
      <c r="B1560">
        <f>Skills!B28</f>
        <v/>
      </c>
      <c r="C1560">
        <f>Inputs!$B$3&gt;=120</f>
        <v/>
      </c>
      <c r="D1560">
        <f>IF(Skills!C28=1,60+Inputs!$B$25+Inputs!$B$29,IF(Skills!C28=2,90+Inputs!$B$26+Inputs!$B$29,IF(Skills!C28=3,120+Inputs!$B$27+Inputs!$B$29,MAX(0,(Inputs!$B$3-100)*3)+Inputs!$B$28+Inputs!$B$29)))</f>
        <v/>
      </c>
      <c r="E1560">
        <f>INDEX(FactorTable!$B$2:$Y$301, MATCH(ROUND(MIN(300,MAX(1,D1560)),0), FactorTable!$A$2:$A$301,0), Skills!M28+1)</f>
        <v/>
      </c>
      <c r="F1560">
        <f>IF(Skills!N28=TRUE,(Skills!L28/10)*(E1560/1000),Skills!L28/10)+Skills!O28</f>
        <v/>
      </c>
      <c r="G1560">
        <f>Skills!G28*IF(Skills!H28&gt;0,Skills!I28/Skills!H28,1)</f>
        <v/>
      </c>
      <c r="H1560">
        <f>1-(1-Skills!J28/100)^Skills!K28</f>
        <v/>
      </c>
      <c r="I1560" t="inlineStr">
        <is>
          <t>1</t>
        </is>
      </c>
      <c r="J1560" t="inlineStr"/>
      <c r="K1560" t="inlineStr"/>
      <c r="L1560" t="inlineStr"/>
      <c r="M1560" t="inlineStr"/>
      <c r="N1560" t="inlineStr"/>
      <c r="O1560">
        <f>(1-Summary!$B$55)*T1560+Summary!$B$55*V1560</f>
        <v/>
      </c>
      <c r="P1560">
        <f>IF(B1574=0,0,O1560/B1574)</f>
        <v/>
      </c>
      <c r="Q1560" t="n">
        <v>0</v>
      </c>
      <c r="R1560" t="n">
        <v>0</v>
      </c>
      <c r="S1560" t="n">
        <v>0</v>
      </c>
      <c r="T1560" t="n">
        <v>0</v>
      </c>
      <c r="V1560" t="n">
        <v>0</v>
      </c>
    </row>
    <row r="1561">
      <c r="A1561">
        <f>Skills!A29</f>
        <v/>
      </c>
      <c r="B1561">
        <f>Skills!B29</f>
        <v/>
      </c>
      <c r="C1561">
        <f>Inputs!$B$3&gt;=45</f>
        <v/>
      </c>
      <c r="D1561">
        <f>IF(Skills!C29=1,60+Inputs!$B$25+Inputs!$B$29,IF(Skills!C29=2,90+Inputs!$B$26+Inputs!$B$29,IF(Skills!C29=3,120+Inputs!$B$27+Inputs!$B$29,MAX(0,(Inputs!$B$3-100)*3)+Inputs!$B$28+Inputs!$B$29)))</f>
        <v/>
      </c>
      <c r="E1561">
        <f>INDEX(FactorTable!$B$2:$Y$301, MATCH(ROUND(MIN(300,MAX(1,D1561)),0), FactorTable!$A$2:$A$301,0), Skills!M29+1)</f>
        <v/>
      </c>
      <c r="F1561">
        <f>IF(Skills!N29=TRUE,(Skills!L29/10)*(E1561/1000),Skills!L29/10)+Skills!O29</f>
        <v/>
      </c>
      <c r="G1561">
        <f>Skills!G29*IF(Skills!H29&gt;0,Skills!I29/Skills!H29,1)</f>
        <v/>
      </c>
      <c r="H1561">
        <f>1-(1-Skills!J29/100)^Skills!K29</f>
        <v/>
      </c>
      <c r="I1561" t="inlineStr">
        <is>
          <t>1</t>
        </is>
      </c>
      <c r="J1561" t="inlineStr"/>
      <c r="K1561" t="inlineStr"/>
      <c r="L1561" t="inlineStr"/>
      <c r="M1561" t="inlineStr"/>
      <c r="N1561" t="inlineStr"/>
      <c r="O1561">
        <f>(1-Summary!$B$55)*T1561+Summary!$B$55*V1561</f>
        <v/>
      </c>
      <c r="P1561">
        <f>IF(B1574=0,0,O1561/B1574)</f>
        <v/>
      </c>
      <c r="Q1561" t="n">
        <v>0</v>
      </c>
      <c r="R1561" t="n">
        <v>0</v>
      </c>
      <c r="S1561" t="n">
        <v>0</v>
      </c>
      <c r="T1561" t="n">
        <v>0</v>
      </c>
      <c r="V1561" t="n">
        <v>0</v>
      </c>
    </row>
    <row r="1563">
      <c r="A1563" t="inlineStr">
        <is>
          <t>Attack% Bucket Multiplier</t>
        </is>
      </c>
      <c r="B1563">
        <f>(1+(((C1545=TRUE)*F1545)+((C1546=TRUE)*IF(Inputs!$B$38="pvp",F1546,(1-Summary!$B$55)*(F1546)+Summary!$B$55*(0)))+((C1547=TRUE)*F1547*IF(AND(Inputs!$B$38&lt;&gt;"pvp",Inputs!$B$43&gt;0),(((R1547-1)*(Skills!T15*(1+Inputs!$B$34/100))+MIN((Skills!T15*(1+Inputs!$B$34/100)),MAX(0,Inputs!$B$43-((R1547-1)*Skills!D15))))/Inputs!$B$43),IF(Inputs!$B$38="pvp",MIN((Skills!T15*(1+Inputs!$B$34/100)),15)/15,(Skills!T15*(1+Inputs!$B$34/100))/Skills!D15)))+((C1544=TRUE)*F1544)+((C1561=TRUE)*(F1561-Calc!F29)))/100)</f>
        <v/>
      </c>
    </row>
    <row r="1564">
      <c r="A1564" t="inlineStr">
        <is>
          <t>Global Crit Rate Bonus %</t>
        </is>
      </c>
      <c r="B1564">
        <f>(C1548=TRUE)*20*IF(AND(Inputs!$B$38&lt;&gt;"pvp",Inputs!$B$43&gt;0),(((R1548-1)*(Skills!T16*(1+Inputs!$B$34/100))+MIN((Skills!T16*(1+Inputs!$B$34/100)),MAX(0,Inputs!$B$43-((R1548-1)*Skills!D16))))/Inputs!$B$43),IF(Inputs!$B$38="pvp",MIN((Skills!T16*(1+Inputs!$B$34/100)),15)/15,(Skills!T16*(1+Inputs!$B$34/100))/Skills!D16))</f>
        <v/>
      </c>
    </row>
    <row r="1565">
      <c r="A1565" t="inlineStr">
        <is>
          <t>Attack Speed Buff Bonus %</t>
        </is>
      </c>
      <c r="B1565">
        <f>((C1550=TRUE)*F1550*IF(AND(Inputs!$B$38&lt;&gt;"pvp",Inputs!$B$43&gt;0),(((R1550-1)*(Skills!T18*(1+Inputs!$B$34/100))+MIN((Skills!T18*(1+Inputs!$B$34/100)),MAX(0,Inputs!$B$43-((R1550-1)*Skills!D18))))/Inputs!$B$43),IF(Inputs!$B$38="pvp",MIN((Skills!T18*(1+Inputs!$B$34/100)),15)/15,(Skills!T18*(1+Inputs!$B$34/100))/Skills!D18)))</f>
        <v/>
      </c>
    </row>
    <row r="1566">
      <c r="A1566" t="inlineStr">
        <is>
          <t>Actions Per Second</t>
        </is>
      </c>
      <c r="B1566">
        <f>1+MIN(150,150*(1-(1-(Inputs!$B$11+((C1552=TRUE)*(F1552-Calc!F20))+((C1553=TRUE)*(F1553-Calc!F21)))/150)*(1-B1565/150)))/100</f>
        <v/>
      </c>
    </row>
    <row r="1567">
      <c r="A1567" t="inlineStr">
        <is>
          <t>Skill + Buff Cast Rate</t>
        </is>
      </c>
      <c r="B1567">
        <f>IF(AND(Inputs!$B$38&lt;&gt;"pvp",Inputs!$B$43&gt;0),SUMPRODUCT((Skills!E2:E29=TRUE)*(C1534:C1561=TRUE)*R1534:R1561*Skills!F2:F29)/Inputs!$B$43,SUMPRODUCT((Skills!E2:E29=TRUE)*(C1534:C1561=TRUE)*Q1534:Q1561*Skills!F2:F29))</f>
        <v/>
      </c>
    </row>
    <row r="1568">
      <c r="A1568" t="inlineStr">
        <is>
          <t>Empowered Piercing Arrow Casts Per Second</t>
        </is>
      </c>
      <c r="B1568">
        <f>MAX(0,B1566-B1567)</f>
        <v/>
      </c>
    </row>
    <row r="1569">
      <c r="A1569" t="inlineStr">
        <is>
          <t>Global Critical Damage Bonus % (Sharp Eyes)</t>
        </is>
      </c>
      <c r="B1569">
        <f>(C1548=TRUE)*F1548*IF(AND(Inputs!$B$38&lt;&gt;"pvp",Inputs!$B$43&gt;0),(((R1548-1)*(Skills!T16*(1+Inputs!$B$34/100))+MIN((Skills!T16*(1+Inputs!$B$34/100)),MAX(0,Inputs!$B$43-((R1548-1)*Skills!D16))))/Inputs!$B$43),IF(Inputs!$B$38="pvp",MIN((Skills!T16*(1+Inputs!$B$34/100)),15)/15,(Skills!T16*(1+Inputs!$B$34/100))/Skills!D16))</f>
        <v/>
      </c>
    </row>
    <row r="1570">
      <c r="A1570" t="inlineStr">
        <is>
          <t>Global Final Damage Bonus % (Mortal Blow + Last Man Standing conditional half)</t>
        </is>
      </c>
      <c r="B1570">
        <f>(C1549=TRUE)*F1549+((C1558=TRUE)*IF(Inputs!$B$38="pvp",F1558,(1-Summary!$B$55)*(F1558)+Summary!$B$55*(0)))</f>
        <v/>
      </c>
    </row>
    <row r="1571">
      <c r="A1571" t="inlineStr">
        <is>
          <t>Buff-Casting Startup Delay (s, fixed-duration only)</t>
        </is>
      </c>
      <c r="B1571">
        <f>IF(AND(Inputs!$B$38&lt;&gt;"pvp",Inputs!$B$43&gt;0),SUMPRODUCT((Skills!T2:T29&gt;0)*(Skills!E2:E29=TRUE)*(C1534:C1561=TRUE))/B1566,0)</f>
        <v/>
      </c>
    </row>
    <row r="1572">
      <c r="A1572" t="inlineStr">
        <is>
          <t>Boss-Only Total DPS (this block's swept value)</t>
        </is>
      </c>
      <c r="B1572">
        <f>SUM(T1534:T1561)</f>
        <v/>
      </c>
    </row>
    <row r="1573">
      <c r="A1573" t="inlineStr">
        <is>
          <t>Normal-Only Total DPS (this block's swept value)</t>
        </is>
      </c>
      <c r="B1573">
        <f>SUM(V1534:V1561)</f>
        <v/>
      </c>
    </row>
    <row r="1574">
      <c r="A1574" s="5" t="inlineStr">
        <is>
          <t>TOTAL DPS</t>
        </is>
      </c>
      <c r="B1574" s="5">
        <f>SUM(O1534:O1561)</f>
        <v/>
      </c>
    </row>
    <row r="1577">
      <c r="A1577" s="5" t="inlineStr">
        <is>
          <t>Stat: CDR = 4.5s</t>
        </is>
      </c>
    </row>
    <row r="1578">
      <c r="A1578" s="9" t="inlineStr">
        <is>
          <t>Key</t>
        </is>
      </c>
      <c r="B1578" s="9" t="inlineStr">
        <is>
          <t>Name</t>
        </is>
      </c>
      <c r="C1578" s="9" t="inlineStr">
        <is>
          <t>Unlocked</t>
        </is>
      </c>
      <c r="D1578" s="9" t="inlineStr">
        <is>
          <t>InputLevel</t>
        </is>
      </c>
      <c r="E1578" s="9" t="inlineStr">
        <is>
          <t>Factor</t>
        </is>
      </c>
      <c r="F1578" s="9" t="inlineStr">
        <is>
          <t>CoefficientPercent</t>
        </is>
      </c>
      <c r="G1578" s="9" t="inlineStr">
        <is>
          <t>EffectiveHits</t>
        </is>
      </c>
      <c r="H1578" s="9" t="inlineStr">
        <is>
          <t>ProcProbability</t>
        </is>
      </c>
      <c r="I1578" s="9" t="inlineStr">
        <is>
          <t>MapleHeroMultiplier</t>
        </is>
      </c>
      <c r="J1578" s="9" t="inlineStr">
        <is>
          <t>BaseDamage</t>
        </is>
      </c>
      <c r="K1578" s="9" t="inlineStr">
        <is>
          <t>BaseHitDamage</t>
        </is>
      </c>
      <c r="L1578" s="9" t="inlineStr">
        <is>
          <t>NonCritAvg</t>
        </is>
      </c>
      <c r="M1578" s="9" t="inlineStr">
        <is>
          <t>CritAvg</t>
        </is>
      </c>
      <c r="N1578" s="9" t="inlineStr">
        <is>
          <t>ExpectedDamage(perHit)</t>
        </is>
      </c>
      <c r="O1578" s="9" t="inlineStr">
        <is>
          <t>DPS</t>
        </is>
      </c>
      <c r="P1578" s="9" t="inlineStr">
        <is>
          <t>% of Total</t>
        </is>
      </c>
      <c r="Q1578" s="9" t="inlineStr">
        <is>
          <t>InvCooldown</t>
        </is>
      </c>
      <c r="R1578" s="9" t="inlineStr">
        <is>
          <t>CastsInFight</t>
        </is>
      </c>
      <c r="S1578" s="9" t="inlineStr">
        <is>
          <t>HitRate(perSec)</t>
        </is>
      </c>
      <c r="U1578" t="inlineStr">
        <is>
          <t>helpers</t>
        </is>
      </c>
    </row>
    <row r="1579">
      <c r="A1579">
        <f>Skills!A2</f>
        <v/>
      </c>
      <c r="B1579">
        <f>Skills!B2</f>
        <v/>
      </c>
      <c r="C1579">
        <f>Inputs!$B$3&gt;=100</f>
        <v/>
      </c>
      <c r="D1579" t="inlineStr"/>
      <c r="E1579" t="inlineStr"/>
      <c r="F1579">
        <f>U1581+Skills!O2</f>
        <v/>
      </c>
      <c r="G1579">
        <f>Skills!G2*IF(Skills!H2&gt;0,Skills!I2/Skills!H2,1)</f>
        <v/>
      </c>
      <c r="H1579">
        <f>1-(1-Skills!J2/100)^Skills!K2</f>
        <v/>
      </c>
      <c r="I1579" t="inlineStr">
        <is>
          <t>1</t>
        </is>
      </c>
      <c r="J1579">
        <f>((Inputs!$B$6*(1+Inputs!$B$7/100))+(((Inputs!$B$12*(1+Inputs!$B$13/100))-(Inputs!$B$12*(1+Inputs!$B$13/100)))+0.25*(Inputs!$B$14-Inputs!$B$14))*(1+Inputs!$B$7/100))*(F1579/100)</f>
        <v/>
      </c>
      <c r="K1579">
        <f>J1579*(1+((Inputs!$B$12*(1+Inputs!$B$13/100))*0.01+Inputs!$B$14*0.0025)/100)*(1+Inputs!$B$15/100)*(1+Inputs!$B$16/100)*(5000/(6000+Inputs!$B$42*(1-(Inputs!$B$19+0)/100)))*(1+(Inputs!$B$24+((C1601=TRUE)*(F1601-Calc!F24))+((C1602=TRUE)*(F1602-Calc!F25))+B1615)/100)*(1+(IF(Skills!A2="EMPOWERED_PIERCING_ARROW",Inputs!$B$17+((C1599=TRUE)*(F1599-Calc!F22)),Inputs!$B$18+((C1604=TRUE)*(F1604-Calc!F27))))/100)*((1+(((C1590=TRUE)*F1590)+((C1591=TRUE)*IF(Inputs!$B$38="pvp",F1591,(1-Summary!$B$55)*(F1591)+Summary!$B$55*(0)))+((C1592=TRUE)*F1592*IF(AND(Inputs!$B$38&lt;&gt;"pvp",Inputs!$B$43&gt;0),(((R1592-1)*(Skills!T15*(1+Inputs!$B$34/100))+MIN((Skills!T15*(1+Inputs!$B$34/100)),MAX(0,Inputs!$B$43-((R1592-1)*Skills!D15))))/Inputs!$B$43),IF(Inputs!$B$38="pvp",MIN((Skills!T15*(1+Inputs!$B$34/100)),15)/15,(Skills!T15*(1+Inputs!$B$34/100))/Skills!D15)))+((C1589=TRUE)*F1589)+((C1606=TRUE)*(F1606-Calc!F29)))/100)*I1579)</f>
        <v/>
      </c>
      <c r="L1579">
        <f>K1579*(MIN(Inputs!$B$22+((C1600=TRUE)*(F1600-Calc!F23)),Inputs!$B$23+((C1605=TRUE)*(F1605-Calc!F28)))/100+(Inputs!$B$23+((C1605=TRUE)*(F1605-Calc!F28)))/100)/2</f>
        <v/>
      </c>
      <c r="M1579">
        <f>L1579*(1+(Inputs!$B$10+0+B1614)/100)</f>
        <v/>
      </c>
      <c r="N1579">
        <f>L1579*(1-MIN((Inputs!$B$9+((C1596=TRUE)*(F1596-Calc!F19))+B1609),100)/100)+M1579*(MIN((Inputs!$B$9+((C1596=TRUE)*(F1596-Calc!F19))+B1609),100)/100)</f>
        <v/>
      </c>
      <c r="O1579">
        <f>(1-Summary!$B$55)*T1579+Summary!$B$55*V1579</f>
        <v/>
      </c>
      <c r="P1579">
        <f>IF(B1619=0,0,O1579/B1619)</f>
        <v/>
      </c>
      <c r="Q1579" t="n">
        <v>0</v>
      </c>
      <c r="R1579" t="n">
        <v>0</v>
      </c>
      <c r="S1579">
        <f>IFERROR((Skills!G2*N1579*B1613)/N1579*IF(Inputs!$B$38="pvp",1,(1-Summary!$B$55)*1+Summary!$B$55*(MIN((6+Inputs!$B$33),Inputs!$B$37))),0)</f>
        <v/>
      </c>
      <c r="T1579">
        <f>IF(C1579,(Skills!G2*N1579*B1613)*IF(Inputs!$B$38="pvp",1,1+(Inputs!$B$20+0+Skills!P2)/100),0)</f>
        <v/>
      </c>
      <c r="U1579">
        <f>MAX(0,(Inputs!$B$3-100)*3)+Inputs!$B$28+Inputs!$B$29</f>
        <v/>
      </c>
      <c r="V1579">
        <f>IF(C1579,(Skills!G2*N1579*B1613)*IF(Inputs!$B$38="pvp",1,(1+(Inputs!$B$21+Skills!Q2)/100)*(MIN((6+Inputs!$B$33),Inputs!$B$37))),0)</f>
        <v/>
      </c>
    </row>
    <row r="1580">
      <c r="A1580">
        <f>Skills!A3</f>
        <v/>
      </c>
      <c r="B1580">
        <f>Skills!B3</f>
        <v/>
      </c>
      <c r="C1580">
        <f>Inputs!$B$3&gt;=50</f>
        <v/>
      </c>
      <c r="D1580">
        <f>IF(Skills!C3=1,60+Inputs!$B$25+Inputs!$B$29,IF(Skills!C3=2,90+Inputs!$B$26+Inputs!$B$29,IF(Skills!C3=3,120+Inputs!$B$27+Inputs!$B$29,MAX(0,(Inputs!$B$3-100)*3)+Inputs!$B$28+Inputs!$B$29)))</f>
        <v/>
      </c>
      <c r="E1580">
        <f>INDEX(FactorTable!$B$2:$Y$301, MATCH(ROUND(MIN(300,MAX(1,D1580)),0), FactorTable!$A$2:$A$301,0), Skills!M3+1)</f>
        <v/>
      </c>
      <c r="F1580">
        <f>IF(Skills!N3=TRUE,(Skills!L3/10)*(E1580/1000),Skills!L3/10)+Skills!O3</f>
        <v/>
      </c>
      <c r="G1580" t="inlineStr"/>
      <c r="H1580" t="inlineStr"/>
      <c r="I1580" t="inlineStr">
        <is>
          <t>1</t>
        </is>
      </c>
      <c r="J1580" t="inlineStr"/>
      <c r="K1580" t="inlineStr"/>
      <c r="L1580" t="inlineStr"/>
      <c r="M1580" t="inlineStr"/>
      <c r="N1580" t="inlineStr"/>
      <c r="O1580" t="inlineStr"/>
      <c r="P1580" t="inlineStr"/>
      <c r="Q1580" t="inlineStr"/>
      <c r="R1580" t="inlineStr"/>
      <c r="S1580" t="inlineStr"/>
      <c r="T1580" t="inlineStr"/>
      <c r="U1580">
        <f>INDEX(FactorTable!$B$2:$Y$301, MATCH(ROUND(MIN(300,MAX(1,U1579)),0), FactorTable!$A$2:$A$301,0), 22)</f>
        <v/>
      </c>
      <c r="V1580" t="inlineStr"/>
    </row>
    <row r="1581">
      <c r="A1581">
        <f>Skills!A4</f>
        <v/>
      </c>
      <c r="B1581">
        <f>Skills!B4</f>
        <v/>
      </c>
      <c r="C1581">
        <f>Inputs!$B$3&gt;=105</f>
        <v/>
      </c>
      <c r="D1581">
        <f>IF(Skills!C4=1,60+Inputs!$B$25+Inputs!$B$29,IF(Skills!C4=2,90+Inputs!$B$26+Inputs!$B$29,IF(Skills!C4=3,120+Inputs!$B$27+Inputs!$B$29,MAX(0,(Inputs!$B$3-100)*3)+Inputs!$B$28+Inputs!$B$29)))</f>
        <v/>
      </c>
      <c r="E1581">
        <f>INDEX(FactorTable!$B$2:$Y$301, MATCH(ROUND(MIN(300,MAX(1,D1581)),0), FactorTable!$A$2:$A$301,0), Skills!M4+1)</f>
        <v/>
      </c>
      <c r="F1581">
        <f>IF(Skills!N4=TRUE,(Skills!L4/10)*(E1581/1000),Skills!L4/10)+Skills!O4</f>
        <v/>
      </c>
      <c r="G1581" t="inlineStr"/>
      <c r="H1581" t="inlineStr"/>
      <c r="I1581" t="inlineStr">
        <is>
          <t>1</t>
        </is>
      </c>
      <c r="J1581" t="inlineStr"/>
      <c r="K1581" t="inlineStr"/>
      <c r="L1581" t="inlineStr"/>
      <c r="M1581" t="inlineStr"/>
      <c r="N1581" t="inlineStr"/>
      <c r="O1581" t="inlineStr"/>
      <c r="P1581" t="inlineStr"/>
      <c r="Q1581" t="inlineStr"/>
      <c r="R1581" t="inlineStr"/>
      <c r="S1581" t="inlineStr"/>
      <c r="T1581" t="inlineStr"/>
      <c r="U1581">
        <f>290*U1580/1000</f>
        <v/>
      </c>
      <c r="V1581" t="inlineStr"/>
    </row>
    <row r="1582">
      <c r="A1582">
        <f>Skills!A5</f>
        <v/>
      </c>
      <c r="B1582">
        <f>Skills!B5</f>
        <v/>
      </c>
      <c r="C1582">
        <f>Inputs!$B$3&gt;=35</f>
        <v/>
      </c>
      <c r="D1582">
        <f>IF(Skills!C5=1,60+Inputs!$B$25+Inputs!$B$29,IF(Skills!C5=2,90+Inputs!$B$26+Inputs!$B$29,IF(Skills!C5=3,120+Inputs!$B$27+Inputs!$B$29,MAX(0,(Inputs!$B$3-100)*3)+Inputs!$B$28+Inputs!$B$29)))</f>
        <v/>
      </c>
      <c r="E1582">
        <f>INDEX(FactorTable!$B$2:$Y$301, MATCH(ROUND(MIN(300,MAX(1,D1582)),0), FactorTable!$A$2:$A$301,0), Skills!M5+1)</f>
        <v/>
      </c>
      <c r="F1582">
        <f>IF(Skills!N5=TRUE,(Skills!L5/10)*(E1582/1000),Skills!L5/10)+Skills!O5</f>
        <v/>
      </c>
      <c r="G1582">
        <f>Skills!G5*IF(Skills!H5&gt;0,Skills!I5/Skills!H5,1)</f>
        <v/>
      </c>
      <c r="H1582">
        <f>1-(1-Skills!J5/100)^Skills!K5</f>
        <v/>
      </c>
      <c r="I1582" t="inlineStr">
        <is>
          <t>1</t>
        </is>
      </c>
      <c r="J1582">
        <f>((Inputs!$B$6*(1+Inputs!$B$7/100))+(((Inputs!$B$12*(1+Inputs!$B$13/100))-(Inputs!$B$12*(1+Inputs!$B$13/100)))+0.25*(Inputs!$B$14-Inputs!$B$14))*(1+Inputs!$B$7/100))*(F1582/100)</f>
        <v/>
      </c>
      <c r="K1582">
        <f>J1582*(1+((Inputs!$B$12*(1+Inputs!$B$13/100))*0.01+Inputs!$B$14*0.0025)/100)*(1+Inputs!$B$15/100)*(1+Inputs!$B$16/100)*(5000/(6000+Inputs!$B$42*(1-(Inputs!$B$19+0)/100)))*(1+(Inputs!$B$24+((C1601=TRUE)*(F1601-Calc!F24))+((C1602=TRUE)*(F1602-Calc!F25))+B1615)/100)*(1+4.0*IF(C1585=TRUE,F1585,0)/100)*(1+(IF(Skills!A5="EMPOWERED_PIERCING_ARROW",Inputs!$B$17+((C1599=TRUE)*(F1599-Calc!F22)),Inputs!$B$18+((C1604=TRUE)*(F1604-Calc!F27))))/100)*((1+(((C1590=TRUE)*F1590)+((C1591=TRUE)*IF(Inputs!$B$38="pvp",F1591,(1-Summary!$B$55)*(F1591)+Summary!$B$55*(0)))+((C1592=TRUE)*F1592*IF(AND(Inputs!$B$38&lt;&gt;"pvp",Inputs!$B$43&gt;0),(((R1592-1)*(Skills!T15*(1+Inputs!$B$34/100))+MIN((Skills!T15*(1+Inputs!$B$34/100)),MAX(0,Inputs!$B$43-((R1592-1)*Skills!D15))))/Inputs!$B$43),IF(Inputs!$B$38="pvp",MIN((Skills!T15*(1+Inputs!$B$34/100)),15)/15,(Skills!T15*(1+Inputs!$B$34/100))/Skills!D15)))+((C1589=TRUE)*F1589)+((C1606=TRUE)*(F1606-Calc!F29)))/100)*I1582)</f>
        <v/>
      </c>
      <c r="L1582">
        <f>K1582*(MIN(Inputs!$B$22+((C1600=TRUE)*(F1600-Calc!F23)),Inputs!$B$23+((C1605=TRUE)*(F1605-Calc!F28)))/100+(Inputs!$B$23+((C1605=TRUE)*(F1605-Calc!F28)))/100)/2</f>
        <v/>
      </c>
      <c r="M1582">
        <f>L1582*(1+(Inputs!$B$10+0+B1614)/100)</f>
        <v/>
      </c>
      <c r="N1582">
        <f>L1582*(1-MIN((Inputs!$B$9+((C1596=TRUE)*(F1596-Calc!F19))+B1609),100)/100)+M1582*(MIN((Inputs!$B$9+((C1596=TRUE)*(F1596-Calc!F19))+B1609),100)/100)</f>
        <v/>
      </c>
      <c r="O1582">
        <f>(1-Summary!$B$55)*T1582+Summary!$B$55*V1582</f>
        <v/>
      </c>
      <c r="P1582">
        <f>IF(B1619=0,0,O1582/B1619)</f>
        <v/>
      </c>
      <c r="Q1582">
        <f>IFERROR(1/IF(Inputs!$B$38="pvp",15,MAX(0.1,Skills!D5-IF(Skills!E5=TRUE,4.5,0))),0)</f>
        <v/>
      </c>
      <c r="R1582">
        <f>IF(AND(Inputs!$B$38&lt;&gt;"pvp",Inputs!$B$43&gt;0),IF(MAX(0,Inputs!$B$43-B1616)&lt;=0,0,(INT(MAX(0,Inputs!$B$43-B1616)/IF(Inputs!$B$38="pvp",15,MAX(0.1,Skills!D5-IF(Skills!E5=TRUE,4.5,0))))+1)),0)</f>
        <v/>
      </c>
      <c r="S1582">
        <f>IFERROR((H1582*N1582*IF(AND(Inputs!$B$38&lt;&gt;"pvp",Inputs!$B$43&gt;0),((Skills!G5*((R1582-1)*IF(Skills!H5&gt;0,Skills!I5/Skills!H5,1)+IF(Skills!H5&gt;0,MIN(Skills!I5,MAX(0,MAX(0,Inputs!$B$43-B1616)-((R1582-1)*IF(Inputs!$B$38="pvp",15,MAX(0.1,Skills!D5-IF(Skills!E5=TRUE,4.5,0))))))/Skills!H5,1)))/Inputs!$B$43),G1582*Q1582))/N1582*IF(Inputs!$B$38="pvp",1,(1-Summary!$B$55)*1+Summary!$B$55*(MIN(Skills!R5,Inputs!$B$37))),0)</f>
        <v/>
      </c>
      <c r="T1582">
        <f>IF(C1582,(H1582*N1582*IF(AND(Inputs!$B$38&lt;&gt;"pvp",Inputs!$B$43&gt;0),((Skills!G5*((R1582-1)*IF(Skills!H5&gt;0,Skills!I5/Skills!H5,1)+IF(Skills!H5&gt;0,MIN(Skills!I5,MAX(0,MAX(0,Inputs!$B$43-B1616)-((R1582-1)*IF(Inputs!$B$38="pvp",15,MAX(0.1,Skills!D5-IF(Skills!E5=TRUE,4.5,0))))))/Skills!H5,1)))/Inputs!$B$43),G1582*Q1582))*IF(Inputs!$B$38="pvp",1,1+(Inputs!$B$20+0+Skills!P5)/100),0)</f>
        <v/>
      </c>
      <c r="V1582">
        <f>IF(C1582,(H1582*N1582*IF(AND(Inputs!$B$38&lt;&gt;"pvp",Inputs!$B$43&gt;0),((Skills!G5*((R1582-1)*IF(Skills!H5&gt;0,Skills!I5/Skills!H5,1)+IF(Skills!H5&gt;0,MIN(Skills!I5,MAX(0,MAX(0,Inputs!$B$43-B1616)-((R1582-1)*IF(Inputs!$B$38="pvp",15,MAX(0.1,Skills!D5-IF(Skills!E5=TRUE,4.5,0))))))/Skills!H5,1)))/Inputs!$B$43),G1582*Q1582))*IF(Inputs!$B$38="pvp",1,(1+(Inputs!$B$21+Skills!Q5)/100)*(MIN(Skills!R5,Inputs!$B$37))),0)</f>
        <v/>
      </c>
    </row>
    <row r="1583">
      <c r="A1583">
        <f>Skills!A6</f>
        <v/>
      </c>
      <c r="B1583">
        <f>Skills!B6</f>
        <v/>
      </c>
      <c r="C1583">
        <f>Inputs!$B$3&gt;=63</f>
        <v/>
      </c>
      <c r="D1583">
        <f>IF(Skills!C6=1,60+Inputs!$B$25+Inputs!$B$29,IF(Skills!C6=2,90+Inputs!$B$26+Inputs!$B$29,IF(Skills!C6=3,120+Inputs!$B$27+Inputs!$B$29,MAX(0,(Inputs!$B$3-100)*3)+Inputs!$B$28+Inputs!$B$29)))</f>
        <v/>
      </c>
      <c r="E1583">
        <f>INDEX(FactorTable!$B$2:$Y$301, MATCH(ROUND(MIN(300,MAX(1,D1583)),0), FactorTable!$A$2:$A$301,0), Skills!M6+1)</f>
        <v/>
      </c>
      <c r="F1583">
        <f>IF(Skills!N6=TRUE,(Skills!L6/10)*(E1583/1000),Skills!L6/10)+Skills!O6</f>
        <v/>
      </c>
      <c r="G1583">
        <f>Skills!G6*IF(Skills!H6&gt;0,Skills!I6/Skills!H6,1)</f>
        <v/>
      </c>
      <c r="H1583">
        <f>1-(1-Skills!J6/100)^Skills!K6</f>
        <v/>
      </c>
      <c r="I1583" t="inlineStr">
        <is>
          <t>1</t>
        </is>
      </c>
      <c r="J1583">
        <f>((Inputs!$B$6*(1+Inputs!$B$7/100))+(((Inputs!$B$12*(1+Inputs!$B$13/100))-(Inputs!$B$12*(1+Inputs!$B$13/100)))+0.25*(Inputs!$B$14-Inputs!$B$14))*(1+Inputs!$B$7/100))*(F1583/100)</f>
        <v/>
      </c>
      <c r="K1583">
        <f>J1583*(1+((Inputs!$B$12*(1+Inputs!$B$13/100))*0.01+Inputs!$B$14*0.0025)/100)*(1+Inputs!$B$15/100)*(1+Inputs!$B$16/100)*(5000/(6000+Inputs!$B$42*(1-(Inputs!$B$19+0)/100)))*(1+(Inputs!$B$24+((C1601=TRUE)*(F1601-Calc!F24))+((C1602=TRUE)*(F1602-Calc!F25))+B1615)/100)*(1+1.0*IF(C1585=TRUE,F1585,0)/100)*(1+(IF(Skills!A6="EMPOWERED_PIERCING_ARROW",Inputs!$B$17+((C1599=TRUE)*(F1599-Calc!F22)),Inputs!$B$18+((C1604=TRUE)*(F1604-Calc!F27))))/100)*((1+(((C1590=TRUE)*F1590)+((C1591=TRUE)*IF(Inputs!$B$38="pvp",F1591,(1-Summary!$B$55)*(F1591)+Summary!$B$55*(0)))+((C1592=TRUE)*F1592*IF(AND(Inputs!$B$38&lt;&gt;"pvp",Inputs!$B$43&gt;0),(((R1592-1)*(Skills!T15*(1+Inputs!$B$34/100))+MIN((Skills!T15*(1+Inputs!$B$34/100)),MAX(0,Inputs!$B$43-((R1592-1)*Skills!D15))))/Inputs!$B$43),IF(Inputs!$B$38="pvp",MIN((Skills!T15*(1+Inputs!$B$34/100)),15)/15,(Skills!T15*(1+Inputs!$B$34/100))/Skills!D15)))+((C1589=TRUE)*F1589)+((C1606=TRUE)*(F1606-Calc!F29)))/100)*I1583)</f>
        <v/>
      </c>
      <c r="L1583">
        <f>K1583*(MIN(Inputs!$B$22+((C1600=TRUE)*(F1600-Calc!F23)),Inputs!$B$23+((C1605=TRUE)*(F1605-Calc!F28)))/100+(Inputs!$B$23+((C1605=TRUE)*(F1605-Calc!F28)))/100)/2</f>
        <v/>
      </c>
      <c r="M1583">
        <f>L1583*(1+(Inputs!$B$10+0+B1614)/100)</f>
        <v/>
      </c>
      <c r="N1583">
        <f>L1583*(1-MIN((Inputs!$B$9+((C1596=TRUE)*(F1596-Calc!F19))+B1609),100)/100)+M1583*(MIN((Inputs!$B$9+((C1596=TRUE)*(F1596-Calc!F19))+B1609),100)/100)</f>
        <v/>
      </c>
      <c r="O1583">
        <f>(1-Summary!$B$55)*T1583+Summary!$B$55*V1583</f>
        <v/>
      </c>
      <c r="P1583">
        <f>IF(B1619=0,0,O1583/B1619)</f>
        <v/>
      </c>
      <c r="Q1583">
        <f>IFERROR(1/IF(Inputs!$B$38="pvp",15,MAX(0.1,Skills!D6-IF(Skills!E6=TRUE,4.5,0))),0)</f>
        <v/>
      </c>
      <c r="R1583">
        <f>IF(AND(Inputs!$B$38&lt;&gt;"pvp",Inputs!$B$43&gt;0),IF(MAX(0,Inputs!$B$43-B1616)&lt;=0,0,(INT(MAX(0,Inputs!$B$43-B1616)/IF(Inputs!$B$38="pvp",15,MAX(0.1,Skills!D6-IF(Skills!E6=TRUE,4.5,0))))+1)),0)</f>
        <v/>
      </c>
      <c r="S1583">
        <f>IFERROR((H1583*N1583*IF(AND(Inputs!$B$38&lt;&gt;"pvp",Inputs!$B$43&gt;0),((Skills!G6*((R1583-1)*IF(Skills!H6&gt;0,Skills!I6/Skills!H6,1)+IF(Skills!H6&gt;0,MIN(Skills!I6,MAX(0,MAX(0,Inputs!$B$43-B1616)-((R1583-1)*IF(Inputs!$B$38="pvp",15,MAX(0.1,Skills!D6-IF(Skills!E6=TRUE,4.5,0))))))/Skills!H6,1)))/Inputs!$B$43),G1583*Q1583))/N1583*IF(Inputs!$B$38="pvp",1,(1-Summary!$B$55)*1+Summary!$B$55*(MIN(Skills!R6,Inputs!$B$37))),0)</f>
        <v/>
      </c>
      <c r="T1583">
        <f>IF(C1583,(H1583*N1583*IF(AND(Inputs!$B$38&lt;&gt;"pvp",Inputs!$B$43&gt;0),((Skills!G6*((R1583-1)*IF(Skills!H6&gt;0,Skills!I6/Skills!H6,1)+IF(Skills!H6&gt;0,MIN(Skills!I6,MAX(0,MAX(0,Inputs!$B$43-B1616)-((R1583-1)*IF(Inputs!$B$38="pvp",15,MAX(0.1,Skills!D6-IF(Skills!E6=TRUE,4.5,0))))))/Skills!H6,1)))/Inputs!$B$43),G1583*Q1583))*IF(Inputs!$B$38="pvp",1,1+(Inputs!$B$20+0+Skills!P6)/100),0)</f>
        <v/>
      </c>
      <c r="V1583">
        <f>IF(C1583,(H1583*N1583*IF(AND(Inputs!$B$38&lt;&gt;"pvp",Inputs!$B$43&gt;0),((Skills!G6*((R1583-1)*IF(Skills!H6&gt;0,Skills!I6/Skills!H6,1)+IF(Skills!H6&gt;0,MIN(Skills!I6,MAX(0,MAX(0,Inputs!$B$43-B1616)-((R1583-1)*IF(Inputs!$B$38="pvp",15,MAX(0.1,Skills!D6-IF(Skills!E6=TRUE,4.5,0))))))/Skills!H6,1)))/Inputs!$B$43),G1583*Q1583))*IF(Inputs!$B$38="pvp",1,(1+(Inputs!$B$21+Skills!Q6)/100)*(MIN(Skills!R6,Inputs!$B$37))),0)</f>
        <v/>
      </c>
    </row>
    <row r="1584">
      <c r="A1584">
        <f>Skills!A7</f>
        <v/>
      </c>
      <c r="B1584">
        <f>Skills!B7</f>
        <v/>
      </c>
      <c r="C1584">
        <f>Inputs!$B$3&gt;=69</f>
        <v/>
      </c>
      <c r="D1584">
        <f>IF(Skills!C7=1,60+Inputs!$B$25+Inputs!$B$29,IF(Skills!C7=2,90+Inputs!$B$26+Inputs!$B$29,IF(Skills!C7=3,120+Inputs!$B$27+Inputs!$B$29,MAX(0,(Inputs!$B$3-100)*3)+Inputs!$B$28+Inputs!$B$29)))</f>
        <v/>
      </c>
      <c r="E1584">
        <f>INDEX(FactorTable!$B$2:$Y$301, MATCH(ROUND(MIN(300,MAX(1,D1584)),0), FactorTable!$A$2:$A$301,0), Skills!M7+1)</f>
        <v/>
      </c>
      <c r="F1584">
        <f>IF(Skills!N7=TRUE,(Skills!L7/10)*(E1584/1000),Skills!L7/10)+Skills!O7</f>
        <v/>
      </c>
      <c r="G1584">
        <f>Skills!G7*IF(Skills!H7&gt;0,Skills!I7/Skills!H7,1)</f>
        <v/>
      </c>
      <c r="H1584">
        <f>1-(1-Skills!J7/100)^Skills!K7</f>
        <v/>
      </c>
      <c r="I1584" t="inlineStr">
        <is>
          <t>1</t>
        </is>
      </c>
      <c r="J1584">
        <f>((Inputs!$B$6*(1+Inputs!$B$7/100))+(((Inputs!$B$12*(1+Inputs!$B$13/100))-(Inputs!$B$12*(1+Inputs!$B$13/100)))+0.25*(Inputs!$B$14-Inputs!$B$14))*(1+Inputs!$B$7/100))*(F1584/100)</f>
        <v/>
      </c>
      <c r="K1584">
        <f>J1584*(1+((Inputs!$B$12*(1+Inputs!$B$13/100))*0.01+Inputs!$B$14*0.0025)/100)*(1+Inputs!$B$15/100)*(1+Inputs!$B$16/100)*(5000/(6000+Inputs!$B$42*(1-(Inputs!$B$19+0)/100)))*(1+(Inputs!$B$24+((C1601=TRUE)*(F1601-Calc!F24))+((C1602=TRUE)*(F1602-Calc!F25))+B1615)/100)*(1+1.2*IF(C1585=TRUE,F1585,0)/100)*(1+(IF(Skills!A7="EMPOWERED_PIERCING_ARROW",Inputs!$B$17+((C1599=TRUE)*(F1599-Calc!F22)),Inputs!$B$18+((C1604=TRUE)*(F1604-Calc!F27))))/100)*((1+(((C1590=TRUE)*F1590)+((C1591=TRUE)*IF(Inputs!$B$38="pvp",F1591,(1-Summary!$B$55)*(F1591)+Summary!$B$55*(0)))+((C1592=TRUE)*F1592*IF(AND(Inputs!$B$38&lt;&gt;"pvp",Inputs!$B$43&gt;0),(((R1592-1)*(Skills!T15*(1+Inputs!$B$34/100))+MIN((Skills!T15*(1+Inputs!$B$34/100)),MAX(0,Inputs!$B$43-((R1592-1)*Skills!D15))))/Inputs!$B$43),IF(Inputs!$B$38="pvp",MIN((Skills!T15*(1+Inputs!$B$34/100)),15)/15,(Skills!T15*(1+Inputs!$B$34/100))/Skills!D15)))+((C1589=TRUE)*F1589)+((C1606=TRUE)*(F1606-Calc!F29)))/100)*I1584)</f>
        <v/>
      </c>
      <c r="L1584">
        <f>K1584*(MIN(Inputs!$B$22+((C1600=TRUE)*(F1600-Calc!F23)),Inputs!$B$23+((C1605=TRUE)*(F1605-Calc!F28)))/100+(Inputs!$B$23+((C1605=TRUE)*(F1605-Calc!F28)))/100)/2</f>
        <v/>
      </c>
      <c r="M1584">
        <f>L1584*(1+(Inputs!$B$10+0+B1614)/100)</f>
        <v/>
      </c>
      <c r="N1584">
        <f>L1584*(1-MIN((Inputs!$B$9+((C1596=TRUE)*(F1596-Calc!F19))+B1609),100)/100)+M1584*(MIN((Inputs!$B$9+((C1596=TRUE)*(F1596-Calc!F19))+B1609),100)/100)</f>
        <v/>
      </c>
      <c r="O1584">
        <f>(1-Summary!$B$55)*T1584+Summary!$B$55*V1584</f>
        <v/>
      </c>
      <c r="P1584">
        <f>IF(B1619=0,0,O1584/B1619)</f>
        <v/>
      </c>
      <c r="Q1584">
        <f>IFERROR(1/IF(Inputs!$B$38="pvp",15,MAX(0.1,Skills!D7-IF(Skills!E7=TRUE,4.5,0))),0)</f>
        <v/>
      </c>
      <c r="R1584">
        <f>IF(AND(Inputs!$B$38&lt;&gt;"pvp",Inputs!$B$43&gt;0),IF(MAX(0,Inputs!$B$43-B1616)&lt;=0,0,(INT(MAX(0,Inputs!$B$43-B1616)/IF(Inputs!$B$38="pvp",15,MAX(0.1,Skills!D7-IF(Skills!E7=TRUE,4.5,0))))+1)),0)</f>
        <v/>
      </c>
      <c r="S1584">
        <f>IFERROR((H1584*N1584*IF(AND(Inputs!$B$38&lt;&gt;"pvp",Inputs!$B$43&gt;0),((Skills!G7*((R1584-1)*IF(Skills!H7&gt;0,Skills!I7/Skills!H7,1)+IF(Skills!H7&gt;0,MIN(Skills!I7,MAX(0,MAX(0,Inputs!$B$43-B1616)-((R1584-1)*IF(Inputs!$B$38="pvp",15,MAX(0.1,Skills!D7-IF(Skills!E7=TRUE,4.5,0))))))/Skills!H7,1)))/Inputs!$B$43),G1584*Q1584))/N1584*IF(Inputs!$B$38="pvp",1,(1-Summary!$B$55)*1+Summary!$B$55*(MIN(Skills!R7,Inputs!$B$37))),0)</f>
        <v/>
      </c>
      <c r="T1584">
        <f>IF(C1584,(H1584*N1584*IF(AND(Inputs!$B$38&lt;&gt;"pvp",Inputs!$B$43&gt;0),((Skills!G7*((R1584-1)*IF(Skills!H7&gt;0,Skills!I7/Skills!H7,1)+IF(Skills!H7&gt;0,MIN(Skills!I7,MAX(0,MAX(0,Inputs!$B$43-B1616)-((R1584-1)*IF(Inputs!$B$38="pvp",15,MAX(0.1,Skills!D7-IF(Skills!E7=TRUE,4.5,0))))))/Skills!H7,1)))/Inputs!$B$43),G1584*Q1584))*IF(Inputs!$B$38="pvp",1,1+(Inputs!$B$20+0+Skills!P7)/100),0)</f>
        <v/>
      </c>
      <c r="V1584">
        <f>IF(C1584,(H1584*N1584*IF(AND(Inputs!$B$38&lt;&gt;"pvp",Inputs!$B$43&gt;0),((Skills!G7*((R1584-1)*IF(Skills!H7&gt;0,Skills!I7/Skills!H7,1)+IF(Skills!H7&gt;0,MIN(Skills!I7,MAX(0,MAX(0,Inputs!$B$43-B1616)-((R1584-1)*IF(Inputs!$B$38="pvp",15,MAX(0.1,Skills!D7-IF(Skills!E7=TRUE,4.5,0))))))/Skills!H7,1)))/Inputs!$B$43),G1584*Q1584))*IF(Inputs!$B$38="pvp",1,(1+(Inputs!$B$21+Skills!Q7)/100)*(MIN(Skills!R7,Inputs!$B$37))),0)</f>
        <v/>
      </c>
    </row>
    <row r="1585">
      <c r="A1585">
        <f>Skills!A8</f>
        <v/>
      </c>
      <c r="B1585">
        <f>Skills!B8</f>
        <v/>
      </c>
      <c r="C1585">
        <f>Inputs!$B$3&gt;=100</f>
        <v/>
      </c>
      <c r="D1585">
        <f>IF(Skills!C8=1,60+Inputs!$B$25+Inputs!$B$29,IF(Skills!C8=2,90+Inputs!$B$26+Inputs!$B$29,IF(Skills!C8=3,120+Inputs!$B$27+Inputs!$B$29,MAX(0,(Inputs!$B$3-100)*3)+Inputs!$B$28+Inputs!$B$29)))</f>
        <v/>
      </c>
      <c r="E1585">
        <f>INDEX(FactorTable!$B$2:$Y$301, MATCH(ROUND(MIN(300,MAX(1,D1585)),0), FactorTable!$A$2:$A$301,0), Skills!M8+1)</f>
        <v/>
      </c>
      <c r="F1585">
        <f>IF(Skills!N8=TRUE,(Skills!L8/10)*(E1585/1000),Skills!L8/10)+Skills!O8</f>
        <v/>
      </c>
      <c r="G1585" t="inlineStr"/>
      <c r="H1585" t="inlineStr"/>
      <c r="I1585" t="inlineStr">
        <is>
          <t>1</t>
        </is>
      </c>
      <c r="J1585" t="inlineStr"/>
      <c r="K1585" t="inlineStr"/>
      <c r="L1585" t="inlineStr"/>
      <c r="M1585" t="inlineStr"/>
      <c r="N1585" t="inlineStr"/>
      <c r="O1585" t="inlineStr"/>
      <c r="P1585" t="inlineStr"/>
      <c r="Q1585" t="inlineStr"/>
      <c r="R1585" t="inlineStr"/>
      <c r="S1585" t="inlineStr"/>
      <c r="T1585" t="inlineStr"/>
      <c r="V1585" t="inlineStr"/>
    </row>
    <row r="1586">
      <c r="A1586">
        <f>Skills!A9</f>
        <v/>
      </c>
      <c r="B1586">
        <f>Skills!B9</f>
        <v/>
      </c>
      <c r="C1586">
        <f>Inputs!$B$3&gt;=103</f>
        <v/>
      </c>
      <c r="D1586">
        <f>IF(Skills!C9=1,60+Inputs!$B$25+Inputs!$B$29,IF(Skills!C9=2,90+Inputs!$B$26+Inputs!$B$29,IF(Skills!C9=3,120+Inputs!$B$27+Inputs!$B$29,MAX(0,(Inputs!$B$3-100)*3)+Inputs!$B$28+Inputs!$B$29)))</f>
        <v/>
      </c>
      <c r="E1586">
        <f>INDEX(FactorTable!$B$2:$Y$301, MATCH(ROUND(MIN(300,MAX(1,D1586)),0), FactorTable!$A$2:$A$301,0), Skills!M9+1)</f>
        <v/>
      </c>
      <c r="F1586">
        <f>IF(Skills!N9=TRUE,(Skills!L9/10)*(E1586/1000),Skills!L9/10)+Skills!O9</f>
        <v/>
      </c>
      <c r="G1586">
        <f>Skills!G9*IF(Skills!H9&gt;0,Skills!I9/Skills!H9,1)</f>
        <v/>
      </c>
      <c r="H1586">
        <f>1-(1-Skills!J9/100)^Skills!K9</f>
        <v/>
      </c>
      <c r="I1586" t="inlineStr">
        <is>
          <t>1</t>
        </is>
      </c>
      <c r="J1586">
        <f>((Inputs!$B$6*(1+Inputs!$B$7/100))+(((Inputs!$B$12*(1+Inputs!$B$13/100))-(Inputs!$B$12*(1+Inputs!$B$13/100)))+0.25*(Inputs!$B$14-Inputs!$B$14))*(1+Inputs!$B$7/100))*(F1586/100)</f>
        <v/>
      </c>
      <c r="K1586">
        <f>J1586*(1+((Inputs!$B$12*(1+Inputs!$B$13/100))*0.01+Inputs!$B$14*0.0025)/100)*(1+Inputs!$B$15/100)*(1+Inputs!$B$16/100)*(5000/(6000+Inputs!$B$42*(1-(Inputs!$B$19+0)/100)))*(1+(Inputs!$B$24+((C1601=TRUE)*(F1601-Calc!F24))+((C1602=TRUE)*(F1602-Calc!F25))+B1615)/100)*(1+(IF(Skills!A9="EMPOWERED_PIERCING_ARROW",Inputs!$B$17+((C1599=TRUE)*(F1599-Calc!F22)),Inputs!$B$18+((C1604=TRUE)*(F1604-Calc!F27))))/100)*((1+(((C1590=TRUE)*F1590)+((C1591=TRUE)*IF(Inputs!$B$38="pvp",F1591,(1-Summary!$B$55)*(F1591)+Summary!$B$55*(0)))+((C1592=TRUE)*F1592*IF(AND(Inputs!$B$38&lt;&gt;"pvp",Inputs!$B$43&gt;0),(((R1592-1)*(Skills!T15*(1+Inputs!$B$34/100))+MIN((Skills!T15*(1+Inputs!$B$34/100)),MAX(0,Inputs!$B$43-((R1592-1)*Skills!D15))))/Inputs!$B$43),IF(Inputs!$B$38="pvp",MIN((Skills!T15*(1+Inputs!$B$34/100)),15)/15,(Skills!T15*(1+Inputs!$B$34/100))/Skills!D15)))+((C1589=TRUE)*F1589)+((C1606=TRUE)*(F1606-Calc!F29)))/100)*I1586)</f>
        <v/>
      </c>
      <c r="L1586">
        <f>K1586*(MIN(Inputs!$B$22+((C1600=TRUE)*(F1600-Calc!F23)),Inputs!$B$23+((C1605=TRUE)*(F1605-Calc!F28)))/100+(Inputs!$B$23+((C1605=TRUE)*(F1605-Calc!F28)))/100)/2</f>
        <v/>
      </c>
      <c r="M1586">
        <f>L1586*(1+(Inputs!$B$10+0+B1614)/100)</f>
        <v/>
      </c>
      <c r="N1586">
        <f>L1586*(1-MIN((Inputs!$B$9+((C1596=TRUE)*(F1596-Calc!F19))+B1609),100)/100)+M1586*(MIN((Inputs!$B$9+((C1596=TRUE)*(F1596-Calc!F19))+B1609),100)/100)</f>
        <v/>
      </c>
      <c r="O1586">
        <f>(1-Summary!$B$55)*T1586+Summary!$B$55*V1586</f>
        <v/>
      </c>
      <c r="P1586">
        <f>IF(B1619=0,0,O1586/B1619)</f>
        <v/>
      </c>
      <c r="Q1586">
        <f>IFERROR(1/IF(Inputs!$B$38="pvp",15,MAX(0.1,Skills!D9-IF(Skills!E9=TRUE,4.5,0))),0)</f>
        <v/>
      </c>
      <c r="R1586">
        <f>IF(AND(Inputs!$B$38&lt;&gt;"pvp",Inputs!$B$43&gt;0),IF(MAX(0,Inputs!$B$43-B1616)&lt;=0,0,(INT(MAX(0,Inputs!$B$43-B1616)/IF(Inputs!$B$38="pvp",15,MAX(0.1,Skills!D9-IF(Skills!E9=TRUE,4.5,0))))+1)),0)</f>
        <v/>
      </c>
      <c r="S1586">
        <f>IFERROR((H1586*N1586*IF(AND(Inputs!$B$38&lt;&gt;"pvp",Inputs!$B$43&gt;0),((Skills!G9*((R1586-1)*IF(Skills!H9&gt;0,Skills!I9/Skills!H9,1)+IF(Skills!H9&gt;0,MIN(Skills!I9,MAX(0,MAX(0,Inputs!$B$43-B1616)-((R1586-1)*IF(Inputs!$B$38="pvp",15,MAX(0.1,Skills!D9-IF(Skills!E9=TRUE,4.5,0))))))/Skills!H9,1)))/Inputs!$B$43),G1586*Q1586))/N1586*IF(Inputs!$B$38="pvp",1,(1-Summary!$B$55)*1+Summary!$B$55*(MIN(Skills!R9,Inputs!$B$37))),0)</f>
        <v/>
      </c>
      <c r="T1586">
        <f>IF(C1586,(H1586*N1586*IF(AND(Inputs!$B$38&lt;&gt;"pvp",Inputs!$B$43&gt;0),((Skills!G9*((R1586-1)*IF(Skills!H9&gt;0,Skills!I9/Skills!H9,1)+IF(Skills!H9&gt;0,MIN(Skills!I9,MAX(0,MAX(0,Inputs!$B$43-B1616)-((R1586-1)*IF(Inputs!$B$38="pvp",15,MAX(0.1,Skills!D9-IF(Skills!E9=TRUE,4.5,0))))))/Skills!H9,1)))/Inputs!$B$43),G1586*Q1586))*IF(Inputs!$B$38="pvp",1,1+(Inputs!$B$20+0+Skills!P9)/100),0)</f>
        <v/>
      </c>
      <c r="V1586">
        <f>IF(C1586,(H1586*N1586*IF(AND(Inputs!$B$38&lt;&gt;"pvp",Inputs!$B$43&gt;0),((Skills!G9*((R1586-1)*IF(Skills!H9&gt;0,Skills!I9/Skills!H9,1)+IF(Skills!H9&gt;0,MIN(Skills!I9,MAX(0,MAX(0,Inputs!$B$43-B1616)-((R1586-1)*IF(Inputs!$B$38="pvp",15,MAX(0.1,Skills!D9-IF(Skills!E9=TRUE,4.5,0))))))/Skills!H9,1)))/Inputs!$B$43),G1586*Q1586))*IF(Inputs!$B$38="pvp",1,(1+(Inputs!$B$21+Skills!Q9)/100)*(MIN(Skills!R9,Inputs!$B$37))),0)</f>
        <v/>
      </c>
    </row>
    <row r="1587">
      <c r="A1587">
        <f>Skills!A10</f>
        <v/>
      </c>
      <c r="B1587">
        <f>Skills!B10</f>
        <v/>
      </c>
      <c r="C1587">
        <f>Inputs!$B$3&gt;=107</f>
        <v/>
      </c>
      <c r="D1587">
        <f>IF(Skills!C10=1,60+Inputs!$B$25+Inputs!$B$29,IF(Skills!C10=2,90+Inputs!$B$26+Inputs!$B$29,IF(Skills!C10=3,120+Inputs!$B$27+Inputs!$B$29,MAX(0,(Inputs!$B$3-100)*3)+Inputs!$B$28+Inputs!$B$29)))</f>
        <v/>
      </c>
      <c r="E1587">
        <f>INDEX(FactorTable!$B$2:$Y$301, MATCH(ROUND(MIN(300,MAX(1,D1587)),0), FactorTable!$A$2:$A$301,0), Skills!M10+1)</f>
        <v/>
      </c>
      <c r="F1587">
        <f>IF(Skills!N10=TRUE,(Skills!L10/10)*(E1587/1000),Skills!L10/10)+Skills!O10</f>
        <v/>
      </c>
      <c r="G1587">
        <f>Skills!G10*IF(Skills!H10&gt;0,Skills!I10/Skills!H10,1)</f>
        <v/>
      </c>
      <c r="H1587">
        <f>1-(1-Skills!J10/100)^Skills!K10</f>
        <v/>
      </c>
      <c r="I1587" t="inlineStr">
        <is>
          <t>1</t>
        </is>
      </c>
      <c r="J1587">
        <f>((Inputs!$B$6*(1+Inputs!$B$7/100))+(((Inputs!$B$12*(1+Inputs!$B$13/100))-(Inputs!$B$12*(1+Inputs!$B$13/100)))+0.25*(Inputs!$B$14-Inputs!$B$14))*(1+Inputs!$B$7/100))*(F1587/100)</f>
        <v/>
      </c>
      <c r="K1587">
        <f>J1587*(1+((Inputs!$B$12*(1+Inputs!$B$13/100))*0.01+Inputs!$B$14*0.0025)/100)*(1+Inputs!$B$15/100)*(1+Inputs!$B$16/100)*(5000/(6000+Inputs!$B$42*(1-(Inputs!$B$19+0)/100)))*(1+(Inputs!$B$24+((C1601=TRUE)*(F1601-Calc!F24))+((C1602=TRUE)*(F1602-Calc!F25))+B1615)/100)*(1+(IF(Skills!A10="EMPOWERED_PIERCING_ARROW",Inputs!$B$17+((C1599=TRUE)*(F1599-Calc!F22)),Inputs!$B$18+((C1604=TRUE)*(F1604-Calc!F27))))/100)*((1+(((C1590=TRUE)*F1590)+((C1591=TRUE)*IF(Inputs!$B$38="pvp",F1591,(1-Summary!$B$55)*(F1591)+Summary!$B$55*(0)))+((C1592=TRUE)*F1592*IF(AND(Inputs!$B$38&lt;&gt;"pvp",Inputs!$B$43&gt;0),(((R1592-1)*(Skills!T15*(1+Inputs!$B$34/100))+MIN((Skills!T15*(1+Inputs!$B$34/100)),MAX(0,Inputs!$B$43-((R1592-1)*Skills!D15))))/Inputs!$B$43),IF(Inputs!$B$38="pvp",MIN((Skills!T15*(1+Inputs!$B$34/100)),15)/15,(Skills!T15*(1+Inputs!$B$34/100))/Skills!D15)))+((C1589=TRUE)*F1589)+((C1606=TRUE)*(F1606-Calc!F29)))/100)*I1587)</f>
        <v/>
      </c>
      <c r="L1587">
        <f>K1587*(MIN(Inputs!$B$22+((C1600=TRUE)*(F1600-Calc!F23)),Inputs!$B$23+((C1605=TRUE)*(F1605-Calc!F28)))/100+(Inputs!$B$23+((C1605=TRUE)*(F1605-Calc!F28)))/100)/2</f>
        <v/>
      </c>
      <c r="M1587">
        <f>L1587*(1+(Inputs!$B$10+0+B1614)/100)</f>
        <v/>
      </c>
      <c r="N1587">
        <f>L1587*(1-MIN((Inputs!$B$9+((C1596=TRUE)*(F1596-Calc!F19))+B1609),100)/100)+M1587*(MIN((Inputs!$B$9+((C1596=TRUE)*(F1596-Calc!F19))+B1609),100)/100)</f>
        <v/>
      </c>
      <c r="O1587">
        <f>(1-Summary!$B$55)*T1587+Summary!$B$55*V1587</f>
        <v/>
      </c>
      <c r="P1587">
        <f>IF(B1619=0,0,O1587/B1619)</f>
        <v/>
      </c>
      <c r="Q1587" t="n">
        <v>0</v>
      </c>
      <c r="R1587" t="n">
        <v>0</v>
      </c>
      <c r="S1587" t="n">
        <v>0</v>
      </c>
      <c r="T1587">
        <f>IF(C1587,(0.15*SUMPRODUCT((Skills!U2:U29=TRUE)*(C1579:C1606=TRUE)*S1579:S1606)*Skills!G10*N1587)*IF(Inputs!$B$38="pvp",1,1+(Inputs!$B$20+0+Skills!P10)/100),0)</f>
        <v/>
      </c>
      <c r="V1587">
        <f>IF(C1587,(0.15*SUMPRODUCT((Skills!U2:U29=TRUE)*(C1579:C1606=TRUE)*S1579:S1606)*Skills!G10*N1587)*IF(Inputs!$B$38="pvp",1,(1+(Inputs!$B$21+Skills!Q10)/100)*(MIN(Skills!R10,Inputs!$B$37))),0)</f>
        <v/>
      </c>
    </row>
    <row r="1588">
      <c r="A1588">
        <f>Skills!A11</f>
        <v/>
      </c>
      <c r="B1588">
        <f>Skills!B11</f>
        <v/>
      </c>
      <c r="C1588">
        <f>Inputs!$B$3&gt;=110</f>
        <v/>
      </c>
      <c r="D1588">
        <f>IF(Skills!C11=1,60+Inputs!$B$25+Inputs!$B$29,IF(Skills!C11=2,90+Inputs!$B$26+Inputs!$B$29,IF(Skills!C11=3,120+Inputs!$B$27+Inputs!$B$29,MAX(0,(Inputs!$B$3-100)*3)+Inputs!$B$28+Inputs!$B$29)))</f>
        <v/>
      </c>
      <c r="E1588">
        <f>INDEX(FactorTable!$B$2:$Y$301, MATCH(ROUND(MIN(300,MAX(1,D1588)),0), FactorTable!$A$2:$A$301,0), Skills!M11+1)</f>
        <v/>
      </c>
      <c r="F1588">
        <f>IF(Skills!N11=TRUE,(Skills!L11/10)*(E1588/1000),Skills!L11/10)+Skills!O11</f>
        <v/>
      </c>
      <c r="G1588">
        <f>Skills!G11*IF(Skills!H11&gt;0,Skills!I11/Skills!H11,1)</f>
        <v/>
      </c>
      <c r="H1588">
        <f>1-(1-Skills!J11/100)^Skills!K11</f>
        <v/>
      </c>
      <c r="I1588" t="inlineStr">
        <is>
          <t>1</t>
        </is>
      </c>
      <c r="J1588">
        <f>((Inputs!$B$6*(1+Inputs!$B$7/100))+(((Inputs!$B$12*(1+Inputs!$B$13/100))-(Inputs!$B$12*(1+Inputs!$B$13/100)))+0.25*(Inputs!$B$14-Inputs!$B$14))*(1+Inputs!$B$7/100))*(F1588/100)</f>
        <v/>
      </c>
      <c r="K1588">
        <f>J1588*(1+((Inputs!$B$12*(1+Inputs!$B$13/100))*0.01+Inputs!$B$14*0.0025)/100)*(1+Inputs!$B$15/100)*(1+Inputs!$B$16/100)*(5000/(6000+Inputs!$B$42*(1-(Inputs!$B$19+0)/100)))*(1+(Inputs!$B$24+((C1601=TRUE)*(F1601-Calc!F24))+((C1602=TRUE)*(F1602-Calc!F25))+B1615)/100)*(1+(IF(Skills!A11="EMPOWERED_PIERCING_ARROW",Inputs!$B$17+((C1599=TRUE)*(F1599-Calc!F22)),Inputs!$B$18+((C1604=TRUE)*(F1604-Calc!F27))))/100)*((1+(((C1590=TRUE)*F1590)+((C1591=TRUE)*IF(Inputs!$B$38="pvp",F1591,(1-Summary!$B$55)*(F1591)+Summary!$B$55*(0)))+((C1592=TRUE)*F1592*IF(AND(Inputs!$B$38&lt;&gt;"pvp",Inputs!$B$43&gt;0),(((R1592-1)*(Skills!T15*(1+Inputs!$B$34/100))+MIN((Skills!T15*(1+Inputs!$B$34/100)),MAX(0,Inputs!$B$43-((R1592-1)*Skills!D15))))/Inputs!$B$43),IF(Inputs!$B$38="pvp",MIN((Skills!T15*(1+Inputs!$B$34/100)),15)/15,(Skills!T15*(1+Inputs!$B$34/100))/Skills!D15)))+((C1589=TRUE)*F1589)+((C1606=TRUE)*(F1606-Calc!F29)))/100)*I1588)</f>
        <v/>
      </c>
      <c r="L1588">
        <f>K1588*(MIN(Inputs!$B$22+((C1600=TRUE)*(F1600-Calc!F23)),Inputs!$B$23+((C1605=TRUE)*(F1605-Calc!F28)))/100+(Inputs!$B$23+((C1605=TRUE)*(F1605-Calc!F28)))/100)/2</f>
        <v/>
      </c>
      <c r="M1588">
        <f>L1588*(1+(Inputs!$B$10+0+B1614)/100)</f>
        <v/>
      </c>
      <c r="N1588">
        <f>L1588*(1-MIN((Inputs!$B$9+((C1596=TRUE)*(F1596-Calc!F19))+B1609),100)/100)+M1588*(MIN((Inputs!$B$9+((C1596=TRUE)*(F1596-Calc!F19))+B1609),100)/100)</f>
        <v/>
      </c>
      <c r="O1588">
        <f>(1-Summary!$B$55)*T1588+Summary!$B$55*V1588</f>
        <v/>
      </c>
      <c r="P1588">
        <f>IF(B1619=0,0,O1588/B1619)</f>
        <v/>
      </c>
      <c r="Q1588">
        <f>IFERROR(1/IF(Inputs!$B$38="pvp",15,MAX(0.1,Skills!D11-IF(Skills!E11=TRUE,4.5,0))),0)</f>
        <v/>
      </c>
      <c r="R1588">
        <f>IF(AND(Inputs!$B$38&lt;&gt;"pvp",Inputs!$B$43&gt;0),IF(MAX(0,Inputs!$B$43-B1616)&lt;=0,0,(INT(MAX(0,Inputs!$B$43-B1616)/IF(Inputs!$B$38="pvp",15,MAX(0.1,Skills!D11-IF(Skills!E11=TRUE,4.5,0))))+1)),0)</f>
        <v/>
      </c>
      <c r="S1588">
        <f>IFERROR((H1588*N1588*IF(AND(Inputs!$B$38&lt;&gt;"pvp",Inputs!$B$43&gt;0),((Skills!G11*((R1588-1)*IF(Skills!H11&gt;0,Skills!I11/Skills!H11,1)+IF(Skills!H11&gt;0,MIN(Skills!I11,MAX(0,MAX(0,Inputs!$B$43-B1616)-((R1588-1)*IF(Inputs!$B$38="pvp",15,MAX(0.1,Skills!D11-IF(Skills!E11=TRUE,4.5,0))))))/Skills!H11,1)))/Inputs!$B$43),G1588*Q1588))/N1588*IF(Inputs!$B$38="pvp",1,(1-Summary!$B$55)*1+Summary!$B$55*(MIN(Skills!R11,Inputs!$B$37))),0)</f>
        <v/>
      </c>
      <c r="T1588">
        <f>IF(C1588,(H1588*N1588*IF(AND(Inputs!$B$38&lt;&gt;"pvp",Inputs!$B$43&gt;0),((Skills!G11*((R1588-1)*IF(Skills!H11&gt;0,Skills!I11/Skills!H11,1)+IF(Skills!H11&gt;0,MIN(Skills!I11,MAX(0,MAX(0,Inputs!$B$43-B1616)-((R1588-1)*IF(Inputs!$B$38="pvp",15,MAX(0.1,Skills!D11-IF(Skills!E11=TRUE,4.5,0))))))/Skills!H11,1)))/Inputs!$B$43),G1588*Q1588))*IF(Inputs!$B$38="pvp",1,1+(Inputs!$B$20+0+Skills!P11)/100),0)</f>
        <v/>
      </c>
      <c r="V1588">
        <f>IF(C1588,(H1588*N1588*IF(AND(Inputs!$B$38&lt;&gt;"pvp",Inputs!$B$43&gt;0),((Skills!G11*((R1588-1)*IF(Skills!H11&gt;0,Skills!I11/Skills!H11,1)+IF(Skills!H11&gt;0,MIN(Skills!I11,MAX(0,MAX(0,Inputs!$B$43-B1616)-((R1588-1)*IF(Inputs!$B$38="pvp",15,MAX(0.1,Skills!D11-IF(Skills!E11=TRUE,4.5,0))))))/Skills!H11,1)))/Inputs!$B$43),G1588*Q1588))*IF(Inputs!$B$38="pvp",1,(1+(Inputs!$B$21+Skills!Q11)/100)*(MIN(Skills!R11,Inputs!$B$37))),0)</f>
        <v/>
      </c>
    </row>
    <row r="1589">
      <c r="A1589">
        <f>Skills!A12</f>
        <v/>
      </c>
      <c r="B1589">
        <f>Skills!B12</f>
        <v/>
      </c>
      <c r="C1589">
        <f>Inputs!$B$3&gt;=60</f>
        <v/>
      </c>
      <c r="D1589">
        <f>IF(Skills!C12=1,60+Inputs!$B$25+Inputs!$B$29,IF(Skills!C12=2,90+Inputs!$B$26+Inputs!$B$29,IF(Skills!C12=3,120+Inputs!$B$27+Inputs!$B$29,MAX(0,(Inputs!$B$3-100)*3)+Inputs!$B$28+Inputs!$B$29)))</f>
        <v/>
      </c>
      <c r="E1589">
        <f>INDEX(FactorTable!$B$2:$Y$301, MATCH(ROUND(MIN(300,MAX(1,D1589)),0), FactorTable!$A$2:$A$301,0), Skills!M12+1)</f>
        <v/>
      </c>
      <c r="F1589">
        <f>IF(Skills!N12=TRUE,(Skills!L12/10)*(E1589/1000),Skills!L12/10)+Skills!O12</f>
        <v/>
      </c>
      <c r="G1589">
        <f>Skills!G12*IF(Skills!H12&gt;0,Skills!I12/Skills!H12,1)</f>
        <v/>
      </c>
      <c r="H1589">
        <f>1-(1-Skills!J12/100)^Skills!K12</f>
        <v/>
      </c>
      <c r="I1589" t="inlineStr">
        <is>
          <t>1</t>
        </is>
      </c>
      <c r="J1589" t="inlineStr"/>
      <c r="K1589" t="inlineStr"/>
      <c r="L1589" t="inlineStr"/>
      <c r="M1589" t="inlineStr"/>
      <c r="N1589" t="inlineStr"/>
      <c r="O1589">
        <f>(1-Summary!$B$55)*T1589+Summary!$B$55*V1589</f>
        <v/>
      </c>
      <c r="P1589">
        <f>IF(B1619=0,0,O1589/B1619)</f>
        <v/>
      </c>
      <c r="Q1589" t="n">
        <v>0</v>
      </c>
      <c r="R1589" t="n">
        <v>0</v>
      </c>
      <c r="S1589" t="n">
        <v>0</v>
      </c>
      <c r="T1589" t="n">
        <v>0</v>
      </c>
      <c r="V1589" t="n">
        <v>0</v>
      </c>
    </row>
    <row r="1590">
      <c r="A1590">
        <f>Skills!A13</f>
        <v/>
      </c>
      <c r="B1590">
        <f>Skills!B13</f>
        <v/>
      </c>
      <c r="C1590">
        <f>Inputs!$B$3&gt;=74</f>
        <v/>
      </c>
      <c r="D1590">
        <f>IF(Skills!C13=1,60+Inputs!$B$25+Inputs!$B$29,IF(Skills!C13=2,90+Inputs!$B$26+Inputs!$B$29,IF(Skills!C13=3,120+Inputs!$B$27+Inputs!$B$29,MAX(0,(Inputs!$B$3-100)*3)+Inputs!$B$28+Inputs!$B$29)))</f>
        <v/>
      </c>
      <c r="E1590">
        <f>INDEX(FactorTable!$B$2:$Y$301, MATCH(ROUND(MIN(300,MAX(1,D1590)),0), FactorTable!$A$2:$A$301,0), Skills!M13+1)</f>
        <v/>
      </c>
      <c r="F1590">
        <f>IF(Skills!N13=TRUE,(Skills!L13/10)*(E1590/1000),Skills!L13/10)+Skills!O13</f>
        <v/>
      </c>
      <c r="G1590">
        <f>Skills!G13*IF(Skills!H13&gt;0,Skills!I13/Skills!H13,1)</f>
        <v/>
      </c>
      <c r="H1590">
        <f>1-(1-Skills!J13/100)^Skills!K13</f>
        <v/>
      </c>
      <c r="I1590" t="inlineStr">
        <is>
          <t>1</t>
        </is>
      </c>
      <c r="J1590" t="inlineStr"/>
      <c r="K1590" t="inlineStr"/>
      <c r="L1590" t="inlineStr"/>
      <c r="M1590" t="inlineStr"/>
      <c r="N1590" t="inlineStr"/>
      <c r="O1590">
        <f>(1-Summary!$B$55)*T1590+Summary!$B$55*V1590</f>
        <v/>
      </c>
      <c r="P1590">
        <f>IF(B1619=0,0,O1590/B1619)</f>
        <v/>
      </c>
      <c r="Q1590" t="n">
        <v>0</v>
      </c>
      <c r="R1590" t="n">
        <v>0</v>
      </c>
      <c r="S1590" t="n">
        <v>0</v>
      </c>
      <c r="T1590" t="n">
        <v>0</v>
      </c>
      <c r="V1590" t="n">
        <v>0</v>
      </c>
    </row>
    <row r="1591">
      <c r="A1591">
        <f>Skills!A14</f>
        <v/>
      </c>
      <c r="B1591">
        <f>Skills!B14</f>
        <v/>
      </c>
      <c r="C1591">
        <f>Inputs!$B$3&gt;=74</f>
        <v/>
      </c>
      <c r="D1591">
        <f>IF(Skills!C14=1,60+Inputs!$B$25+Inputs!$B$29,IF(Skills!C14=2,90+Inputs!$B$26+Inputs!$B$29,IF(Skills!C14=3,120+Inputs!$B$27+Inputs!$B$29,MAX(0,(Inputs!$B$3-100)*3)+Inputs!$B$28+Inputs!$B$29)))</f>
        <v/>
      </c>
      <c r="E1591">
        <f>INDEX(FactorTable!$B$2:$Y$301, MATCH(ROUND(MIN(300,MAX(1,D1591)),0), FactorTable!$A$2:$A$301,0), Skills!M14+1)</f>
        <v/>
      </c>
      <c r="F1591">
        <f>IF(Skills!N14=TRUE,(Skills!L14/10)*(E1591/1000),Skills!L14/10)+Skills!O14</f>
        <v/>
      </c>
      <c r="G1591">
        <f>Skills!G14*IF(Skills!H14&gt;0,Skills!I14/Skills!H14,1)</f>
        <v/>
      </c>
      <c r="H1591">
        <f>1-(1-Skills!J14/100)^Skills!K14</f>
        <v/>
      </c>
      <c r="I1591" t="inlineStr">
        <is>
          <t>1</t>
        </is>
      </c>
      <c r="J1591" t="inlineStr"/>
      <c r="K1591" t="inlineStr"/>
      <c r="L1591" t="inlineStr"/>
      <c r="M1591" t="inlineStr"/>
      <c r="N1591" t="inlineStr"/>
      <c r="O1591">
        <f>(1-Summary!$B$55)*T1591+Summary!$B$55*V1591</f>
        <v/>
      </c>
      <c r="P1591">
        <f>IF(B1619=0,0,O1591/B1619)</f>
        <v/>
      </c>
      <c r="Q1591" t="n">
        <v>0</v>
      </c>
      <c r="R1591" t="n">
        <v>0</v>
      </c>
      <c r="S1591" t="n">
        <v>0</v>
      </c>
      <c r="T1591" t="n">
        <v>0</v>
      </c>
      <c r="V1591" t="n">
        <v>0</v>
      </c>
    </row>
    <row r="1592">
      <c r="A1592">
        <f>Skills!A15</f>
        <v/>
      </c>
      <c r="B1592">
        <f>Skills!B15</f>
        <v/>
      </c>
      <c r="C1592">
        <f>Inputs!$B$3&gt;=117</f>
        <v/>
      </c>
      <c r="D1592">
        <f>IF(Skills!C15=1,60+Inputs!$B$25+Inputs!$B$29,IF(Skills!C15=2,90+Inputs!$B$26+Inputs!$B$29,IF(Skills!C15=3,120+Inputs!$B$27+Inputs!$B$29,MAX(0,(Inputs!$B$3-100)*3)+Inputs!$B$28+Inputs!$B$29)))</f>
        <v/>
      </c>
      <c r="E1592">
        <f>INDEX(FactorTable!$B$2:$Y$301, MATCH(ROUND(MIN(300,MAX(1,D1592)),0), FactorTable!$A$2:$A$301,0), Skills!M15+1)</f>
        <v/>
      </c>
      <c r="F1592">
        <f>IF(Skills!N15=TRUE,(Skills!L15/10)*(E1592/1000),Skills!L15/10)+Skills!O15</f>
        <v/>
      </c>
      <c r="G1592">
        <f>Skills!G15*IF(Skills!H15&gt;0,Skills!I15/Skills!H15,1)</f>
        <v/>
      </c>
      <c r="H1592">
        <f>1-(1-Skills!J15/100)^Skills!K15</f>
        <v/>
      </c>
      <c r="I1592" t="inlineStr">
        <is>
          <t>1</t>
        </is>
      </c>
      <c r="J1592" t="inlineStr"/>
      <c r="K1592" t="inlineStr"/>
      <c r="L1592" t="inlineStr"/>
      <c r="M1592" t="inlineStr"/>
      <c r="N1592" t="inlineStr"/>
      <c r="O1592">
        <f>(1-Summary!$B$55)*T1592+Summary!$B$55*V1592</f>
        <v/>
      </c>
      <c r="P1592">
        <f>IF(B1619=0,0,O1592/B1619)</f>
        <v/>
      </c>
      <c r="Q1592">
        <f>IFERROR(1/IF(Inputs!$B$38="pvp",15,MAX(0.1,Skills!D15-IF(Skills!E15=TRUE,4.5,0))),0)</f>
        <v/>
      </c>
      <c r="R1592">
        <f>IF(AND(Inputs!$B$38&lt;&gt;"pvp",Inputs!$B$43&gt;0),IF(Inputs!$B$43&lt;=0,0,(INT(Inputs!$B$43/IF(Inputs!$B$38="pvp",15,MAX(0.1,Skills!D15-IF(Skills!E15=TRUE,4.5,0))))+1)),0)</f>
        <v/>
      </c>
      <c r="S1592" t="n">
        <v>0</v>
      </c>
      <c r="T1592" t="n">
        <v>0</v>
      </c>
      <c r="V1592" t="n">
        <v>0</v>
      </c>
    </row>
    <row r="1593">
      <c r="A1593">
        <f>Skills!A16</f>
        <v/>
      </c>
      <c r="B1593">
        <f>Skills!B16</f>
        <v/>
      </c>
      <c r="C1593">
        <f>Inputs!$B$3&gt;=115</f>
        <v/>
      </c>
      <c r="D1593">
        <f>IF(Skills!C16=1,60+Inputs!$B$25+Inputs!$B$29,IF(Skills!C16=2,90+Inputs!$B$26+Inputs!$B$29,IF(Skills!C16=3,120+Inputs!$B$27+Inputs!$B$29,MAX(0,(Inputs!$B$3-100)*3)+Inputs!$B$28+Inputs!$B$29)))</f>
        <v/>
      </c>
      <c r="E1593">
        <f>INDEX(FactorTable!$B$2:$Y$301, MATCH(ROUND(MIN(300,MAX(1,D1593)),0), FactorTable!$A$2:$A$301,0), Skills!M16+1)</f>
        <v/>
      </c>
      <c r="F1593">
        <f>IF(Skills!N16=TRUE,(Skills!L16/10)*(E1593/1000),Skills!L16/10)+Skills!O16</f>
        <v/>
      </c>
      <c r="G1593">
        <f>Skills!G16*IF(Skills!H16&gt;0,Skills!I16/Skills!H16,1)</f>
        <v/>
      </c>
      <c r="H1593">
        <f>1-(1-Skills!J16/100)^Skills!K16</f>
        <v/>
      </c>
      <c r="I1593" t="inlineStr">
        <is>
          <t>1</t>
        </is>
      </c>
      <c r="J1593" t="inlineStr"/>
      <c r="K1593" t="inlineStr"/>
      <c r="L1593" t="inlineStr"/>
      <c r="M1593" t="inlineStr"/>
      <c r="N1593" t="inlineStr"/>
      <c r="O1593">
        <f>(1-Summary!$B$55)*T1593+Summary!$B$55*V1593</f>
        <v/>
      </c>
      <c r="P1593">
        <f>IF(B1619=0,0,O1593/B1619)</f>
        <v/>
      </c>
      <c r="Q1593">
        <f>IFERROR(1/IF(Inputs!$B$38="pvp",15,MAX(0.1,Skills!D16-IF(Skills!E16=TRUE,4.5,0))),0)</f>
        <v/>
      </c>
      <c r="R1593">
        <f>IF(AND(Inputs!$B$38&lt;&gt;"pvp",Inputs!$B$43&gt;0),IF(Inputs!$B$43&lt;=0,0,(INT(Inputs!$B$43/IF(Inputs!$B$38="pvp",15,MAX(0.1,Skills!D16-IF(Skills!E16=TRUE,4.5,0))))+1)),0)</f>
        <v/>
      </c>
      <c r="S1593" t="n">
        <v>0</v>
      </c>
      <c r="T1593" t="n">
        <v>0</v>
      </c>
      <c r="V1593" t="n">
        <v>0</v>
      </c>
    </row>
    <row r="1594">
      <c r="A1594">
        <f>Skills!A17</f>
        <v/>
      </c>
      <c r="B1594">
        <f>Skills!B17</f>
        <v/>
      </c>
      <c r="C1594">
        <f>Inputs!$B$3&gt;=72</f>
        <v/>
      </c>
      <c r="D1594">
        <f>IF(Skills!C17=1,60+Inputs!$B$25+Inputs!$B$29,IF(Skills!C17=2,90+Inputs!$B$26+Inputs!$B$29,IF(Skills!C17=3,120+Inputs!$B$27+Inputs!$B$29,MAX(0,(Inputs!$B$3-100)*3)+Inputs!$B$28+Inputs!$B$29)))</f>
        <v/>
      </c>
      <c r="E1594">
        <f>INDEX(FactorTable!$B$2:$Y$301, MATCH(ROUND(MIN(300,MAX(1,D1594)),0), FactorTable!$A$2:$A$301,0), Skills!M17+1)</f>
        <v/>
      </c>
      <c r="F1594">
        <f>IF(Skills!N17=TRUE,(Skills!L17/10)*(E1594/1000),Skills!L17/10)+Skills!O17</f>
        <v/>
      </c>
      <c r="G1594">
        <f>Skills!G17*IF(Skills!H17&gt;0,Skills!I17/Skills!H17,1)</f>
        <v/>
      </c>
      <c r="H1594">
        <f>1-(1-Skills!J17/100)^Skills!K17</f>
        <v/>
      </c>
      <c r="I1594" t="inlineStr">
        <is>
          <t>1</t>
        </is>
      </c>
      <c r="J1594" t="inlineStr"/>
      <c r="K1594" t="inlineStr"/>
      <c r="L1594" t="inlineStr"/>
      <c r="M1594" t="inlineStr"/>
      <c r="N1594" t="inlineStr"/>
      <c r="O1594">
        <f>(1-Summary!$B$55)*T1594+Summary!$B$55*V1594</f>
        <v/>
      </c>
      <c r="P1594">
        <f>IF(B1619=0,0,O1594/B1619)</f>
        <v/>
      </c>
      <c r="Q1594" t="n">
        <v>0</v>
      </c>
      <c r="R1594" t="n">
        <v>0</v>
      </c>
      <c r="S1594" t="n">
        <v>0</v>
      </c>
      <c r="T1594" t="n">
        <v>0</v>
      </c>
      <c r="V1594" t="n">
        <v>0</v>
      </c>
    </row>
    <row r="1595">
      <c r="A1595">
        <f>Skills!A18</f>
        <v/>
      </c>
      <c r="B1595">
        <f>Skills!B18</f>
        <v/>
      </c>
      <c r="C1595">
        <f>TRUE</f>
        <v/>
      </c>
      <c r="D1595">
        <f>IF(Skills!C18=1,60+Inputs!$B$25+Inputs!$B$29,IF(Skills!C18=2,90+Inputs!$B$26+Inputs!$B$29,IF(Skills!C18=3,120+Inputs!$B$27+Inputs!$B$29,MAX(0,(Inputs!$B$3-100)*3)+Inputs!$B$28+Inputs!$B$29)))</f>
        <v/>
      </c>
      <c r="E1595">
        <f>INDEX(FactorTable!$B$2:$Y$301, MATCH(ROUND(MIN(300,MAX(1,D1595)),0), FactorTable!$A$2:$A$301,0), Skills!M18+1)</f>
        <v/>
      </c>
      <c r="F1595">
        <f>IF(Skills!N18=TRUE,(Skills!L18/10)*(E1595/1000),Skills!L18/10)+Skills!O18</f>
        <v/>
      </c>
      <c r="G1595">
        <f>Skills!G18*IF(Skills!H18&gt;0,Skills!I18/Skills!H18,1)</f>
        <v/>
      </c>
      <c r="H1595">
        <f>1-(1-Skills!J18/100)^Skills!K18</f>
        <v/>
      </c>
      <c r="I1595" t="inlineStr">
        <is>
          <t>1</t>
        </is>
      </c>
      <c r="J1595" t="inlineStr"/>
      <c r="K1595" t="inlineStr"/>
      <c r="L1595" t="inlineStr"/>
      <c r="M1595" t="inlineStr"/>
      <c r="N1595" t="inlineStr"/>
      <c r="O1595">
        <f>(1-Summary!$B$55)*T1595+Summary!$B$55*V1595</f>
        <v/>
      </c>
      <c r="P1595">
        <f>IF(B1619=0,0,O1595/B1619)</f>
        <v/>
      </c>
      <c r="Q1595">
        <f>IFERROR(1/IF(Inputs!$B$38="pvp",15,MAX(0.1,Skills!D18-IF(Skills!E18=TRUE,4.5,0))),0)</f>
        <v/>
      </c>
      <c r="R1595">
        <f>IF(AND(Inputs!$B$38&lt;&gt;"pvp",Inputs!$B$43&gt;0),IF(Inputs!$B$43&lt;=0,0,(INT(Inputs!$B$43/IF(Inputs!$B$38="pvp",15,MAX(0.1,Skills!D18-IF(Skills!E18=TRUE,4.5,0))))+1)),0)</f>
        <v/>
      </c>
      <c r="S1595" t="n">
        <v>0</v>
      </c>
      <c r="T1595" t="n">
        <v>0</v>
      </c>
      <c r="V1595" t="n">
        <v>0</v>
      </c>
    </row>
    <row r="1596">
      <c r="A1596">
        <f>Skills!A19</f>
        <v/>
      </c>
      <c r="B1596">
        <f>Skills!B19</f>
        <v/>
      </c>
      <c r="C1596">
        <f>Inputs!$B$3&gt;=15</f>
        <v/>
      </c>
      <c r="D1596">
        <f>IF(Skills!C19=1,60+Inputs!$B$25+Inputs!$B$29,IF(Skills!C19=2,90+Inputs!$B$26+Inputs!$B$29,IF(Skills!C19=3,120+Inputs!$B$27+Inputs!$B$29,MAX(0,(Inputs!$B$3-100)*3)+Inputs!$B$28+Inputs!$B$29)))</f>
        <v/>
      </c>
      <c r="E1596">
        <f>INDEX(FactorTable!$B$2:$Y$301, MATCH(ROUND(MIN(300,MAX(1,D1596)),0), FactorTable!$A$2:$A$301,0), Skills!M19+1)</f>
        <v/>
      </c>
      <c r="F1596">
        <f>IF(Skills!N19=TRUE,(Skills!L19/10)*(E1596/1000),Skills!L19/10)+Skills!O19</f>
        <v/>
      </c>
      <c r="G1596">
        <f>Skills!G19*IF(Skills!H19&gt;0,Skills!I19/Skills!H19,1)</f>
        <v/>
      </c>
      <c r="H1596">
        <f>1-(1-Skills!J19/100)^Skills!K19</f>
        <v/>
      </c>
      <c r="I1596" t="inlineStr">
        <is>
          <t>1</t>
        </is>
      </c>
      <c r="J1596" t="inlineStr"/>
      <c r="K1596" t="inlineStr"/>
      <c r="L1596" t="inlineStr"/>
      <c r="M1596" t="inlineStr"/>
      <c r="N1596" t="inlineStr"/>
      <c r="O1596">
        <f>(1-Summary!$B$55)*T1596+Summary!$B$55*V1596</f>
        <v/>
      </c>
      <c r="P1596">
        <f>IF(B1619=0,0,O1596/B1619)</f>
        <v/>
      </c>
      <c r="Q1596" t="n">
        <v>0</v>
      </c>
      <c r="R1596" t="n">
        <v>0</v>
      </c>
      <c r="S1596" t="n">
        <v>0</v>
      </c>
      <c r="T1596" t="n">
        <v>0</v>
      </c>
      <c r="V1596" t="n">
        <v>0</v>
      </c>
    </row>
    <row r="1597">
      <c r="A1597">
        <f>Skills!A20</f>
        <v/>
      </c>
      <c r="B1597">
        <f>Skills!B20</f>
        <v/>
      </c>
      <c r="C1597">
        <f>Inputs!$B$3&gt;=10</f>
        <v/>
      </c>
      <c r="D1597">
        <f>IF(Skills!C20=1,60+Inputs!$B$25+Inputs!$B$29,IF(Skills!C20=2,90+Inputs!$B$26+Inputs!$B$29,IF(Skills!C20=3,120+Inputs!$B$27+Inputs!$B$29,MAX(0,(Inputs!$B$3-100)*3)+Inputs!$B$28+Inputs!$B$29)))</f>
        <v/>
      </c>
      <c r="E1597">
        <f>INDEX(FactorTable!$B$2:$Y$301, MATCH(ROUND(MIN(300,MAX(1,D1597)),0), FactorTable!$A$2:$A$301,0), Skills!M20+1)</f>
        <v/>
      </c>
      <c r="F1597">
        <f>IF(Skills!N20=TRUE,(Skills!L20/10)*(E1597/1000),Skills!L20/10)+Skills!O20</f>
        <v/>
      </c>
      <c r="G1597">
        <f>Skills!G20*IF(Skills!H20&gt;0,Skills!I20/Skills!H20,1)</f>
        <v/>
      </c>
      <c r="H1597">
        <f>1-(1-Skills!J20/100)^Skills!K20</f>
        <v/>
      </c>
      <c r="I1597" t="inlineStr">
        <is>
          <t>1</t>
        </is>
      </c>
      <c r="J1597" t="inlineStr"/>
      <c r="K1597" t="inlineStr"/>
      <c r="L1597" t="inlineStr"/>
      <c r="M1597" t="inlineStr"/>
      <c r="N1597" t="inlineStr"/>
      <c r="O1597">
        <f>(1-Summary!$B$55)*T1597+Summary!$B$55*V1597</f>
        <v/>
      </c>
      <c r="P1597">
        <f>IF(B1619=0,0,O1597/B1619)</f>
        <v/>
      </c>
      <c r="Q1597" t="n">
        <v>0</v>
      </c>
      <c r="R1597" t="n">
        <v>0</v>
      </c>
      <c r="S1597" t="n">
        <v>0</v>
      </c>
      <c r="T1597" t="n">
        <v>0</v>
      </c>
      <c r="V1597" t="n">
        <v>0</v>
      </c>
    </row>
    <row r="1598">
      <c r="A1598">
        <f>Skills!A21</f>
        <v/>
      </c>
      <c r="B1598">
        <f>Skills!B21</f>
        <v/>
      </c>
      <c r="C1598">
        <f>Inputs!$B$3&gt;=33</f>
        <v/>
      </c>
      <c r="D1598">
        <f>IF(Skills!C21=1,60+Inputs!$B$25+Inputs!$B$29,IF(Skills!C21=2,90+Inputs!$B$26+Inputs!$B$29,IF(Skills!C21=3,120+Inputs!$B$27+Inputs!$B$29,MAX(0,(Inputs!$B$3-100)*3)+Inputs!$B$28+Inputs!$B$29)))</f>
        <v/>
      </c>
      <c r="E1598">
        <f>INDEX(FactorTable!$B$2:$Y$301, MATCH(ROUND(MIN(300,MAX(1,D1598)),0), FactorTable!$A$2:$A$301,0), Skills!M21+1)</f>
        <v/>
      </c>
      <c r="F1598">
        <f>IF(Skills!N21=TRUE,(Skills!L21/10)*(E1598/1000),Skills!L21/10)+Skills!O21</f>
        <v/>
      </c>
      <c r="G1598">
        <f>Skills!G21*IF(Skills!H21&gt;0,Skills!I21/Skills!H21,1)</f>
        <v/>
      </c>
      <c r="H1598">
        <f>1-(1-Skills!J21/100)^Skills!K21</f>
        <v/>
      </c>
      <c r="I1598" t="inlineStr">
        <is>
          <t>1</t>
        </is>
      </c>
      <c r="J1598" t="inlineStr"/>
      <c r="K1598" t="inlineStr"/>
      <c r="L1598" t="inlineStr"/>
      <c r="M1598" t="inlineStr"/>
      <c r="N1598" t="inlineStr"/>
      <c r="O1598">
        <f>(1-Summary!$B$55)*T1598+Summary!$B$55*V1598</f>
        <v/>
      </c>
      <c r="P1598">
        <f>IF(B1619=0,0,O1598/B1619)</f>
        <v/>
      </c>
      <c r="Q1598" t="n">
        <v>0</v>
      </c>
      <c r="R1598" t="n">
        <v>0</v>
      </c>
      <c r="S1598" t="n">
        <v>0</v>
      </c>
      <c r="T1598" t="n">
        <v>0</v>
      </c>
      <c r="V1598" t="n">
        <v>0</v>
      </c>
    </row>
    <row r="1599">
      <c r="A1599">
        <f>Skills!A22</f>
        <v/>
      </c>
      <c r="B1599">
        <f>Skills!B22</f>
        <v/>
      </c>
      <c r="C1599">
        <f>Inputs!$B$3&gt;=38</f>
        <v/>
      </c>
      <c r="D1599">
        <f>IF(Skills!C22=1,60+Inputs!$B$25+Inputs!$B$29,IF(Skills!C22=2,90+Inputs!$B$26+Inputs!$B$29,IF(Skills!C22=3,120+Inputs!$B$27+Inputs!$B$29,MAX(0,(Inputs!$B$3-100)*3)+Inputs!$B$28+Inputs!$B$29)))</f>
        <v/>
      </c>
      <c r="E1599">
        <f>INDEX(FactorTable!$B$2:$Y$301, MATCH(ROUND(MIN(300,MAX(1,D1599)),0), FactorTable!$A$2:$A$301,0), Skills!M22+1)</f>
        <v/>
      </c>
      <c r="F1599">
        <f>IF(Skills!N22=TRUE,(Skills!L22/10)*(E1599/1000),Skills!L22/10)+Skills!O22</f>
        <v/>
      </c>
      <c r="G1599">
        <f>Skills!G22*IF(Skills!H22&gt;0,Skills!I22/Skills!H22,1)</f>
        <v/>
      </c>
      <c r="H1599">
        <f>1-(1-Skills!J22/100)^Skills!K22</f>
        <v/>
      </c>
      <c r="I1599" t="inlineStr">
        <is>
          <t>1</t>
        </is>
      </c>
      <c r="J1599" t="inlineStr"/>
      <c r="K1599" t="inlineStr"/>
      <c r="L1599" t="inlineStr"/>
      <c r="M1599" t="inlineStr"/>
      <c r="N1599" t="inlineStr"/>
      <c r="O1599">
        <f>(1-Summary!$B$55)*T1599+Summary!$B$55*V1599</f>
        <v/>
      </c>
      <c r="P1599">
        <f>IF(B1619=0,0,O1599/B1619)</f>
        <v/>
      </c>
      <c r="Q1599" t="n">
        <v>0</v>
      </c>
      <c r="R1599" t="n">
        <v>0</v>
      </c>
      <c r="S1599" t="n">
        <v>0</v>
      </c>
      <c r="T1599" t="n">
        <v>0</v>
      </c>
      <c r="V1599" t="n">
        <v>0</v>
      </c>
    </row>
    <row r="1600">
      <c r="A1600">
        <f>Skills!A23</f>
        <v/>
      </c>
      <c r="B1600">
        <f>Skills!B23</f>
        <v/>
      </c>
      <c r="C1600">
        <f>Inputs!$B$3&gt;=43</f>
        <v/>
      </c>
      <c r="D1600">
        <f>IF(Skills!C23=1,60+Inputs!$B$25+Inputs!$B$29,IF(Skills!C23=2,90+Inputs!$B$26+Inputs!$B$29,IF(Skills!C23=3,120+Inputs!$B$27+Inputs!$B$29,MAX(0,(Inputs!$B$3-100)*3)+Inputs!$B$28+Inputs!$B$29)))</f>
        <v/>
      </c>
      <c r="E1600">
        <f>INDEX(FactorTable!$B$2:$Y$301, MATCH(ROUND(MIN(300,MAX(1,D1600)),0), FactorTable!$A$2:$A$301,0), Skills!M23+1)</f>
        <v/>
      </c>
      <c r="F1600">
        <f>IF(Skills!N23=TRUE,(Skills!L23/10)*(E1600/1000),Skills!L23/10)+Skills!O23</f>
        <v/>
      </c>
      <c r="G1600">
        <f>Skills!G23*IF(Skills!H23&gt;0,Skills!I23/Skills!H23,1)</f>
        <v/>
      </c>
      <c r="H1600">
        <f>1-(1-Skills!J23/100)^Skills!K23</f>
        <v/>
      </c>
      <c r="I1600" t="inlineStr">
        <is>
          <t>1</t>
        </is>
      </c>
      <c r="J1600" t="inlineStr"/>
      <c r="K1600" t="inlineStr"/>
      <c r="L1600" t="inlineStr"/>
      <c r="M1600" t="inlineStr"/>
      <c r="N1600" t="inlineStr"/>
      <c r="O1600">
        <f>(1-Summary!$B$55)*T1600+Summary!$B$55*V1600</f>
        <v/>
      </c>
      <c r="P1600">
        <f>IF(B1619=0,0,O1600/B1619)</f>
        <v/>
      </c>
      <c r="Q1600" t="n">
        <v>0</v>
      </c>
      <c r="R1600" t="n">
        <v>0</v>
      </c>
      <c r="S1600" t="n">
        <v>0</v>
      </c>
      <c r="T1600" t="n">
        <v>0</v>
      </c>
      <c r="V1600" t="n">
        <v>0</v>
      </c>
    </row>
    <row r="1601">
      <c r="A1601">
        <f>Skills!A24</f>
        <v/>
      </c>
      <c r="B1601">
        <f>Skills!B24</f>
        <v/>
      </c>
      <c r="C1601">
        <f>Inputs!$B$3&gt;=75</f>
        <v/>
      </c>
      <c r="D1601">
        <f>IF(Skills!C24=1,60+Inputs!$B$25+Inputs!$B$29,IF(Skills!C24=2,90+Inputs!$B$26+Inputs!$B$29,IF(Skills!C24=3,120+Inputs!$B$27+Inputs!$B$29,MAX(0,(Inputs!$B$3-100)*3)+Inputs!$B$28+Inputs!$B$29)))</f>
        <v/>
      </c>
      <c r="E1601">
        <f>INDEX(FactorTable!$B$2:$Y$301, MATCH(ROUND(MIN(300,MAX(1,D1601)),0), FactorTable!$A$2:$A$301,0), Skills!M24+1)</f>
        <v/>
      </c>
      <c r="F1601">
        <f>IF(Skills!N24=TRUE,(Skills!L24/10)*(E1601/1000),Skills!L24/10)+Skills!O24</f>
        <v/>
      </c>
      <c r="G1601">
        <f>Skills!G24*IF(Skills!H24&gt;0,Skills!I24/Skills!H24,1)</f>
        <v/>
      </c>
      <c r="H1601">
        <f>1-(1-Skills!J24/100)^Skills!K24</f>
        <v/>
      </c>
      <c r="I1601" t="inlineStr">
        <is>
          <t>1</t>
        </is>
      </c>
      <c r="J1601" t="inlineStr"/>
      <c r="K1601" t="inlineStr"/>
      <c r="L1601" t="inlineStr"/>
      <c r="M1601" t="inlineStr"/>
      <c r="N1601" t="inlineStr"/>
      <c r="O1601">
        <f>(1-Summary!$B$55)*T1601+Summary!$B$55*V1601</f>
        <v/>
      </c>
      <c r="P1601">
        <f>IF(B1619=0,0,O1601/B1619)</f>
        <v/>
      </c>
      <c r="Q1601" t="n">
        <v>0</v>
      </c>
      <c r="R1601" t="n">
        <v>0</v>
      </c>
      <c r="S1601" t="n">
        <v>0</v>
      </c>
      <c r="T1601" t="n">
        <v>0</v>
      </c>
      <c r="V1601" t="n">
        <v>0</v>
      </c>
    </row>
    <row r="1602">
      <c r="A1602">
        <f>Skills!A25</f>
        <v/>
      </c>
      <c r="B1602">
        <f>Skills!B25</f>
        <v/>
      </c>
      <c r="C1602">
        <f>Inputs!$B$3&gt;=125</f>
        <v/>
      </c>
      <c r="D1602">
        <f>IF(Skills!C25=1,60+Inputs!$B$25+Inputs!$B$29,IF(Skills!C25=2,90+Inputs!$B$26+Inputs!$B$29,IF(Skills!C25=3,120+Inputs!$B$27+Inputs!$B$29,MAX(0,(Inputs!$B$3-100)*3)+Inputs!$B$28+Inputs!$B$29)))</f>
        <v/>
      </c>
      <c r="E1602">
        <f>INDEX(FactorTable!$B$2:$Y$301, MATCH(ROUND(MIN(300,MAX(1,D1602)),0), FactorTable!$A$2:$A$301,0), Skills!M25+1)</f>
        <v/>
      </c>
      <c r="F1602">
        <f>IF(Skills!N25=TRUE,(Skills!L25/10)*(E1602/1000),Skills!L25/10)+Skills!O25</f>
        <v/>
      </c>
      <c r="G1602">
        <f>Skills!G25*IF(Skills!H25&gt;0,Skills!I25/Skills!H25,1)</f>
        <v/>
      </c>
      <c r="H1602">
        <f>1-(1-Skills!J25/100)^Skills!K25</f>
        <v/>
      </c>
      <c r="I1602" t="inlineStr">
        <is>
          <t>1</t>
        </is>
      </c>
      <c r="J1602" t="inlineStr"/>
      <c r="K1602" t="inlineStr"/>
      <c r="L1602" t="inlineStr"/>
      <c r="M1602" t="inlineStr"/>
      <c r="N1602" t="inlineStr"/>
      <c r="O1602">
        <f>(1-Summary!$B$55)*T1602+Summary!$B$55*V1602</f>
        <v/>
      </c>
      <c r="P1602">
        <f>IF(B1619=0,0,O1602/B1619)</f>
        <v/>
      </c>
      <c r="Q1602" t="n">
        <v>0</v>
      </c>
      <c r="R1602" t="n">
        <v>0</v>
      </c>
      <c r="S1602" t="n">
        <v>0</v>
      </c>
      <c r="T1602" t="n">
        <v>0</v>
      </c>
      <c r="V1602" t="n">
        <v>0</v>
      </c>
    </row>
    <row r="1603">
      <c r="A1603">
        <f>Skills!A26</f>
        <v/>
      </c>
      <c r="B1603">
        <f>Skills!B26</f>
        <v/>
      </c>
      <c r="C1603">
        <f>Inputs!$B$3&gt;=125</f>
        <v/>
      </c>
      <c r="D1603">
        <f>IF(Skills!C26=1,60+Inputs!$B$25+Inputs!$B$29,IF(Skills!C26=2,90+Inputs!$B$26+Inputs!$B$29,IF(Skills!C26=3,120+Inputs!$B$27+Inputs!$B$29,MAX(0,(Inputs!$B$3-100)*3)+Inputs!$B$28+Inputs!$B$29)))</f>
        <v/>
      </c>
      <c r="E1603">
        <f>INDEX(FactorTable!$B$2:$Y$301, MATCH(ROUND(MIN(300,MAX(1,D1603)),0), FactorTable!$A$2:$A$301,0), Skills!M26+1)</f>
        <v/>
      </c>
      <c r="F1603">
        <f>IF(Skills!N26=TRUE,(Skills!L26/10)*(E1603/1000),Skills!L26/10)+Skills!O26</f>
        <v/>
      </c>
      <c r="G1603">
        <f>Skills!G26*IF(Skills!H26&gt;0,Skills!I26/Skills!H26,1)</f>
        <v/>
      </c>
      <c r="H1603">
        <f>1-(1-Skills!J26/100)^Skills!K26</f>
        <v/>
      </c>
      <c r="I1603" t="inlineStr">
        <is>
          <t>1</t>
        </is>
      </c>
      <c r="J1603" t="inlineStr"/>
      <c r="K1603" t="inlineStr"/>
      <c r="L1603" t="inlineStr"/>
      <c r="M1603" t="inlineStr"/>
      <c r="N1603" t="inlineStr"/>
      <c r="O1603">
        <f>(1-Summary!$B$55)*T1603+Summary!$B$55*V1603</f>
        <v/>
      </c>
      <c r="P1603">
        <f>IF(B1619=0,0,O1603/B1619)</f>
        <v/>
      </c>
      <c r="Q1603" t="n">
        <v>0</v>
      </c>
      <c r="R1603" t="n">
        <v>0</v>
      </c>
      <c r="S1603" t="n">
        <v>0</v>
      </c>
      <c r="T1603" t="n">
        <v>0</v>
      </c>
      <c r="V1603" t="n">
        <v>0</v>
      </c>
    </row>
    <row r="1604">
      <c r="A1604">
        <f>Skills!A27</f>
        <v/>
      </c>
      <c r="B1604">
        <f>Skills!B27</f>
        <v/>
      </c>
      <c r="C1604">
        <f>Inputs!$B$3&gt;=120</f>
        <v/>
      </c>
      <c r="D1604">
        <f>IF(Skills!C27=1,60+Inputs!$B$25+Inputs!$B$29,IF(Skills!C27=2,90+Inputs!$B$26+Inputs!$B$29,IF(Skills!C27=3,120+Inputs!$B$27+Inputs!$B$29,MAX(0,(Inputs!$B$3-100)*3)+Inputs!$B$28+Inputs!$B$29)))</f>
        <v/>
      </c>
      <c r="E1604">
        <f>INDEX(FactorTable!$B$2:$Y$301, MATCH(ROUND(MIN(300,MAX(1,D1604)),0), FactorTable!$A$2:$A$301,0), Skills!M27+1)</f>
        <v/>
      </c>
      <c r="F1604">
        <f>IF(Skills!N27=TRUE,(Skills!L27/10)*(E1604/1000),Skills!L27/10)+Skills!O27</f>
        <v/>
      </c>
      <c r="G1604">
        <f>Skills!G27*IF(Skills!H27&gt;0,Skills!I27/Skills!H27,1)</f>
        <v/>
      </c>
      <c r="H1604">
        <f>1-(1-Skills!J27/100)^Skills!K27</f>
        <v/>
      </c>
      <c r="I1604" t="inlineStr">
        <is>
          <t>1</t>
        </is>
      </c>
      <c r="J1604" t="inlineStr"/>
      <c r="K1604" t="inlineStr"/>
      <c r="L1604" t="inlineStr"/>
      <c r="M1604" t="inlineStr"/>
      <c r="N1604" t="inlineStr"/>
      <c r="O1604">
        <f>(1-Summary!$B$55)*T1604+Summary!$B$55*V1604</f>
        <v/>
      </c>
      <c r="P1604">
        <f>IF(B1619=0,0,O1604/B1619)</f>
        <v/>
      </c>
      <c r="Q1604" t="n">
        <v>0</v>
      </c>
      <c r="R1604" t="n">
        <v>0</v>
      </c>
      <c r="S1604" t="n">
        <v>0</v>
      </c>
      <c r="T1604" t="n">
        <v>0</v>
      </c>
      <c r="V1604" t="n">
        <v>0</v>
      </c>
    </row>
    <row r="1605">
      <c r="A1605">
        <f>Skills!A28</f>
        <v/>
      </c>
      <c r="B1605">
        <f>Skills!B28</f>
        <v/>
      </c>
      <c r="C1605">
        <f>Inputs!$B$3&gt;=120</f>
        <v/>
      </c>
      <c r="D1605">
        <f>IF(Skills!C28=1,60+Inputs!$B$25+Inputs!$B$29,IF(Skills!C28=2,90+Inputs!$B$26+Inputs!$B$29,IF(Skills!C28=3,120+Inputs!$B$27+Inputs!$B$29,MAX(0,(Inputs!$B$3-100)*3)+Inputs!$B$28+Inputs!$B$29)))</f>
        <v/>
      </c>
      <c r="E1605">
        <f>INDEX(FactorTable!$B$2:$Y$301, MATCH(ROUND(MIN(300,MAX(1,D1605)),0), FactorTable!$A$2:$A$301,0), Skills!M28+1)</f>
        <v/>
      </c>
      <c r="F1605">
        <f>IF(Skills!N28=TRUE,(Skills!L28/10)*(E1605/1000),Skills!L28/10)+Skills!O28</f>
        <v/>
      </c>
      <c r="G1605">
        <f>Skills!G28*IF(Skills!H28&gt;0,Skills!I28/Skills!H28,1)</f>
        <v/>
      </c>
      <c r="H1605">
        <f>1-(1-Skills!J28/100)^Skills!K28</f>
        <v/>
      </c>
      <c r="I1605" t="inlineStr">
        <is>
          <t>1</t>
        </is>
      </c>
      <c r="J1605" t="inlineStr"/>
      <c r="K1605" t="inlineStr"/>
      <c r="L1605" t="inlineStr"/>
      <c r="M1605" t="inlineStr"/>
      <c r="N1605" t="inlineStr"/>
      <c r="O1605">
        <f>(1-Summary!$B$55)*T1605+Summary!$B$55*V1605</f>
        <v/>
      </c>
      <c r="P1605">
        <f>IF(B1619=0,0,O1605/B1619)</f>
        <v/>
      </c>
      <c r="Q1605" t="n">
        <v>0</v>
      </c>
      <c r="R1605" t="n">
        <v>0</v>
      </c>
      <c r="S1605" t="n">
        <v>0</v>
      </c>
      <c r="T1605" t="n">
        <v>0</v>
      </c>
      <c r="V1605" t="n">
        <v>0</v>
      </c>
    </row>
    <row r="1606">
      <c r="A1606">
        <f>Skills!A29</f>
        <v/>
      </c>
      <c r="B1606">
        <f>Skills!B29</f>
        <v/>
      </c>
      <c r="C1606">
        <f>Inputs!$B$3&gt;=45</f>
        <v/>
      </c>
      <c r="D1606">
        <f>IF(Skills!C29=1,60+Inputs!$B$25+Inputs!$B$29,IF(Skills!C29=2,90+Inputs!$B$26+Inputs!$B$29,IF(Skills!C29=3,120+Inputs!$B$27+Inputs!$B$29,MAX(0,(Inputs!$B$3-100)*3)+Inputs!$B$28+Inputs!$B$29)))</f>
        <v/>
      </c>
      <c r="E1606">
        <f>INDEX(FactorTable!$B$2:$Y$301, MATCH(ROUND(MIN(300,MAX(1,D1606)),0), FactorTable!$A$2:$A$301,0), Skills!M29+1)</f>
        <v/>
      </c>
      <c r="F1606">
        <f>IF(Skills!N29=TRUE,(Skills!L29/10)*(E1606/1000),Skills!L29/10)+Skills!O29</f>
        <v/>
      </c>
      <c r="G1606">
        <f>Skills!G29*IF(Skills!H29&gt;0,Skills!I29/Skills!H29,1)</f>
        <v/>
      </c>
      <c r="H1606">
        <f>1-(1-Skills!J29/100)^Skills!K29</f>
        <v/>
      </c>
      <c r="I1606" t="inlineStr">
        <is>
          <t>1</t>
        </is>
      </c>
      <c r="J1606" t="inlineStr"/>
      <c r="K1606" t="inlineStr"/>
      <c r="L1606" t="inlineStr"/>
      <c r="M1606" t="inlineStr"/>
      <c r="N1606" t="inlineStr"/>
      <c r="O1606">
        <f>(1-Summary!$B$55)*T1606+Summary!$B$55*V1606</f>
        <v/>
      </c>
      <c r="P1606">
        <f>IF(B1619=0,0,O1606/B1619)</f>
        <v/>
      </c>
      <c r="Q1606" t="n">
        <v>0</v>
      </c>
      <c r="R1606" t="n">
        <v>0</v>
      </c>
      <c r="S1606" t="n">
        <v>0</v>
      </c>
      <c r="T1606" t="n">
        <v>0</v>
      </c>
      <c r="V1606" t="n">
        <v>0</v>
      </c>
    </row>
    <row r="1608">
      <c r="A1608" t="inlineStr">
        <is>
          <t>Attack% Bucket Multiplier</t>
        </is>
      </c>
      <c r="B1608">
        <f>(1+(((C1590=TRUE)*F1590)+((C1591=TRUE)*IF(Inputs!$B$38="pvp",F1591,(1-Summary!$B$55)*(F1591)+Summary!$B$55*(0)))+((C1592=TRUE)*F1592*IF(AND(Inputs!$B$38&lt;&gt;"pvp",Inputs!$B$43&gt;0),(((R1592-1)*(Skills!T15*(1+Inputs!$B$34/100))+MIN((Skills!T15*(1+Inputs!$B$34/100)),MAX(0,Inputs!$B$43-((R1592-1)*Skills!D15))))/Inputs!$B$43),IF(Inputs!$B$38="pvp",MIN((Skills!T15*(1+Inputs!$B$34/100)),15)/15,(Skills!T15*(1+Inputs!$B$34/100))/Skills!D15)))+((C1589=TRUE)*F1589)+((C1606=TRUE)*(F1606-Calc!F29)))/100)</f>
        <v/>
      </c>
    </row>
    <row r="1609">
      <c r="A1609" t="inlineStr">
        <is>
          <t>Global Crit Rate Bonus %</t>
        </is>
      </c>
      <c r="B1609">
        <f>(C1593=TRUE)*20*IF(AND(Inputs!$B$38&lt;&gt;"pvp",Inputs!$B$43&gt;0),(((R1593-1)*(Skills!T16*(1+Inputs!$B$34/100))+MIN((Skills!T16*(1+Inputs!$B$34/100)),MAX(0,Inputs!$B$43-((R1593-1)*Skills!D16))))/Inputs!$B$43),IF(Inputs!$B$38="pvp",MIN((Skills!T16*(1+Inputs!$B$34/100)),15)/15,(Skills!T16*(1+Inputs!$B$34/100))/Skills!D16))</f>
        <v/>
      </c>
    </row>
    <row r="1610">
      <c r="A1610" t="inlineStr">
        <is>
          <t>Attack Speed Buff Bonus %</t>
        </is>
      </c>
      <c r="B1610">
        <f>((C1595=TRUE)*F1595*IF(AND(Inputs!$B$38&lt;&gt;"pvp",Inputs!$B$43&gt;0),(((R1595-1)*(Skills!T18*(1+Inputs!$B$34/100))+MIN((Skills!T18*(1+Inputs!$B$34/100)),MAX(0,Inputs!$B$43-((R1595-1)*Skills!D18))))/Inputs!$B$43),IF(Inputs!$B$38="pvp",MIN((Skills!T18*(1+Inputs!$B$34/100)),15)/15,(Skills!T18*(1+Inputs!$B$34/100))/Skills!D18)))</f>
        <v/>
      </c>
    </row>
    <row r="1611">
      <c r="A1611" t="inlineStr">
        <is>
          <t>Actions Per Second</t>
        </is>
      </c>
      <c r="B1611">
        <f>1+MIN(150,150*(1-(1-(Inputs!$B$11+((C1597=TRUE)*(F1597-Calc!F20))+((C1598=TRUE)*(F1598-Calc!F21)))/150)*(1-B1610/150)))/100</f>
        <v/>
      </c>
    </row>
    <row r="1612">
      <c r="A1612" t="inlineStr">
        <is>
          <t>Skill + Buff Cast Rate</t>
        </is>
      </c>
      <c r="B1612">
        <f>IF(AND(Inputs!$B$38&lt;&gt;"pvp",Inputs!$B$43&gt;0),SUMPRODUCT((Skills!E2:E29=TRUE)*(C1579:C1606=TRUE)*R1579:R1606*Skills!F2:F29)/Inputs!$B$43,SUMPRODUCT((Skills!E2:E29=TRUE)*(C1579:C1606=TRUE)*Q1579:Q1606*Skills!F2:F29))</f>
        <v/>
      </c>
    </row>
    <row r="1613">
      <c r="A1613" t="inlineStr">
        <is>
          <t>Empowered Piercing Arrow Casts Per Second</t>
        </is>
      </c>
      <c r="B1613">
        <f>MAX(0,B1611-B1612)</f>
        <v/>
      </c>
    </row>
    <row r="1614">
      <c r="A1614" t="inlineStr">
        <is>
          <t>Global Critical Damage Bonus % (Sharp Eyes)</t>
        </is>
      </c>
      <c r="B1614">
        <f>(C1593=TRUE)*F1593*IF(AND(Inputs!$B$38&lt;&gt;"pvp",Inputs!$B$43&gt;0),(((R1593-1)*(Skills!T16*(1+Inputs!$B$34/100))+MIN((Skills!T16*(1+Inputs!$B$34/100)),MAX(0,Inputs!$B$43-((R1593-1)*Skills!D16))))/Inputs!$B$43),IF(Inputs!$B$38="pvp",MIN((Skills!T16*(1+Inputs!$B$34/100)),15)/15,(Skills!T16*(1+Inputs!$B$34/100))/Skills!D16))</f>
        <v/>
      </c>
    </row>
    <row r="1615">
      <c r="A1615" t="inlineStr">
        <is>
          <t>Global Final Damage Bonus % (Mortal Blow + Last Man Standing conditional half)</t>
        </is>
      </c>
      <c r="B1615">
        <f>(C1594=TRUE)*F1594+((C1603=TRUE)*IF(Inputs!$B$38="pvp",F1603,(1-Summary!$B$55)*(F1603)+Summary!$B$55*(0)))</f>
        <v/>
      </c>
    </row>
    <row r="1616">
      <c r="A1616" t="inlineStr">
        <is>
          <t>Buff-Casting Startup Delay (s, fixed-duration only)</t>
        </is>
      </c>
      <c r="B1616">
        <f>IF(AND(Inputs!$B$38&lt;&gt;"pvp",Inputs!$B$43&gt;0),SUMPRODUCT((Skills!T2:T29&gt;0)*(Skills!E2:E29=TRUE)*(C1579:C1606=TRUE))/B1611,0)</f>
        <v/>
      </c>
    </row>
    <row r="1617">
      <c r="A1617" t="inlineStr">
        <is>
          <t>Boss-Only Total DPS (this block's swept value)</t>
        </is>
      </c>
      <c r="B1617">
        <f>SUM(T1579:T1606)</f>
        <v/>
      </c>
    </row>
    <row r="1618">
      <c r="A1618" t="inlineStr">
        <is>
          <t>Normal-Only Total DPS (this block's swept value)</t>
        </is>
      </c>
      <c r="B1618">
        <f>SUM(V1579:V1606)</f>
        <v/>
      </c>
    </row>
    <row r="1619">
      <c r="A1619" s="5" t="inlineStr">
        <is>
          <t>TOTAL DPS</t>
        </is>
      </c>
      <c r="B1619" s="5">
        <f>SUM(O1579:O1606)</f>
        <v/>
      </c>
    </row>
    <row r="1622">
      <c r="A1622" s="5" t="inlineStr">
        <is>
          <t>Stat: CDR = 5.0s</t>
        </is>
      </c>
    </row>
    <row r="1623">
      <c r="A1623" s="9" t="inlineStr">
        <is>
          <t>Key</t>
        </is>
      </c>
      <c r="B1623" s="9" t="inlineStr">
        <is>
          <t>Name</t>
        </is>
      </c>
      <c r="C1623" s="9" t="inlineStr">
        <is>
          <t>Unlocked</t>
        </is>
      </c>
      <c r="D1623" s="9" t="inlineStr">
        <is>
          <t>InputLevel</t>
        </is>
      </c>
      <c r="E1623" s="9" t="inlineStr">
        <is>
          <t>Factor</t>
        </is>
      </c>
      <c r="F1623" s="9" t="inlineStr">
        <is>
          <t>CoefficientPercent</t>
        </is>
      </c>
      <c r="G1623" s="9" t="inlineStr">
        <is>
          <t>EffectiveHits</t>
        </is>
      </c>
      <c r="H1623" s="9" t="inlineStr">
        <is>
          <t>ProcProbability</t>
        </is>
      </c>
      <c r="I1623" s="9" t="inlineStr">
        <is>
          <t>MapleHeroMultiplier</t>
        </is>
      </c>
      <c r="J1623" s="9" t="inlineStr">
        <is>
          <t>BaseDamage</t>
        </is>
      </c>
      <c r="K1623" s="9" t="inlineStr">
        <is>
          <t>BaseHitDamage</t>
        </is>
      </c>
      <c r="L1623" s="9" t="inlineStr">
        <is>
          <t>NonCritAvg</t>
        </is>
      </c>
      <c r="M1623" s="9" t="inlineStr">
        <is>
          <t>CritAvg</t>
        </is>
      </c>
      <c r="N1623" s="9" t="inlineStr">
        <is>
          <t>ExpectedDamage(perHit)</t>
        </is>
      </c>
      <c r="O1623" s="9" t="inlineStr">
        <is>
          <t>DPS</t>
        </is>
      </c>
      <c r="P1623" s="9" t="inlineStr">
        <is>
          <t>% of Total</t>
        </is>
      </c>
      <c r="Q1623" s="9" t="inlineStr">
        <is>
          <t>InvCooldown</t>
        </is>
      </c>
      <c r="R1623" s="9" t="inlineStr">
        <is>
          <t>CastsInFight</t>
        </is>
      </c>
      <c r="S1623" s="9" t="inlineStr">
        <is>
          <t>HitRate(perSec)</t>
        </is>
      </c>
      <c r="U1623" t="inlineStr">
        <is>
          <t>helpers</t>
        </is>
      </c>
    </row>
    <row r="1624">
      <c r="A1624">
        <f>Skills!A2</f>
        <v/>
      </c>
      <c r="B1624">
        <f>Skills!B2</f>
        <v/>
      </c>
      <c r="C1624">
        <f>Inputs!$B$3&gt;=100</f>
        <v/>
      </c>
      <c r="D1624" t="inlineStr"/>
      <c r="E1624" t="inlineStr"/>
      <c r="F1624">
        <f>U1626+Skills!O2</f>
        <v/>
      </c>
      <c r="G1624">
        <f>Skills!G2*IF(Skills!H2&gt;0,Skills!I2/Skills!H2,1)</f>
        <v/>
      </c>
      <c r="H1624">
        <f>1-(1-Skills!J2/100)^Skills!K2</f>
        <v/>
      </c>
      <c r="I1624" t="inlineStr">
        <is>
          <t>1</t>
        </is>
      </c>
      <c r="J1624">
        <f>((Inputs!$B$6*(1+Inputs!$B$7/100))+(((Inputs!$B$12*(1+Inputs!$B$13/100))-(Inputs!$B$12*(1+Inputs!$B$13/100)))+0.25*(Inputs!$B$14-Inputs!$B$14))*(1+Inputs!$B$7/100))*(F1624/100)</f>
        <v/>
      </c>
      <c r="K1624">
        <f>J1624*(1+((Inputs!$B$12*(1+Inputs!$B$13/100))*0.01+Inputs!$B$14*0.0025)/100)*(1+Inputs!$B$15/100)*(1+Inputs!$B$16/100)*(5000/(6000+Inputs!$B$42*(1-(Inputs!$B$19+0)/100)))*(1+(Inputs!$B$24+((C1646=TRUE)*(F1646-Calc!F24))+((C1647=TRUE)*(F1647-Calc!F25))+B1660)/100)*(1+(IF(Skills!A2="EMPOWERED_PIERCING_ARROW",Inputs!$B$17+((C1644=TRUE)*(F1644-Calc!F22)),Inputs!$B$18+((C1649=TRUE)*(F1649-Calc!F27))))/100)*((1+(((C1635=TRUE)*F1635)+((C1636=TRUE)*IF(Inputs!$B$38="pvp",F1636,(1-Summary!$B$55)*(F1636)+Summary!$B$55*(0)))+((C1637=TRUE)*F1637*IF(AND(Inputs!$B$38&lt;&gt;"pvp",Inputs!$B$43&gt;0),(((R1637-1)*(Skills!T15*(1+Inputs!$B$34/100))+MIN((Skills!T15*(1+Inputs!$B$34/100)),MAX(0,Inputs!$B$43-((R1637-1)*Skills!D15))))/Inputs!$B$43),IF(Inputs!$B$38="pvp",MIN((Skills!T15*(1+Inputs!$B$34/100)),15)/15,(Skills!T15*(1+Inputs!$B$34/100))/Skills!D15)))+((C1634=TRUE)*F1634)+((C1651=TRUE)*(F1651-Calc!F29)))/100)*I1624)</f>
        <v/>
      </c>
      <c r="L1624">
        <f>K1624*(MIN(Inputs!$B$22+((C1645=TRUE)*(F1645-Calc!F23)),Inputs!$B$23+((C1650=TRUE)*(F1650-Calc!F28)))/100+(Inputs!$B$23+((C1650=TRUE)*(F1650-Calc!F28)))/100)/2</f>
        <v/>
      </c>
      <c r="M1624">
        <f>L1624*(1+(Inputs!$B$10+0+B1659)/100)</f>
        <v/>
      </c>
      <c r="N1624">
        <f>L1624*(1-MIN((Inputs!$B$9+((C1641=TRUE)*(F1641-Calc!F19))+B1654),100)/100)+M1624*(MIN((Inputs!$B$9+((C1641=TRUE)*(F1641-Calc!F19))+B1654),100)/100)</f>
        <v/>
      </c>
      <c r="O1624">
        <f>(1-Summary!$B$55)*T1624+Summary!$B$55*V1624</f>
        <v/>
      </c>
      <c r="P1624">
        <f>IF(B1664=0,0,O1624/B1664)</f>
        <v/>
      </c>
      <c r="Q1624" t="n">
        <v>0</v>
      </c>
      <c r="R1624" t="n">
        <v>0</v>
      </c>
      <c r="S1624">
        <f>IFERROR((Skills!G2*N1624*B1658)/N1624*IF(Inputs!$B$38="pvp",1,(1-Summary!$B$55)*1+Summary!$B$55*(MIN((6+Inputs!$B$33),Inputs!$B$37))),0)</f>
        <v/>
      </c>
      <c r="T1624">
        <f>IF(C1624,(Skills!G2*N1624*B1658)*IF(Inputs!$B$38="pvp",1,1+(Inputs!$B$20+0+Skills!P2)/100),0)</f>
        <v/>
      </c>
      <c r="U1624">
        <f>MAX(0,(Inputs!$B$3-100)*3)+Inputs!$B$28+Inputs!$B$29</f>
        <v/>
      </c>
      <c r="V1624">
        <f>IF(C1624,(Skills!G2*N1624*B1658)*IF(Inputs!$B$38="pvp",1,(1+(Inputs!$B$21+Skills!Q2)/100)*(MIN((6+Inputs!$B$33),Inputs!$B$37))),0)</f>
        <v/>
      </c>
    </row>
    <row r="1625">
      <c r="A1625">
        <f>Skills!A3</f>
        <v/>
      </c>
      <c r="B1625">
        <f>Skills!B3</f>
        <v/>
      </c>
      <c r="C1625">
        <f>Inputs!$B$3&gt;=50</f>
        <v/>
      </c>
      <c r="D1625">
        <f>IF(Skills!C3=1,60+Inputs!$B$25+Inputs!$B$29,IF(Skills!C3=2,90+Inputs!$B$26+Inputs!$B$29,IF(Skills!C3=3,120+Inputs!$B$27+Inputs!$B$29,MAX(0,(Inputs!$B$3-100)*3)+Inputs!$B$28+Inputs!$B$29)))</f>
        <v/>
      </c>
      <c r="E1625">
        <f>INDEX(FactorTable!$B$2:$Y$301, MATCH(ROUND(MIN(300,MAX(1,D1625)),0), FactorTable!$A$2:$A$301,0), Skills!M3+1)</f>
        <v/>
      </c>
      <c r="F1625">
        <f>IF(Skills!N3=TRUE,(Skills!L3/10)*(E1625/1000),Skills!L3/10)+Skills!O3</f>
        <v/>
      </c>
      <c r="G1625" t="inlineStr"/>
      <c r="H1625" t="inlineStr"/>
      <c r="I1625" t="inlineStr">
        <is>
          <t>1</t>
        </is>
      </c>
      <c r="J1625" t="inlineStr"/>
      <c r="K1625" t="inlineStr"/>
      <c r="L1625" t="inlineStr"/>
      <c r="M1625" t="inlineStr"/>
      <c r="N1625" t="inlineStr"/>
      <c r="O1625" t="inlineStr"/>
      <c r="P1625" t="inlineStr"/>
      <c r="Q1625" t="inlineStr"/>
      <c r="R1625" t="inlineStr"/>
      <c r="S1625" t="inlineStr"/>
      <c r="T1625" t="inlineStr"/>
      <c r="U1625">
        <f>INDEX(FactorTable!$B$2:$Y$301, MATCH(ROUND(MIN(300,MAX(1,U1624)),0), FactorTable!$A$2:$A$301,0), 22)</f>
        <v/>
      </c>
      <c r="V1625" t="inlineStr"/>
    </row>
    <row r="1626">
      <c r="A1626">
        <f>Skills!A4</f>
        <v/>
      </c>
      <c r="B1626">
        <f>Skills!B4</f>
        <v/>
      </c>
      <c r="C1626">
        <f>Inputs!$B$3&gt;=105</f>
        <v/>
      </c>
      <c r="D1626">
        <f>IF(Skills!C4=1,60+Inputs!$B$25+Inputs!$B$29,IF(Skills!C4=2,90+Inputs!$B$26+Inputs!$B$29,IF(Skills!C4=3,120+Inputs!$B$27+Inputs!$B$29,MAX(0,(Inputs!$B$3-100)*3)+Inputs!$B$28+Inputs!$B$29)))</f>
        <v/>
      </c>
      <c r="E1626">
        <f>INDEX(FactorTable!$B$2:$Y$301, MATCH(ROUND(MIN(300,MAX(1,D1626)),0), FactorTable!$A$2:$A$301,0), Skills!M4+1)</f>
        <v/>
      </c>
      <c r="F1626">
        <f>IF(Skills!N4=TRUE,(Skills!L4/10)*(E1626/1000),Skills!L4/10)+Skills!O4</f>
        <v/>
      </c>
      <c r="G1626" t="inlineStr"/>
      <c r="H1626" t="inlineStr"/>
      <c r="I1626" t="inlineStr">
        <is>
          <t>1</t>
        </is>
      </c>
      <c r="J1626" t="inlineStr"/>
      <c r="K1626" t="inlineStr"/>
      <c r="L1626" t="inlineStr"/>
      <c r="M1626" t="inlineStr"/>
      <c r="N1626" t="inlineStr"/>
      <c r="O1626" t="inlineStr"/>
      <c r="P1626" t="inlineStr"/>
      <c r="Q1626" t="inlineStr"/>
      <c r="R1626" t="inlineStr"/>
      <c r="S1626" t="inlineStr"/>
      <c r="T1626" t="inlineStr"/>
      <c r="U1626">
        <f>290*U1625/1000</f>
        <v/>
      </c>
      <c r="V1626" t="inlineStr"/>
    </row>
    <row r="1627">
      <c r="A1627">
        <f>Skills!A5</f>
        <v/>
      </c>
      <c r="B1627">
        <f>Skills!B5</f>
        <v/>
      </c>
      <c r="C1627">
        <f>Inputs!$B$3&gt;=35</f>
        <v/>
      </c>
      <c r="D1627">
        <f>IF(Skills!C5=1,60+Inputs!$B$25+Inputs!$B$29,IF(Skills!C5=2,90+Inputs!$B$26+Inputs!$B$29,IF(Skills!C5=3,120+Inputs!$B$27+Inputs!$B$29,MAX(0,(Inputs!$B$3-100)*3)+Inputs!$B$28+Inputs!$B$29)))</f>
        <v/>
      </c>
      <c r="E1627">
        <f>INDEX(FactorTable!$B$2:$Y$301, MATCH(ROUND(MIN(300,MAX(1,D1627)),0), FactorTable!$A$2:$A$301,0), Skills!M5+1)</f>
        <v/>
      </c>
      <c r="F1627">
        <f>IF(Skills!N5=TRUE,(Skills!L5/10)*(E1627/1000),Skills!L5/10)+Skills!O5</f>
        <v/>
      </c>
      <c r="G1627">
        <f>Skills!G5*IF(Skills!H5&gt;0,Skills!I5/Skills!H5,1)</f>
        <v/>
      </c>
      <c r="H1627">
        <f>1-(1-Skills!J5/100)^Skills!K5</f>
        <v/>
      </c>
      <c r="I1627" t="inlineStr">
        <is>
          <t>1</t>
        </is>
      </c>
      <c r="J1627">
        <f>((Inputs!$B$6*(1+Inputs!$B$7/100))+(((Inputs!$B$12*(1+Inputs!$B$13/100))-(Inputs!$B$12*(1+Inputs!$B$13/100)))+0.25*(Inputs!$B$14-Inputs!$B$14))*(1+Inputs!$B$7/100))*(F1627/100)</f>
        <v/>
      </c>
      <c r="K1627">
        <f>J1627*(1+((Inputs!$B$12*(1+Inputs!$B$13/100))*0.01+Inputs!$B$14*0.0025)/100)*(1+Inputs!$B$15/100)*(1+Inputs!$B$16/100)*(5000/(6000+Inputs!$B$42*(1-(Inputs!$B$19+0)/100)))*(1+(Inputs!$B$24+((C1646=TRUE)*(F1646-Calc!F24))+((C1647=TRUE)*(F1647-Calc!F25))+B1660)/100)*(1+4.0*IF(C1630=TRUE,F1630,0)/100)*(1+(IF(Skills!A5="EMPOWERED_PIERCING_ARROW",Inputs!$B$17+((C1644=TRUE)*(F1644-Calc!F22)),Inputs!$B$18+((C1649=TRUE)*(F1649-Calc!F27))))/100)*((1+(((C1635=TRUE)*F1635)+((C1636=TRUE)*IF(Inputs!$B$38="pvp",F1636,(1-Summary!$B$55)*(F1636)+Summary!$B$55*(0)))+((C1637=TRUE)*F1637*IF(AND(Inputs!$B$38&lt;&gt;"pvp",Inputs!$B$43&gt;0),(((R1637-1)*(Skills!T15*(1+Inputs!$B$34/100))+MIN((Skills!T15*(1+Inputs!$B$34/100)),MAX(0,Inputs!$B$43-((R1637-1)*Skills!D15))))/Inputs!$B$43),IF(Inputs!$B$38="pvp",MIN((Skills!T15*(1+Inputs!$B$34/100)),15)/15,(Skills!T15*(1+Inputs!$B$34/100))/Skills!D15)))+((C1634=TRUE)*F1634)+((C1651=TRUE)*(F1651-Calc!F29)))/100)*I1627)</f>
        <v/>
      </c>
      <c r="L1627">
        <f>K1627*(MIN(Inputs!$B$22+((C1645=TRUE)*(F1645-Calc!F23)),Inputs!$B$23+((C1650=TRUE)*(F1650-Calc!F28)))/100+(Inputs!$B$23+((C1650=TRUE)*(F1650-Calc!F28)))/100)/2</f>
        <v/>
      </c>
      <c r="M1627">
        <f>L1627*(1+(Inputs!$B$10+0+B1659)/100)</f>
        <v/>
      </c>
      <c r="N1627">
        <f>L1627*(1-MIN((Inputs!$B$9+((C1641=TRUE)*(F1641-Calc!F19))+B1654),100)/100)+M1627*(MIN((Inputs!$B$9+((C1641=TRUE)*(F1641-Calc!F19))+B1654),100)/100)</f>
        <v/>
      </c>
      <c r="O1627">
        <f>(1-Summary!$B$55)*T1627+Summary!$B$55*V1627</f>
        <v/>
      </c>
      <c r="P1627">
        <f>IF(B1664=0,0,O1627/B1664)</f>
        <v/>
      </c>
      <c r="Q1627">
        <f>IFERROR(1/IF(Inputs!$B$38="pvp",15,MAX(0.1,Skills!D5-IF(Skills!E5=TRUE,5.0,0))),0)</f>
        <v/>
      </c>
      <c r="R1627">
        <f>IF(AND(Inputs!$B$38&lt;&gt;"pvp",Inputs!$B$43&gt;0),IF(MAX(0,Inputs!$B$43-B1661)&lt;=0,0,(INT(MAX(0,Inputs!$B$43-B1661)/IF(Inputs!$B$38="pvp",15,MAX(0.1,Skills!D5-IF(Skills!E5=TRUE,5.0,0))))+1)),0)</f>
        <v/>
      </c>
      <c r="S1627">
        <f>IFERROR((H1627*N1627*IF(AND(Inputs!$B$38&lt;&gt;"pvp",Inputs!$B$43&gt;0),((Skills!G5*((R1627-1)*IF(Skills!H5&gt;0,Skills!I5/Skills!H5,1)+IF(Skills!H5&gt;0,MIN(Skills!I5,MAX(0,MAX(0,Inputs!$B$43-B1661)-((R1627-1)*IF(Inputs!$B$38="pvp",15,MAX(0.1,Skills!D5-IF(Skills!E5=TRUE,5.0,0))))))/Skills!H5,1)))/Inputs!$B$43),G1627*Q1627))/N1627*IF(Inputs!$B$38="pvp",1,(1-Summary!$B$55)*1+Summary!$B$55*(MIN(Skills!R5,Inputs!$B$37))),0)</f>
        <v/>
      </c>
      <c r="T1627">
        <f>IF(C1627,(H1627*N1627*IF(AND(Inputs!$B$38&lt;&gt;"pvp",Inputs!$B$43&gt;0),((Skills!G5*((R1627-1)*IF(Skills!H5&gt;0,Skills!I5/Skills!H5,1)+IF(Skills!H5&gt;0,MIN(Skills!I5,MAX(0,MAX(0,Inputs!$B$43-B1661)-((R1627-1)*IF(Inputs!$B$38="pvp",15,MAX(0.1,Skills!D5-IF(Skills!E5=TRUE,5.0,0))))))/Skills!H5,1)))/Inputs!$B$43),G1627*Q1627))*IF(Inputs!$B$38="pvp",1,1+(Inputs!$B$20+0+Skills!P5)/100),0)</f>
        <v/>
      </c>
      <c r="V1627">
        <f>IF(C1627,(H1627*N1627*IF(AND(Inputs!$B$38&lt;&gt;"pvp",Inputs!$B$43&gt;0),((Skills!G5*((R1627-1)*IF(Skills!H5&gt;0,Skills!I5/Skills!H5,1)+IF(Skills!H5&gt;0,MIN(Skills!I5,MAX(0,MAX(0,Inputs!$B$43-B1661)-((R1627-1)*IF(Inputs!$B$38="pvp",15,MAX(0.1,Skills!D5-IF(Skills!E5=TRUE,5.0,0))))))/Skills!H5,1)))/Inputs!$B$43),G1627*Q1627))*IF(Inputs!$B$38="pvp",1,(1+(Inputs!$B$21+Skills!Q5)/100)*(MIN(Skills!R5,Inputs!$B$37))),0)</f>
        <v/>
      </c>
    </row>
    <row r="1628">
      <c r="A1628">
        <f>Skills!A6</f>
        <v/>
      </c>
      <c r="B1628">
        <f>Skills!B6</f>
        <v/>
      </c>
      <c r="C1628">
        <f>Inputs!$B$3&gt;=63</f>
        <v/>
      </c>
      <c r="D1628">
        <f>IF(Skills!C6=1,60+Inputs!$B$25+Inputs!$B$29,IF(Skills!C6=2,90+Inputs!$B$26+Inputs!$B$29,IF(Skills!C6=3,120+Inputs!$B$27+Inputs!$B$29,MAX(0,(Inputs!$B$3-100)*3)+Inputs!$B$28+Inputs!$B$29)))</f>
        <v/>
      </c>
      <c r="E1628">
        <f>INDEX(FactorTable!$B$2:$Y$301, MATCH(ROUND(MIN(300,MAX(1,D1628)),0), FactorTable!$A$2:$A$301,0), Skills!M6+1)</f>
        <v/>
      </c>
      <c r="F1628">
        <f>IF(Skills!N6=TRUE,(Skills!L6/10)*(E1628/1000),Skills!L6/10)+Skills!O6</f>
        <v/>
      </c>
      <c r="G1628">
        <f>Skills!G6*IF(Skills!H6&gt;0,Skills!I6/Skills!H6,1)</f>
        <v/>
      </c>
      <c r="H1628">
        <f>1-(1-Skills!J6/100)^Skills!K6</f>
        <v/>
      </c>
      <c r="I1628" t="inlineStr">
        <is>
          <t>1</t>
        </is>
      </c>
      <c r="J1628">
        <f>((Inputs!$B$6*(1+Inputs!$B$7/100))+(((Inputs!$B$12*(1+Inputs!$B$13/100))-(Inputs!$B$12*(1+Inputs!$B$13/100)))+0.25*(Inputs!$B$14-Inputs!$B$14))*(1+Inputs!$B$7/100))*(F1628/100)</f>
        <v/>
      </c>
      <c r="K1628">
        <f>J1628*(1+((Inputs!$B$12*(1+Inputs!$B$13/100))*0.01+Inputs!$B$14*0.0025)/100)*(1+Inputs!$B$15/100)*(1+Inputs!$B$16/100)*(5000/(6000+Inputs!$B$42*(1-(Inputs!$B$19+0)/100)))*(1+(Inputs!$B$24+((C1646=TRUE)*(F1646-Calc!F24))+((C1647=TRUE)*(F1647-Calc!F25))+B1660)/100)*(1+1.0*IF(C1630=TRUE,F1630,0)/100)*(1+(IF(Skills!A6="EMPOWERED_PIERCING_ARROW",Inputs!$B$17+((C1644=TRUE)*(F1644-Calc!F22)),Inputs!$B$18+((C1649=TRUE)*(F1649-Calc!F27))))/100)*((1+(((C1635=TRUE)*F1635)+((C1636=TRUE)*IF(Inputs!$B$38="pvp",F1636,(1-Summary!$B$55)*(F1636)+Summary!$B$55*(0)))+((C1637=TRUE)*F1637*IF(AND(Inputs!$B$38&lt;&gt;"pvp",Inputs!$B$43&gt;0),(((R1637-1)*(Skills!T15*(1+Inputs!$B$34/100))+MIN((Skills!T15*(1+Inputs!$B$34/100)),MAX(0,Inputs!$B$43-((R1637-1)*Skills!D15))))/Inputs!$B$43),IF(Inputs!$B$38="pvp",MIN((Skills!T15*(1+Inputs!$B$34/100)),15)/15,(Skills!T15*(1+Inputs!$B$34/100))/Skills!D15)))+((C1634=TRUE)*F1634)+((C1651=TRUE)*(F1651-Calc!F29)))/100)*I1628)</f>
        <v/>
      </c>
      <c r="L1628">
        <f>K1628*(MIN(Inputs!$B$22+((C1645=TRUE)*(F1645-Calc!F23)),Inputs!$B$23+((C1650=TRUE)*(F1650-Calc!F28)))/100+(Inputs!$B$23+((C1650=TRUE)*(F1650-Calc!F28)))/100)/2</f>
        <v/>
      </c>
      <c r="M1628">
        <f>L1628*(1+(Inputs!$B$10+0+B1659)/100)</f>
        <v/>
      </c>
      <c r="N1628">
        <f>L1628*(1-MIN((Inputs!$B$9+((C1641=TRUE)*(F1641-Calc!F19))+B1654),100)/100)+M1628*(MIN((Inputs!$B$9+((C1641=TRUE)*(F1641-Calc!F19))+B1654),100)/100)</f>
        <v/>
      </c>
      <c r="O1628">
        <f>(1-Summary!$B$55)*T1628+Summary!$B$55*V1628</f>
        <v/>
      </c>
      <c r="P1628">
        <f>IF(B1664=0,0,O1628/B1664)</f>
        <v/>
      </c>
      <c r="Q1628">
        <f>IFERROR(1/IF(Inputs!$B$38="pvp",15,MAX(0.1,Skills!D6-IF(Skills!E6=TRUE,5.0,0))),0)</f>
        <v/>
      </c>
      <c r="R1628">
        <f>IF(AND(Inputs!$B$38&lt;&gt;"pvp",Inputs!$B$43&gt;0),IF(MAX(0,Inputs!$B$43-B1661)&lt;=0,0,(INT(MAX(0,Inputs!$B$43-B1661)/IF(Inputs!$B$38="pvp",15,MAX(0.1,Skills!D6-IF(Skills!E6=TRUE,5.0,0))))+1)),0)</f>
        <v/>
      </c>
      <c r="S1628">
        <f>IFERROR((H1628*N1628*IF(AND(Inputs!$B$38&lt;&gt;"pvp",Inputs!$B$43&gt;0),((Skills!G6*((R1628-1)*IF(Skills!H6&gt;0,Skills!I6/Skills!H6,1)+IF(Skills!H6&gt;0,MIN(Skills!I6,MAX(0,MAX(0,Inputs!$B$43-B1661)-((R1628-1)*IF(Inputs!$B$38="pvp",15,MAX(0.1,Skills!D6-IF(Skills!E6=TRUE,5.0,0))))))/Skills!H6,1)))/Inputs!$B$43),G1628*Q1628))/N1628*IF(Inputs!$B$38="pvp",1,(1-Summary!$B$55)*1+Summary!$B$55*(MIN(Skills!R6,Inputs!$B$37))),0)</f>
        <v/>
      </c>
      <c r="T1628">
        <f>IF(C1628,(H1628*N1628*IF(AND(Inputs!$B$38&lt;&gt;"pvp",Inputs!$B$43&gt;0),((Skills!G6*((R1628-1)*IF(Skills!H6&gt;0,Skills!I6/Skills!H6,1)+IF(Skills!H6&gt;0,MIN(Skills!I6,MAX(0,MAX(0,Inputs!$B$43-B1661)-((R1628-1)*IF(Inputs!$B$38="pvp",15,MAX(0.1,Skills!D6-IF(Skills!E6=TRUE,5.0,0))))))/Skills!H6,1)))/Inputs!$B$43),G1628*Q1628))*IF(Inputs!$B$38="pvp",1,1+(Inputs!$B$20+0+Skills!P6)/100),0)</f>
        <v/>
      </c>
      <c r="V1628">
        <f>IF(C1628,(H1628*N1628*IF(AND(Inputs!$B$38&lt;&gt;"pvp",Inputs!$B$43&gt;0),((Skills!G6*((R1628-1)*IF(Skills!H6&gt;0,Skills!I6/Skills!H6,1)+IF(Skills!H6&gt;0,MIN(Skills!I6,MAX(0,MAX(0,Inputs!$B$43-B1661)-((R1628-1)*IF(Inputs!$B$38="pvp",15,MAX(0.1,Skills!D6-IF(Skills!E6=TRUE,5.0,0))))))/Skills!H6,1)))/Inputs!$B$43),G1628*Q1628))*IF(Inputs!$B$38="pvp",1,(1+(Inputs!$B$21+Skills!Q6)/100)*(MIN(Skills!R6,Inputs!$B$37))),0)</f>
        <v/>
      </c>
    </row>
    <row r="1629">
      <c r="A1629">
        <f>Skills!A7</f>
        <v/>
      </c>
      <c r="B1629">
        <f>Skills!B7</f>
        <v/>
      </c>
      <c r="C1629">
        <f>Inputs!$B$3&gt;=69</f>
        <v/>
      </c>
      <c r="D1629">
        <f>IF(Skills!C7=1,60+Inputs!$B$25+Inputs!$B$29,IF(Skills!C7=2,90+Inputs!$B$26+Inputs!$B$29,IF(Skills!C7=3,120+Inputs!$B$27+Inputs!$B$29,MAX(0,(Inputs!$B$3-100)*3)+Inputs!$B$28+Inputs!$B$29)))</f>
        <v/>
      </c>
      <c r="E1629">
        <f>INDEX(FactorTable!$B$2:$Y$301, MATCH(ROUND(MIN(300,MAX(1,D1629)),0), FactorTable!$A$2:$A$301,0), Skills!M7+1)</f>
        <v/>
      </c>
      <c r="F1629">
        <f>IF(Skills!N7=TRUE,(Skills!L7/10)*(E1629/1000),Skills!L7/10)+Skills!O7</f>
        <v/>
      </c>
      <c r="G1629">
        <f>Skills!G7*IF(Skills!H7&gt;0,Skills!I7/Skills!H7,1)</f>
        <v/>
      </c>
      <c r="H1629">
        <f>1-(1-Skills!J7/100)^Skills!K7</f>
        <v/>
      </c>
      <c r="I1629" t="inlineStr">
        <is>
          <t>1</t>
        </is>
      </c>
      <c r="J1629">
        <f>((Inputs!$B$6*(1+Inputs!$B$7/100))+(((Inputs!$B$12*(1+Inputs!$B$13/100))-(Inputs!$B$12*(1+Inputs!$B$13/100)))+0.25*(Inputs!$B$14-Inputs!$B$14))*(1+Inputs!$B$7/100))*(F1629/100)</f>
        <v/>
      </c>
      <c r="K1629">
        <f>J1629*(1+((Inputs!$B$12*(1+Inputs!$B$13/100))*0.01+Inputs!$B$14*0.0025)/100)*(1+Inputs!$B$15/100)*(1+Inputs!$B$16/100)*(5000/(6000+Inputs!$B$42*(1-(Inputs!$B$19+0)/100)))*(1+(Inputs!$B$24+((C1646=TRUE)*(F1646-Calc!F24))+((C1647=TRUE)*(F1647-Calc!F25))+B1660)/100)*(1+1.2*IF(C1630=TRUE,F1630,0)/100)*(1+(IF(Skills!A7="EMPOWERED_PIERCING_ARROW",Inputs!$B$17+((C1644=TRUE)*(F1644-Calc!F22)),Inputs!$B$18+((C1649=TRUE)*(F1649-Calc!F27))))/100)*((1+(((C1635=TRUE)*F1635)+((C1636=TRUE)*IF(Inputs!$B$38="pvp",F1636,(1-Summary!$B$55)*(F1636)+Summary!$B$55*(0)))+((C1637=TRUE)*F1637*IF(AND(Inputs!$B$38&lt;&gt;"pvp",Inputs!$B$43&gt;0),(((R1637-1)*(Skills!T15*(1+Inputs!$B$34/100))+MIN((Skills!T15*(1+Inputs!$B$34/100)),MAX(0,Inputs!$B$43-((R1637-1)*Skills!D15))))/Inputs!$B$43),IF(Inputs!$B$38="pvp",MIN((Skills!T15*(1+Inputs!$B$34/100)),15)/15,(Skills!T15*(1+Inputs!$B$34/100))/Skills!D15)))+((C1634=TRUE)*F1634)+((C1651=TRUE)*(F1651-Calc!F29)))/100)*I1629)</f>
        <v/>
      </c>
      <c r="L1629">
        <f>K1629*(MIN(Inputs!$B$22+((C1645=TRUE)*(F1645-Calc!F23)),Inputs!$B$23+((C1650=TRUE)*(F1650-Calc!F28)))/100+(Inputs!$B$23+((C1650=TRUE)*(F1650-Calc!F28)))/100)/2</f>
        <v/>
      </c>
      <c r="M1629">
        <f>L1629*(1+(Inputs!$B$10+0+B1659)/100)</f>
        <v/>
      </c>
      <c r="N1629">
        <f>L1629*(1-MIN((Inputs!$B$9+((C1641=TRUE)*(F1641-Calc!F19))+B1654),100)/100)+M1629*(MIN((Inputs!$B$9+((C1641=TRUE)*(F1641-Calc!F19))+B1654),100)/100)</f>
        <v/>
      </c>
      <c r="O1629">
        <f>(1-Summary!$B$55)*T1629+Summary!$B$55*V1629</f>
        <v/>
      </c>
      <c r="P1629">
        <f>IF(B1664=0,0,O1629/B1664)</f>
        <v/>
      </c>
      <c r="Q1629">
        <f>IFERROR(1/IF(Inputs!$B$38="pvp",15,MAX(0.1,Skills!D7-IF(Skills!E7=TRUE,5.0,0))),0)</f>
        <v/>
      </c>
      <c r="R1629">
        <f>IF(AND(Inputs!$B$38&lt;&gt;"pvp",Inputs!$B$43&gt;0),IF(MAX(0,Inputs!$B$43-B1661)&lt;=0,0,(INT(MAX(0,Inputs!$B$43-B1661)/IF(Inputs!$B$38="pvp",15,MAX(0.1,Skills!D7-IF(Skills!E7=TRUE,5.0,0))))+1)),0)</f>
        <v/>
      </c>
      <c r="S1629">
        <f>IFERROR((H1629*N1629*IF(AND(Inputs!$B$38&lt;&gt;"pvp",Inputs!$B$43&gt;0),((Skills!G7*((R1629-1)*IF(Skills!H7&gt;0,Skills!I7/Skills!H7,1)+IF(Skills!H7&gt;0,MIN(Skills!I7,MAX(0,MAX(0,Inputs!$B$43-B1661)-((R1629-1)*IF(Inputs!$B$38="pvp",15,MAX(0.1,Skills!D7-IF(Skills!E7=TRUE,5.0,0))))))/Skills!H7,1)))/Inputs!$B$43),G1629*Q1629))/N1629*IF(Inputs!$B$38="pvp",1,(1-Summary!$B$55)*1+Summary!$B$55*(MIN(Skills!R7,Inputs!$B$37))),0)</f>
        <v/>
      </c>
      <c r="T1629">
        <f>IF(C1629,(H1629*N1629*IF(AND(Inputs!$B$38&lt;&gt;"pvp",Inputs!$B$43&gt;0),((Skills!G7*((R1629-1)*IF(Skills!H7&gt;0,Skills!I7/Skills!H7,1)+IF(Skills!H7&gt;0,MIN(Skills!I7,MAX(0,MAX(0,Inputs!$B$43-B1661)-((R1629-1)*IF(Inputs!$B$38="pvp",15,MAX(0.1,Skills!D7-IF(Skills!E7=TRUE,5.0,0))))))/Skills!H7,1)))/Inputs!$B$43),G1629*Q1629))*IF(Inputs!$B$38="pvp",1,1+(Inputs!$B$20+0+Skills!P7)/100),0)</f>
        <v/>
      </c>
      <c r="V1629">
        <f>IF(C1629,(H1629*N1629*IF(AND(Inputs!$B$38&lt;&gt;"pvp",Inputs!$B$43&gt;0),((Skills!G7*((R1629-1)*IF(Skills!H7&gt;0,Skills!I7/Skills!H7,1)+IF(Skills!H7&gt;0,MIN(Skills!I7,MAX(0,MAX(0,Inputs!$B$43-B1661)-((R1629-1)*IF(Inputs!$B$38="pvp",15,MAX(0.1,Skills!D7-IF(Skills!E7=TRUE,5.0,0))))))/Skills!H7,1)))/Inputs!$B$43),G1629*Q1629))*IF(Inputs!$B$38="pvp",1,(1+(Inputs!$B$21+Skills!Q7)/100)*(MIN(Skills!R7,Inputs!$B$37))),0)</f>
        <v/>
      </c>
    </row>
    <row r="1630">
      <c r="A1630">
        <f>Skills!A8</f>
        <v/>
      </c>
      <c r="B1630">
        <f>Skills!B8</f>
        <v/>
      </c>
      <c r="C1630">
        <f>Inputs!$B$3&gt;=100</f>
        <v/>
      </c>
      <c r="D1630">
        <f>IF(Skills!C8=1,60+Inputs!$B$25+Inputs!$B$29,IF(Skills!C8=2,90+Inputs!$B$26+Inputs!$B$29,IF(Skills!C8=3,120+Inputs!$B$27+Inputs!$B$29,MAX(0,(Inputs!$B$3-100)*3)+Inputs!$B$28+Inputs!$B$29)))</f>
        <v/>
      </c>
      <c r="E1630">
        <f>INDEX(FactorTable!$B$2:$Y$301, MATCH(ROUND(MIN(300,MAX(1,D1630)),0), FactorTable!$A$2:$A$301,0), Skills!M8+1)</f>
        <v/>
      </c>
      <c r="F1630">
        <f>IF(Skills!N8=TRUE,(Skills!L8/10)*(E1630/1000),Skills!L8/10)+Skills!O8</f>
        <v/>
      </c>
      <c r="G1630" t="inlineStr"/>
      <c r="H1630" t="inlineStr"/>
      <c r="I1630" t="inlineStr">
        <is>
          <t>1</t>
        </is>
      </c>
      <c r="J1630" t="inlineStr"/>
      <c r="K1630" t="inlineStr"/>
      <c r="L1630" t="inlineStr"/>
      <c r="M1630" t="inlineStr"/>
      <c r="N1630" t="inlineStr"/>
      <c r="O1630" t="inlineStr"/>
      <c r="P1630" t="inlineStr"/>
      <c r="Q1630" t="inlineStr"/>
      <c r="R1630" t="inlineStr"/>
      <c r="S1630" t="inlineStr"/>
      <c r="T1630" t="inlineStr"/>
      <c r="V1630" t="inlineStr"/>
    </row>
    <row r="1631">
      <c r="A1631">
        <f>Skills!A9</f>
        <v/>
      </c>
      <c r="B1631">
        <f>Skills!B9</f>
        <v/>
      </c>
      <c r="C1631">
        <f>Inputs!$B$3&gt;=103</f>
        <v/>
      </c>
      <c r="D1631">
        <f>IF(Skills!C9=1,60+Inputs!$B$25+Inputs!$B$29,IF(Skills!C9=2,90+Inputs!$B$26+Inputs!$B$29,IF(Skills!C9=3,120+Inputs!$B$27+Inputs!$B$29,MAX(0,(Inputs!$B$3-100)*3)+Inputs!$B$28+Inputs!$B$29)))</f>
        <v/>
      </c>
      <c r="E1631">
        <f>INDEX(FactorTable!$B$2:$Y$301, MATCH(ROUND(MIN(300,MAX(1,D1631)),0), FactorTable!$A$2:$A$301,0), Skills!M9+1)</f>
        <v/>
      </c>
      <c r="F1631">
        <f>IF(Skills!N9=TRUE,(Skills!L9/10)*(E1631/1000),Skills!L9/10)+Skills!O9</f>
        <v/>
      </c>
      <c r="G1631">
        <f>Skills!G9*IF(Skills!H9&gt;0,Skills!I9/Skills!H9,1)</f>
        <v/>
      </c>
      <c r="H1631">
        <f>1-(1-Skills!J9/100)^Skills!K9</f>
        <v/>
      </c>
      <c r="I1631" t="inlineStr">
        <is>
          <t>1</t>
        </is>
      </c>
      <c r="J1631">
        <f>((Inputs!$B$6*(1+Inputs!$B$7/100))+(((Inputs!$B$12*(1+Inputs!$B$13/100))-(Inputs!$B$12*(1+Inputs!$B$13/100)))+0.25*(Inputs!$B$14-Inputs!$B$14))*(1+Inputs!$B$7/100))*(F1631/100)</f>
        <v/>
      </c>
      <c r="K1631">
        <f>J1631*(1+((Inputs!$B$12*(1+Inputs!$B$13/100))*0.01+Inputs!$B$14*0.0025)/100)*(1+Inputs!$B$15/100)*(1+Inputs!$B$16/100)*(5000/(6000+Inputs!$B$42*(1-(Inputs!$B$19+0)/100)))*(1+(Inputs!$B$24+((C1646=TRUE)*(F1646-Calc!F24))+((C1647=TRUE)*(F1647-Calc!F25))+B1660)/100)*(1+(IF(Skills!A9="EMPOWERED_PIERCING_ARROW",Inputs!$B$17+((C1644=TRUE)*(F1644-Calc!F22)),Inputs!$B$18+((C1649=TRUE)*(F1649-Calc!F27))))/100)*((1+(((C1635=TRUE)*F1635)+((C1636=TRUE)*IF(Inputs!$B$38="pvp",F1636,(1-Summary!$B$55)*(F1636)+Summary!$B$55*(0)))+((C1637=TRUE)*F1637*IF(AND(Inputs!$B$38&lt;&gt;"pvp",Inputs!$B$43&gt;0),(((R1637-1)*(Skills!T15*(1+Inputs!$B$34/100))+MIN((Skills!T15*(1+Inputs!$B$34/100)),MAX(0,Inputs!$B$43-((R1637-1)*Skills!D15))))/Inputs!$B$43),IF(Inputs!$B$38="pvp",MIN((Skills!T15*(1+Inputs!$B$34/100)),15)/15,(Skills!T15*(1+Inputs!$B$34/100))/Skills!D15)))+((C1634=TRUE)*F1634)+((C1651=TRUE)*(F1651-Calc!F29)))/100)*I1631)</f>
        <v/>
      </c>
      <c r="L1631">
        <f>K1631*(MIN(Inputs!$B$22+((C1645=TRUE)*(F1645-Calc!F23)),Inputs!$B$23+((C1650=TRUE)*(F1650-Calc!F28)))/100+(Inputs!$B$23+((C1650=TRUE)*(F1650-Calc!F28)))/100)/2</f>
        <v/>
      </c>
      <c r="M1631">
        <f>L1631*(1+(Inputs!$B$10+0+B1659)/100)</f>
        <v/>
      </c>
      <c r="N1631">
        <f>L1631*(1-MIN((Inputs!$B$9+((C1641=TRUE)*(F1641-Calc!F19))+B1654),100)/100)+M1631*(MIN((Inputs!$B$9+((C1641=TRUE)*(F1641-Calc!F19))+B1654),100)/100)</f>
        <v/>
      </c>
      <c r="O1631">
        <f>(1-Summary!$B$55)*T1631+Summary!$B$55*V1631</f>
        <v/>
      </c>
      <c r="P1631">
        <f>IF(B1664=0,0,O1631/B1664)</f>
        <v/>
      </c>
      <c r="Q1631">
        <f>IFERROR(1/IF(Inputs!$B$38="pvp",15,MAX(0.1,Skills!D9-IF(Skills!E9=TRUE,5.0,0))),0)</f>
        <v/>
      </c>
      <c r="R1631">
        <f>IF(AND(Inputs!$B$38&lt;&gt;"pvp",Inputs!$B$43&gt;0),IF(MAX(0,Inputs!$B$43-B1661)&lt;=0,0,(INT(MAX(0,Inputs!$B$43-B1661)/IF(Inputs!$B$38="pvp",15,MAX(0.1,Skills!D9-IF(Skills!E9=TRUE,5.0,0))))+1)),0)</f>
        <v/>
      </c>
      <c r="S1631">
        <f>IFERROR((H1631*N1631*IF(AND(Inputs!$B$38&lt;&gt;"pvp",Inputs!$B$43&gt;0),((Skills!G9*((R1631-1)*IF(Skills!H9&gt;0,Skills!I9/Skills!H9,1)+IF(Skills!H9&gt;0,MIN(Skills!I9,MAX(0,MAX(0,Inputs!$B$43-B1661)-((R1631-1)*IF(Inputs!$B$38="pvp",15,MAX(0.1,Skills!D9-IF(Skills!E9=TRUE,5.0,0))))))/Skills!H9,1)))/Inputs!$B$43),G1631*Q1631))/N1631*IF(Inputs!$B$38="pvp",1,(1-Summary!$B$55)*1+Summary!$B$55*(MIN(Skills!R9,Inputs!$B$37))),0)</f>
        <v/>
      </c>
      <c r="T1631">
        <f>IF(C1631,(H1631*N1631*IF(AND(Inputs!$B$38&lt;&gt;"pvp",Inputs!$B$43&gt;0),((Skills!G9*((R1631-1)*IF(Skills!H9&gt;0,Skills!I9/Skills!H9,1)+IF(Skills!H9&gt;0,MIN(Skills!I9,MAX(0,MAX(0,Inputs!$B$43-B1661)-((R1631-1)*IF(Inputs!$B$38="pvp",15,MAX(0.1,Skills!D9-IF(Skills!E9=TRUE,5.0,0))))))/Skills!H9,1)))/Inputs!$B$43),G1631*Q1631))*IF(Inputs!$B$38="pvp",1,1+(Inputs!$B$20+0+Skills!P9)/100),0)</f>
        <v/>
      </c>
      <c r="V1631">
        <f>IF(C1631,(H1631*N1631*IF(AND(Inputs!$B$38&lt;&gt;"pvp",Inputs!$B$43&gt;0),((Skills!G9*((R1631-1)*IF(Skills!H9&gt;0,Skills!I9/Skills!H9,1)+IF(Skills!H9&gt;0,MIN(Skills!I9,MAX(0,MAX(0,Inputs!$B$43-B1661)-((R1631-1)*IF(Inputs!$B$38="pvp",15,MAX(0.1,Skills!D9-IF(Skills!E9=TRUE,5.0,0))))))/Skills!H9,1)))/Inputs!$B$43),G1631*Q1631))*IF(Inputs!$B$38="pvp",1,(1+(Inputs!$B$21+Skills!Q9)/100)*(MIN(Skills!R9,Inputs!$B$37))),0)</f>
        <v/>
      </c>
    </row>
    <row r="1632">
      <c r="A1632">
        <f>Skills!A10</f>
        <v/>
      </c>
      <c r="B1632">
        <f>Skills!B10</f>
        <v/>
      </c>
      <c r="C1632">
        <f>Inputs!$B$3&gt;=107</f>
        <v/>
      </c>
      <c r="D1632">
        <f>IF(Skills!C10=1,60+Inputs!$B$25+Inputs!$B$29,IF(Skills!C10=2,90+Inputs!$B$26+Inputs!$B$29,IF(Skills!C10=3,120+Inputs!$B$27+Inputs!$B$29,MAX(0,(Inputs!$B$3-100)*3)+Inputs!$B$28+Inputs!$B$29)))</f>
        <v/>
      </c>
      <c r="E1632">
        <f>INDEX(FactorTable!$B$2:$Y$301, MATCH(ROUND(MIN(300,MAX(1,D1632)),0), FactorTable!$A$2:$A$301,0), Skills!M10+1)</f>
        <v/>
      </c>
      <c r="F1632">
        <f>IF(Skills!N10=TRUE,(Skills!L10/10)*(E1632/1000),Skills!L10/10)+Skills!O10</f>
        <v/>
      </c>
      <c r="G1632">
        <f>Skills!G10*IF(Skills!H10&gt;0,Skills!I10/Skills!H10,1)</f>
        <v/>
      </c>
      <c r="H1632">
        <f>1-(1-Skills!J10/100)^Skills!K10</f>
        <v/>
      </c>
      <c r="I1632" t="inlineStr">
        <is>
          <t>1</t>
        </is>
      </c>
      <c r="J1632">
        <f>((Inputs!$B$6*(1+Inputs!$B$7/100))+(((Inputs!$B$12*(1+Inputs!$B$13/100))-(Inputs!$B$12*(1+Inputs!$B$13/100)))+0.25*(Inputs!$B$14-Inputs!$B$14))*(1+Inputs!$B$7/100))*(F1632/100)</f>
        <v/>
      </c>
      <c r="K1632">
        <f>J1632*(1+((Inputs!$B$12*(1+Inputs!$B$13/100))*0.01+Inputs!$B$14*0.0025)/100)*(1+Inputs!$B$15/100)*(1+Inputs!$B$16/100)*(5000/(6000+Inputs!$B$42*(1-(Inputs!$B$19+0)/100)))*(1+(Inputs!$B$24+((C1646=TRUE)*(F1646-Calc!F24))+((C1647=TRUE)*(F1647-Calc!F25))+B1660)/100)*(1+(IF(Skills!A10="EMPOWERED_PIERCING_ARROW",Inputs!$B$17+((C1644=TRUE)*(F1644-Calc!F22)),Inputs!$B$18+((C1649=TRUE)*(F1649-Calc!F27))))/100)*((1+(((C1635=TRUE)*F1635)+((C1636=TRUE)*IF(Inputs!$B$38="pvp",F1636,(1-Summary!$B$55)*(F1636)+Summary!$B$55*(0)))+((C1637=TRUE)*F1637*IF(AND(Inputs!$B$38&lt;&gt;"pvp",Inputs!$B$43&gt;0),(((R1637-1)*(Skills!T15*(1+Inputs!$B$34/100))+MIN((Skills!T15*(1+Inputs!$B$34/100)),MAX(0,Inputs!$B$43-((R1637-1)*Skills!D15))))/Inputs!$B$43),IF(Inputs!$B$38="pvp",MIN((Skills!T15*(1+Inputs!$B$34/100)),15)/15,(Skills!T15*(1+Inputs!$B$34/100))/Skills!D15)))+((C1634=TRUE)*F1634)+((C1651=TRUE)*(F1651-Calc!F29)))/100)*I1632)</f>
        <v/>
      </c>
      <c r="L1632">
        <f>K1632*(MIN(Inputs!$B$22+((C1645=TRUE)*(F1645-Calc!F23)),Inputs!$B$23+((C1650=TRUE)*(F1650-Calc!F28)))/100+(Inputs!$B$23+((C1650=TRUE)*(F1650-Calc!F28)))/100)/2</f>
        <v/>
      </c>
      <c r="M1632">
        <f>L1632*(1+(Inputs!$B$10+0+B1659)/100)</f>
        <v/>
      </c>
      <c r="N1632">
        <f>L1632*(1-MIN((Inputs!$B$9+((C1641=TRUE)*(F1641-Calc!F19))+B1654),100)/100)+M1632*(MIN((Inputs!$B$9+((C1641=TRUE)*(F1641-Calc!F19))+B1654),100)/100)</f>
        <v/>
      </c>
      <c r="O1632">
        <f>(1-Summary!$B$55)*T1632+Summary!$B$55*V1632</f>
        <v/>
      </c>
      <c r="P1632">
        <f>IF(B1664=0,0,O1632/B1664)</f>
        <v/>
      </c>
      <c r="Q1632" t="n">
        <v>0</v>
      </c>
      <c r="R1632" t="n">
        <v>0</v>
      </c>
      <c r="S1632" t="n">
        <v>0</v>
      </c>
      <c r="T1632">
        <f>IF(C1632,(0.15*SUMPRODUCT((Skills!U2:U29=TRUE)*(C1624:C1651=TRUE)*S1624:S1651)*Skills!G10*N1632)*IF(Inputs!$B$38="pvp",1,1+(Inputs!$B$20+0+Skills!P10)/100),0)</f>
        <v/>
      </c>
      <c r="V1632">
        <f>IF(C1632,(0.15*SUMPRODUCT((Skills!U2:U29=TRUE)*(C1624:C1651=TRUE)*S1624:S1651)*Skills!G10*N1632)*IF(Inputs!$B$38="pvp",1,(1+(Inputs!$B$21+Skills!Q10)/100)*(MIN(Skills!R10,Inputs!$B$37))),0)</f>
        <v/>
      </c>
    </row>
    <row r="1633">
      <c r="A1633">
        <f>Skills!A11</f>
        <v/>
      </c>
      <c r="B1633">
        <f>Skills!B11</f>
        <v/>
      </c>
      <c r="C1633">
        <f>Inputs!$B$3&gt;=110</f>
        <v/>
      </c>
      <c r="D1633">
        <f>IF(Skills!C11=1,60+Inputs!$B$25+Inputs!$B$29,IF(Skills!C11=2,90+Inputs!$B$26+Inputs!$B$29,IF(Skills!C11=3,120+Inputs!$B$27+Inputs!$B$29,MAX(0,(Inputs!$B$3-100)*3)+Inputs!$B$28+Inputs!$B$29)))</f>
        <v/>
      </c>
      <c r="E1633">
        <f>INDEX(FactorTable!$B$2:$Y$301, MATCH(ROUND(MIN(300,MAX(1,D1633)),0), FactorTable!$A$2:$A$301,0), Skills!M11+1)</f>
        <v/>
      </c>
      <c r="F1633">
        <f>IF(Skills!N11=TRUE,(Skills!L11/10)*(E1633/1000),Skills!L11/10)+Skills!O11</f>
        <v/>
      </c>
      <c r="G1633">
        <f>Skills!G11*IF(Skills!H11&gt;0,Skills!I11/Skills!H11,1)</f>
        <v/>
      </c>
      <c r="H1633">
        <f>1-(1-Skills!J11/100)^Skills!K11</f>
        <v/>
      </c>
      <c r="I1633" t="inlineStr">
        <is>
          <t>1</t>
        </is>
      </c>
      <c r="J1633">
        <f>((Inputs!$B$6*(1+Inputs!$B$7/100))+(((Inputs!$B$12*(1+Inputs!$B$13/100))-(Inputs!$B$12*(1+Inputs!$B$13/100)))+0.25*(Inputs!$B$14-Inputs!$B$14))*(1+Inputs!$B$7/100))*(F1633/100)</f>
        <v/>
      </c>
      <c r="K1633">
        <f>J1633*(1+((Inputs!$B$12*(1+Inputs!$B$13/100))*0.01+Inputs!$B$14*0.0025)/100)*(1+Inputs!$B$15/100)*(1+Inputs!$B$16/100)*(5000/(6000+Inputs!$B$42*(1-(Inputs!$B$19+0)/100)))*(1+(Inputs!$B$24+((C1646=TRUE)*(F1646-Calc!F24))+((C1647=TRUE)*(F1647-Calc!F25))+B1660)/100)*(1+(IF(Skills!A11="EMPOWERED_PIERCING_ARROW",Inputs!$B$17+((C1644=TRUE)*(F1644-Calc!F22)),Inputs!$B$18+((C1649=TRUE)*(F1649-Calc!F27))))/100)*((1+(((C1635=TRUE)*F1635)+((C1636=TRUE)*IF(Inputs!$B$38="pvp",F1636,(1-Summary!$B$55)*(F1636)+Summary!$B$55*(0)))+((C1637=TRUE)*F1637*IF(AND(Inputs!$B$38&lt;&gt;"pvp",Inputs!$B$43&gt;0),(((R1637-1)*(Skills!T15*(1+Inputs!$B$34/100))+MIN((Skills!T15*(1+Inputs!$B$34/100)),MAX(0,Inputs!$B$43-((R1637-1)*Skills!D15))))/Inputs!$B$43),IF(Inputs!$B$38="pvp",MIN((Skills!T15*(1+Inputs!$B$34/100)),15)/15,(Skills!T15*(1+Inputs!$B$34/100))/Skills!D15)))+((C1634=TRUE)*F1634)+((C1651=TRUE)*(F1651-Calc!F29)))/100)*I1633)</f>
        <v/>
      </c>
      <c r="L1633">
        <f>K1633*(MIN(Inputs!$B$22+((C1645=TRUE)*(F1645-Calc!F23)),Inputs!$B$23+((C1650=TRUE)*(F1650-Calc!F28)))/100+(Inputs!$B$23+((C1650=TRUE)*(F1650-Calc!F28)))/100)/2</f>
        <v/>
      </c>
      <c r="M1633">
        <f>L1633*(1+(Inputs!$B$10+0+B1659)/100)</f>
        <v/>
      </c>
      <c r="N1633">
        <f>L1633*(1-MIN((Inputs!$B$9+((C1641=TRUE)*(F1641-Calc!F19))+B1654),100)/100)+M1633*(MIN((Inputs!$B$9+((C1641=TRUE)*(F1641-Calc!F19))+B1654),100)/100)</f>
        <v/>
      </c>
      <c r="O1633">
        <f>(1-Summary!$B$55)*T1633+Summary!$B$55*V1633</f>
        <v/>
      </c>
      <c r="P1633">
        <f>IF(B1664=0,0,O1633/B1664)</f>
        <v/>
      </c>
      <c r="Q1633">
        <f>IFERROR(1/IF(Inputs!$B$38="pvp",15,MAX(0.1,Skills!D11-IF(Skills!E11=TRUE,5.0,0))),0)</f>
        <v/>
      </c>
      <c r="R1633">
        <f>IF(AND(Inputs!$B$38&lt;&gt;"pvp",Inputs!$B$43&gt;0),IF(MAX(0,Inputs!$B$43-B1661)&lt;=0,0,(INT(MAX(0,Inputs!$B$43-B1661)/IF(Inputs!$B$38="pvp",15,MAX(0.1,Skills!D11-IF(Skills!E11=TRUE,5.0,0))))+1)),0)</f>
        <v/>
      </c>
      <c r="S1633">
        <f>IFERROR((H1633*N1633*IF(AND(Inputs!$B$38&lt;&gt;"pvp",Inputs!$B$43&gt;0),((Skills!G11*((R1633-1)*IF(Skills!H11&gt;0,Skills!I11/Skills!H11,1)+IF(Skills!H11&gt;0,MIN(Skills!I11,MAX(0,MAX(0,Inputs!$B$43-B1661)-((R1633-1)*IF(Inputs!$B$38="pvp",15,MAX(0.1,Skills!D11-IF(Skills!E11=TRUE,5.0,0))))))/Skills!H11,1)))/Inputs!$B$43),G1633*Q1633))/N1633*IF(Inputs!$B$38="pvp",1,(1-Summary!$B$55)*1+Summary!$B$55*(MIN(Skills!R11,Inputs!$B$37))),0)</f>
        <v/>
      </c>
      <c r="T1633">
        <f>IF(C1633,(H1633*N1633*IF(AND(Inputs!$B$38&lt;&gt;"pvp",Inputs!$B$43&gt;0),((Skills!G11*((R1633-1)*IF(Skills!H11&gt;0,Skills!I11/Skills!H11,1)+IF(Skills!H11&gt;0,MIN(Skills!I11,MAX(0,MAX(0,Inputs!$B$43-B1661)-((R1633-1)*IF(Inputs!$B$38="pvp",15,MAX(0.1,Skills!D11-IF(Skills!E11=TRUE,5.0,0))))))/Skills!H11,1)))/Inputs!$B$43),G1633*Q1633))*IF(Inputs!$B$38="pvp",1,1+(Inputs!$B$20+0+Skills!P11)/100),0)</f>
        <v/>
      </c>
      <c r="V1633">
        <f>IF(C1633,(H1633*N1633*IF(AND(Inputs!$B$38&lt;&gt;"pvp",Inputs!$B$43&gt;0),((Skills!G11*((R1633-1)*IF(Skills!H11&gt;0,Skills!I11/Skills!H11,1)+IF(Skills!H11&gt;0,MIN(Skills!I11,MAX(0,MAX(0,Inputs!$B$43-B1661)-((R1633-1)*IF(Inputs!$B$38="pvp",15,MAX(0.1,Skills!D11-IF(Skills!E11=TRUE,5.0,0))))))/Skills!H11,1)))/Inputs!$B$43),G1633*Q1633))*IF(Inputs!$B$38="pvp",1,(1+(Inputs!$B$21+Skills!Q11)/100)*(MIN(Skills!R11,Inputs!$B$37))),0)</f>
        <v/>
      </c>
    </row>
    <row r="1634">
      <c r="A1634">
        <f>Skills!A12</f>
        <v/>
      </c>
      <c r="B1634">
        <f>Skills!B12</f>
        <v/>
      </c>
      <c r="C1634">
        <f>Inputs!$B$3&gt;=60</f>
        <v/>
      </c>
      <c r="D1634">
        <f>IF(Skills!C12=1,60+Inputs!$B$25+Inputs!$B$29,IF(Skills!C12=2,90+Inputs!$B$26+Inputs!$B$29,IF(Skills!C12=3,120+Inputs!$B$27+Inputs!$B$29,MAX(0,(Inputs!$B$3-100)*3)+Inputs!$B$28+Inputs!$B$29)))</f>
        <v/>
      </c>
      <c r="E1634">
        <f>INDEX(FactorTable!$B$2:$Y$301, MATCH(ROUND(MIN(300,MAX(1,D1634)),0), FactorTable!$A$2:$A$301,0), Skills!M12+1)</f>
        <v/>
      </c>
      <c r="F1634">
        <f>IF(Skills!N12=TRUE,(Skills!L12/10)*(E1634/1000),Skills!L12/10)+Skills!O12</f>
        <v/>
      </c>
      <c r="G1634">
        <f>Skills!G12*IF(Skills!H12&gt;0,Skills!I12/Skills!H12,1)</f>
        <v/>
      </c>
      <c r="H1634">
        <f>1-(1-Skills!J12/100)^Skills!K12</f>
        <v/>
      </c>
      <c r="I1634" t="inlineStr">
        <is>
          <t>1</t>
        </is>
      </c>
      <c r="J1634" t="inlineStr"/>
      <c r="K1634" t="inlineStr"/>
      <c r="L1634" t="inlineStr"/>
      <c r="M1634" t="inlineStr"/>
      <c r="N1634" t="inlineStr"/>
      <c r="O1634">
        <f>(1-Summary!$B$55)*T1634+Summary!$B$55*V1634</f>
        <v/>
      </c>
      <c r="P1634">
        <f>IF(B1664=0,0,O1634/B1664)</f>
        <v/>
      </c>
      <c r="Q1634" t="n">
        <v>0</v>
      </c>
      <c r="R1634" t="n">
        <v>0</v>
      </c>
      <c r="S1634" t="n">
        <v>0</v>
      </c>
      <c r="T1634" t="n">
        <v>0</v>
      </c>
      <c r="V1634" t="n">
        <v>0</v>
      </c>
    </row>
    <row r="1635">
      <c r="A1635">
        <f>Skills!A13</f>
        <v/>
      </c>
      <c r="B1635">
        <f>Skills!B13</f>
        <v/>
      </c>
      <c r="C1635">
        <f>Inputs!$B$3&gt;=74</f>
        <v/>
      </c>
      <c r="D1635">
        <f>IF(Skills!C13=1,60+Inputs!$B$25+Inputs!$B$29,IF(Skills!C13=2,90+Inputs!$B$26+Inputs!$B$29,IF(Skills!C13=3,120+Inputs!$B$27+Inputs!$B$29,MAX(0,(Inputs!$B$3-100)*3)+Inputs!$B$28+Inputs!$B$29)))</f>
        <v/>
      </c>
      <c r="E1635">
        <f>INDEX(FactorTable!$B$2:$Y$301, MATCH(ROUND(MIN(300,MAX(1,D1635)),0), FactorTable!$A$2:$A$301,0), Skills!M13+1)</f>
        <v/>
      </c>
      <c r="F1635">
        <f>IF(Skills!N13=TRUE,(Skills!L13/10)*(E1635/1000),Skills!L13/10)+Skills!O13</f>
        <v/>
      </c>
      <c r="G1635">
        <f>Skills!G13*IF(Skills!H13&gt;0,Skills!I13/Skills!H13,1)</f>
        <v/>
      </c>
      <c r="H1635">
        <f>1-(1-Skills!J13/100)^Skills!K13</f>
        <v/>
      </c>
      <c r="I1635" t="inlineStr">
        <is>
          <t>1</t>
        </is>
      </c>
      <c r="J1635" t="inlineStr"/>
      <c r="K1635" t="inlineStr"/>
      <c r="L1635" t="inlineStr"/>
      <c r="M1635" t="inlineStr"/>
      <c r="N1635" t="inlineStr"/>
      <c r="O1635">
        <f>(1-Summary!$B$55)*T1635+Summary!$B$55*V1635</f>
        <v/>
      </c>
      <c r="P1635">
        <f>IF(B1664=0,0,O1635/B1664)</f>
        <v/>
      </c>
      <c r="Q1635" t="n">
        <v>0</v>
      </c>
      <c r="R1635" t="n">
        <v>0</v>
      </c>
      <c r="S1635" t="n">
        <v>0</v>
      </c>
      <c r="T1635" t="n">
        <v>0</v>
      </c>
      <c r="V1635" t="n">
        <v>0</v>
      </c>
    </row>
    <row r="1636">
      <c r="A1636">
        <f>Skills!A14</f>
        <v/>
      </c>
      <c r="B1636">
        <f>Skills!B14</f>
        <v/>
      </c>
      <c r="C1636">
        <f>Inputs!$B$3&gt;=74</f>
        <v/>
      </c>
      <c r="D1636">
        <f>IF(Skills!C14=1,60+Inputs!$B$25+Inputs!$B$29,IF(Skills!C14=2,90+Inputs!$B$26+Inputs!$B$29,IF(Skills!C14=3,120+Inputs!$B$27+Inputs!$B$29,MAX(0,(Inputs!$B$3-100)*3)+Inputs!$B$28+Inputs!$B$29)))</f>
        <v/>
      </c>
      <c r="E1636">
        <f>INDEX(FactorTable!$B$2:$Y$301, MATCH(ROUND(MIN(300,MAX(1,D1636)),0), FactorTable!$A$2:$A$301,0), Skills!M14+1)</f>
        <v/>
      </c>
      <c r="F1636">
        <f>IF(Skills!N14=TRUE,(Skills!L14/10)*(E1636/1000),Skills!L14/10)+Skills!O14</f>
        <v/>
      </c>
      <c r="G1636">
        <f>Skills!G14*IF(Skills!H14&gt;0,Skills!I14/Skills!H14,1)</f>
        <v/>
      </c>
      <c r="H1636">
        <f>1-(1-Skills!J14/100)^Skills!K14</f>
        <v/>
      </c>
      <c r="I1636" t="inlineStr">
        <is>
          <t>1</t>
        </is>
      </c>
      <c r="J1636" t="inlineStr"/>
      <c r="K1636" t="inlineStr"/>
      <c r="L1636" t="inlineStr"/>
      <c r="M1636" t="inlineStr"/>
      <c r="N1636" t="inlineStr"/>
      <c r="O1636">
        <f>(1-Summary!$B$55)*T1636+Summary!$B$55*V1636</f>
        <v/>
      </c>
      <c r="P1636">
        <f>IF(B1664=0,0,O1636/B1664)</f>
        <v/>
      </c>
      <c r="Q1636" t="n">
        <v>0</v>
      </c>
      <c r="R1636" t="n">
        <v>0</v>
      </c>
      <c r="S1636" t="n">
        <v>0</v>
      </c>
      <c r="T1636" t="n">
        <v>0</v>
      </c>
      <c r="V1636" t="n">
        <v>0</v>
      </c>
    </row>
    <row r="1637">
      <c r="A1637">
        <f>Skills!A15</f>
        <v/>
      </c>
      <c r="B1637">
        <f>Skills!B15</f>
        <v/>
      </c>
      <c r="C1637">
        <f>Inputs!$B$3&gt;=117</f>
        <v/>
      </c>
      <c r="D1637">
        <f>IF(Skills!C15=1,60+Inputs!$B$25+Inputs!$B$29,IF(Skills!C15=2,90+Inputs!$B$26+Inputs!$B$29,IF(Skills!C15=3,120+Inputs!$B$27+Inputs!$B$29,MAX(0,(Inputs!$B$3-100)*3)+Inputs!$B$28+Inputs!$B$29)))</f>
        <v/>
      </c>
      <c r="E1637">
        <f>INDEX(FactorTable!$B$2:$Y$301, MATCH(ROUND(MIN(300,MAX(1,D1637)),0), FactorTable!$A$2:$A$301,0), Skills!M15+1)</f>
        <v/>
      </c>
      <c r="F1637">
        <f>IF(Skills!N15=TRUE,(Skills!L15/10)*(E1637/1000),Skills!L15/10)+Skills!O15</f>
        <v/>
      </c>
      <c r="G1637">
        <f>Skills!G15*IF(Skills!H15&gt;0,Skills!I15/Skills!H15,1)</f>
        <v/>
      </c>
      <c r="H1637">
        <f>1-(1-Skills!J15/100)^Skills!K15</f>
        <v/>
      </c>
      <c r="I1637" t="inlineStr">
        <is>
          <t>1</t>
        </is>
      </c>
      <c r="J1637" t="inlineStr"/>
      <c r="K1637" t="inlineStr"/>
      <c r="L1637" t="inlineStr"/>
      <c r="M1637" t="inlineStr"/>
      <c r="N1637" t="inlineStr"/>
      <c r="O1637">
        <f>(1-Summary!$B$55)*T1637+Summary!$B$55*V1637</f>
        <v/>
      </c>
      <c r="P1637">
        <f>IF(B1664=0,0,O1637/B1664)</f>
        <v/>
      </c>
      <c r="Q1637">
        <f>IFERROR(1/IF(Inputs!$B$38="pvp",15,MAX(0.1,Skills!D15-IF(Skills!E15=TRUE,5.0,0))),0)</f>
        <v/>
      </c>
      <c r="R1637">
        <f>IF(AND(Inputs!$B$38&lt;&gt;"pvp",Inputs!$B$43&gt;0),IF(Inputs!$B$43&lt;=0,0,(INT(Inputs!$B$43/IF(Inputs!$B$38="pvp",15,MAX(0.1,Skills!D15-IF(Skills!E15=TRUE,5.0,0))))+1)),0)</f>
        <v/>
      </c>
      <c r="S1637" t="n">
        <v>0</v>
      </c>
      <c r="T1637" t="n">
        <v>0</v>
      </c>
      <c r="V1637" t="n">
        <v>0</v>
      </c>
    </row>
    <row r="1638">
      <c r="A1638">
        <f>Skills!A16</f>
        <v/>
      </c>
      <c r="B1638">
        <f>Skills!B16</f>
        <v/>
      </c>
      <c r="C1638">
        <f>Inputs!$B$3&gt;=115</f>
        <v/>
      </c>
      <c r="D1638">
        <f>IF(Skills!C16=1,60+Inputs!$B$25+Inputs!$B$29,IF(Skills!C16=2,90+Inputs!$B$26+Inputs!$B$29,IF(Skills!C16=3,120+Inputs!$B$27+Inputs!$B$29,MAX(0,(Inputs!$B$3-100)*3)+Inputs!$B$28+Inputs!$B$29)))</f>
        <v/>
      </c>
      <c r="E1638">
        <f>INDEX(FactorTable!$B$2:$Y$301, MATCH(ROUND(MIN(300,MAX(1,D1638)),0), FactorTable!$A$2:$A$301,0), Skills!M16+1)</f>
        <v/>
      </c>
      <c r="F1638">
        <f>IF(Skills!N16=TRUE,(Skills!L16/10)*(E1638/1000),Skills!L16/10)+Skills!O16</f>
        <v/>
      </c>
      <c r="G1638">
        <f>Skills!G16*IF(Skills!H16&gt;0,Skills!I16/Skills!H16,1)</f>
        <v/>
      </c>
      <c r="H1638">
        <f>1-(1-Skills!J16/100)^Skills!K16</f>
        <v/>
      </c>
      <c r="I1638" t="inlineStr">
        <is>
          <t>1</t>
        </is>
      </c>
      <c r="J1638" t="inlineStr"/>
      <c r="K1638" t="inlineStr"/>
      <c r="L1638" t="inlineStr"/>
      <c r="M1638" t="inlineStr"/>
      <c r="N1638" t="inlineStr"/>
      <c r="O1638">
        <f>(1-Summary!$B$55)*T1638+Summary!$B$55*V1638</f>
        <v/>
      </c>
      <c r="P1638">
        <f>IF(B1664=0,0,O1638/B1664)</f>
        <v/>
      </c>
      <c r="Q1638">
        <f>IFERROR(1/IF(Inputs!$B$38="pvp",15,MAX(0.1,Skills!D16-IF(Skills!E16=TRUE,5.0,0))),0)</f>
        <v/>
      </c>
      <c r="R1638">
        <f>IF(AND(Inputs!$B$38&lt;&gt;"pvp",Inputs!$B$43&gt;0),IF(Inputs!$B$43&lt;=0,0,(INT(Inputs!$B$43/IF(Inputs!$B$38="pvp",15,MAX(0.1,Skills!D16-IF(Skills!E16=TRUE,5.0,0))))+1)),0)</f>
        <v/>
      </c>
      <c r="S1638" t="n">
        <v>0</v>
      </c>
      <c r="T1638" t="n">
        <v>0</v>
      </c>
      <c r="V1638" t="n">
        <v>0</v>
      </c>
    </row>
    <row r="1639">
      <c r="A1639">
        <f>Skills!A17</f>
        <v/>
      </c>
      <c r="B1639">
        <f>Skills!B17</f>
        <v/>
      </c>
      <c r="C1639">
        <f>Inputs!$B$3&gt;=72</f>
        <v/>
      </c>
      <c r="D1639">
        <f>IF(Skills!C17=1,60+Inputs!$B$25+Inputs!$B$29,IF(Skills!C17=2,90+Inputs!$B$26+Inputs!$B$29,IF(Skills!C17=3,120+Inputs!$B$27+Inputs!$B$29,MAX(0,(Inputs!$B$3-100)*3)+Inputs!$B$28+Inputs!$B$29)))</f>
        <v/>
      </c>
      <c r="E1639">
        <f>INDEX(FactorTable!$B$2:$Y$301, MATCH(ROUND(MIN(300,MAX(1,D1639)),0), FactorTable!$A$2:$A$301,0), Skills!M17+1)</f>
        <v/>
      </c>
      <c r="F1639">
        <f>IF(Skills!N17=TRUE,(Skills!L17/10)*(E1639/1000),Skills!L17/10)+Skills!O17</f>
        <v/>
      </c>
      <c r="G1639">
        <f>Skills!G17*IF(Skills!H17&gt;0,Skills!I17/Skills!H17,1)</f>
        <v/>
      </c>
      <c r="H1639">
        <f>1-(1-Skills!J17/100)^Skills!K17</f>
        <v/>
      </c>
      <c r="I1639" t="inlineStr">
        <is>
          <t>1</t>
        </is>
      </c>
      <c r="J1639" t="inlineStr"/>
      <c r="K1639" t="inlineStr"/>
      <c r="L1639" t="inlineStr"/>
      <c r="M1639" t="inlineStr"/>
      <c r="N1639" t="inlineStr"/>
      <c r="O1639">
        <f>(1-Summary!$B$55)*T1639+Summary!$B$55*V1639</f>
        <v/>
      </c>
      <c r="P1639">
        <f>IF(B1664=0,0,O1639/B1664)</f>
        <v/>
      </c>
      <c r="Q1639" t="n">
        <v>0</v>
      </c>
      <c r="R1639" t="n">
        <v>0</v>
      </c>
      <c r="S1639" t="n">
        <v>0</v>
      </c>
      <c r="T1639" t="n">
        <v>0</v>
      </c>
      <c r="V1639" t="n">
        <v>0</v>
      </c>
    </row>
    <row r="1640">
      <c r="A1640">
        <f>Skills!A18</f>
        <v/>
      </c>
      <c r="B1640">
        <f>Skills!B18</f>
        <v/>
      </c>
      <c r="C1640">
        <f>TRUE</f>
        <v/>
      </c>
      <c r="D1640">
        <f>IF(Skills!C18=1,60+Inputs!$B$25+Inputs!$B$29,IF(Skills!C18=2,90+Inputs!$B$26+Inputs!$B$29,IF(Skills!C18=3,120+Inputs!$B$27+Inputs!$B$29,MAX(0,(Inputs!$B$3-100)*3)+Inputs!$B$28+Inputs!$B$29)))</f>
        <v/>
      </c>
      <c r="E1640">
        <f>INDEX(FactorTable!$B$2:$Y$301, MATCH(ROUND(MIN(300,MAX(1,D1640)),0), FactorTable!$A$2:$A$301,0), Skills!M18+1)</f>
        <v/>
      </c>
      <c r="F1640">
        <f>IF(Skills!N18=TRUE,(Skills!L18/10)*(E1640/1000),Skills!L18/10)+Skills!O18</f>
        <v/>
      </c>
      <c r="G1640">
        <f>Skills!G18*IF(Skills!H18&gt;0,Skills!I18/Skills!H18,1)</f>
        <v/>
      </c>
      <c r="H1640">
        <f>1-(1-Skills!J18/100)^Skills!K18</f>
        <v/>
      </c>
      <c r="I1640" t="inlineStr">
        <is>
          <t>1</t>
        </is>
      </c>
      <c r="J1640" t="inlineStr"/>
      <c r="K1640" t="inlineStr"/>
      <c r="L1640" t="inlineStr"/>
      <c r="M1640" t="inlineStr"/>
      <c r="N1640" t="inlineStr"/>
      <c r="O1640">
        <f>(1-Summary!$B$55)*T1640+Summary!$B$55*V1640</f>
        <v/>
      </c>
      <c r="P1640">
        <f>IF(B1664=0,0,O1640/B1664)</f>
        <v/>
      </c>
      <c r="Q1640">
        <f>IFERROR(1/IF(Inputs!$B$38="pvp",15,MAX(0.1,Skills!D18-IF(Skills!E18=TRUE,5.0,0))),0)</f>
        <v/>
      </c>
      <c r="R1640">
        <f>IF(AND(Inputs!$B$38&lt;&gt;"pvp",Inputs!$B$43&gt;0),IF(Inputs!$B$43&lt;=0,0,(INT(Inputs!$B$43/IF(Inputs!$B$38="pvp",15,MAX(0.1,Skills!D18-IF(Skills!E18=TRUE,5.0,0))))+1)),0)</f>
        <v/>
      </c>
      <c r="S1640" t="n">
        <v>0</v>
      </c>
      <c r="T1640" t="n">
        <v>0</v>
      </c>
      <c r="V1640" t="n">
        <v>0</v>
      </c>
    </row>
    <row r="1641">
      <c r="A1641">
        <f>Skills!A19</f>
        <v/>
      </c>
      <c r="B1641">
        <f>Skills!B19</f>
        <v/>
      </c>
      <c r="C1641">
        <f>Inputs!$B$3&gt;=15</f>
        <v/>
      </c>
      <c r="D1641">
        <f>IF(Skills!C19=1,60+Inputs!$B$25+Inputs!$B$29,IF(Skills!C19=2,90+Inputs!$B$26+Inputs!$B$29,IF(Skills!C19=3,120+Inputs!$B$27+Inputs!$B$29,MAX(0,(Inputs!$B$3-100)*3)+Inputs!$B$28+Inputs!$B$29)))</f>
        <v/>
      </c>
      <c r="E1641">
        <f>INDEX(FactorTable!$B$2:$Y$301, MATCH(ROUND(MIN(300,MAX(1,D1641)),0), FactorTable!$A$2:$A$301,0), Skills!M19+1)</f>
        <v/>
      </c>
      <c r="F1641">
        <f>IF(Skills!N19=TRUE,(Skills!L19/10)*(E1641/1000),Skills!L19/10)+Skills!O19</f>
        <v/>
      </c>
      <c r="G1641">
        <f>Skills!G19*IF(Skills!H19&gt;0,Skills!I19/Skills!H19,1)</f>
        <v/>
      </c>
      <c r="H1641">
        <f>1-(1-Skills!J19/100)^Skills!K19</f>
        <v/>
      </c>
      <c r="I1641" t="inlineStr">
        <is>
          <t>1</t>
        </is>
      </c>
      <c r="J1641" t="inlineStr"/>
      <c r="K1641" t="inlineStr"/>
      <c r="L1641" t="inlineStr"/>
      <c r="M1641" t="inlineStr"/>
      <c r="N1641" t="inlineStr"/>
      <c r="O1641">
        <f>(1-Summary!$B$55)*T1641+Summary!$B$55*V1641</f>
        <v/>
      </c>
      <c r="P1641">
        <f>IF(B1664=0,0,O1641/B1664)</f>
        <v/>
      </c>
      <c r="Q1641" t="n">
        <v>0</v>
      </c>
      <c r="R1641" t="n">
        <v>0</v>
      </c>
      <c r="S1641" t="n">
        <v>0</v>
      </c>
      <c r="T1641" t="n">
        <v>0</v>
      </c>
      <c r="V1641" t="n">
        <v>0</v>
      </c>
    </row>
    <row r="1642">
      <c r="A1642">
        <f>Skills!A20</f>
        <v/>
      </c>
      <c r="B1642">
        <f>Skills!B20</f>
        <v/>
      </c>
      <c r="C1642">
        <f>Inputs!$B$3&gt;=10</f>
        <v/>
      </c>
      <c r="D1642">
        <f>IF(Skills!C20=1,60+Inputs!$B$25+Inputs!$B$29,IF(Skills!C20=2,90+Inputs!$B$26+Inputs!$B$29,IF(Skills!C20=3,120+Inputs!$B$27+Inputs!$B$29,MAX(0,(Inputs!$B$3-100)*3)+Inputs!$B$28+Inputs!$B$29)))</f>
        <v/>
      </c>
      <c r="E1642">
        <f>INDEX(FactorTable!$B$2:$Y$301, MATCH(ROUND(MIN(300,MAX(1,D1642)),0), FactorTable!$A$2:$A$301,0), Skills!M20+1)</f>
        <v/>
      </c>
      <c r="F1642">
        <f>IF(Skills!N20=TRUE,(Skills!L20/10)*(E1642/1000),Skills!L20/10)+Skills!O20</f>
        <v/>
      </c>
      <c r="G1642">
        <f>Skills!G20*IF(Skills!H20&gt;0,Skills!I20/Skills!H20,1)</f>
        <v/>
      </c>
      <c r="H1642">
        <f>1-(1-Skills!J20/100)^Skills!K20</f>
        <v/>
      </c>
      <c r="I1642" t="inlineStr">
        <is>
          <t>1</t>
        </is>
      </c>
      <c r="J1642" t="inlineStr"/>
      <c r="K1642" t="inlineStr"/>
      <c r="L1642" t="inlineStr"/>
      <c r="M1642" t="inlineStr"/>
      <c r="N1642" t="inlineStr"/>
      <c r="O1642">
        <f>(1-Summary!$B$55)*T1642+Summary!$B$55*V1642</f>
        <v/>
      </c>
      <c r="P1642">
        <f>IF(B1664=0,0,O1642/B1664)</f>
        <v/>
      </c>
      <c r="Q1642" t="n">
        <v>0</v>
      </c>
      <c r="R1642" t="n">
        <v>0</v>
      </c>
      <c r="S1642" t="n">
        <v>0</v>
      </c>
      <c r="T1642" t="n">
        <v>0</v>
      </c>
      <c r="V1642" t="n">
        <v>0</v>
      </c>
    </row>
    <row r="1643">
      <c r="A1643">
        <f>Skills!A21</f>
        <v/>
      </c>
      <c r="B1643">
        <f>Skills!B21</f>
        <v/>
      </c>
      <c r="C1643">
        <f>Inputs!$B$3&gt;=33</f>
        <v/>
      </c>
      <c r="D1643">
        <f>IF(Skills!C21=1,60+Inputs!$B$25+Inputs!$B$29,IF(Skills!C21=2,90+Inputs!$B$26+Inputs!$B$29,IF(Skills!C21=3,120+Inputs!$B$27+Inputs!$B$29,MAX(0,(Inputs!$B$3-100)*3)+Inputs!$B$28+Inputs!$B$29)))</f>
        <v/>
      </c>
      <c r="E1643">
        <f>INDEX(FactorTable!$B$2:$Y$301, MATCH(ROUND(MIN(300,MAX(1,D1643)),0), FactorTable!$A$2:$A$301,0), Skills!M21+1)</f>
        <v/>
      </c>
      <c r="F1643">
        <f>IF(Skills!N21=TRUE,(Skills!L21/10)*(E1643/1000),Skills!L21/10)+Skills!O21</f>
        <v/>
      </c>
      <c r="G1643">
        <f>Skills!G21*IF(Skills!H21&gt;0,Skills!I21/Skills!H21,1)</f>
        <v/>
      </c>
      <c r="H1643">
        <f>1-(1-Skills!J21/100)^Skills!K21</f>
        <v/>
      </c>
      <c r="I1643" t="inlineStr">
        <is>
          <t>1</t>
        </is>
      </c>
      <c r="J1643" t="inlineStr"/>
      <c r="K1643" t="inlineStr"/>
      <c r="L1643" t="inlineStr"/>
      <c r="M1643" t="inlineStr"/>
      <c r="N1643" t="inlineStr"/>
      <c r="O1643">
        <f>(1-Summary!$B$55)*T1643+Summary!$B$55*V1643</f>
        <v/>
      </c>
      <c r="P1643">
        <f>IF(B1664=0,0,O1643/B1664)</f>
        <v/>
      </c>
      <c r="Q1643" t="n">
        <v>0</v>
      </c>
      <c r="R1643" t="n">
        <v>0</v>
      </c>
      <c r="S1643" t="n">
        <v>0</v>
      </c>
      <c r="T1643" t="n">
        <v>0</v>
      </c>
      <c r="V1643" t="n">
        <v>0</v>
      </c>
    </row>
    <row r="1644">
      <c r="A1644">
        <f>Skills!A22</f>
        <v/>
      </c>
      <c r="B1644">
        <f>Skills!B22</f>
        <v/>
      </c>
      <c r="C1644">
        <f>Inputs!$B$3&gt;=38</f>
        <v/>
      </c>
      <c r="D1644">
        <f>IF(Skills!C22=1,60+Inputs!$B$25+Inputs!$B$29,IF(Skills!C22=2,90+Inputs!$B$26+Inputs!$B$29,IF(Skills!C22=3,120+Inputs!$B$27+Inputs!$B$29,MAX(0,(Inputs!$B$3-100)*3)+Inputs!$B$28+Inputs!$B$29)))</f>
        <v/>
      </c>
      <c r="E1644">
        <f>INDEX(FactorTable!$B$2:$Y$301, MATCH(ROUND(MIN(300,MAX(1,D1644)),0), FactorTable!$A$2:$A$301,0), Skills!M22+1)</f>
        <v/>
      </c>
      <c r="F1644">
        <f>IF(Skills!N22=TRUE,(Skills!L22/10)*(E1644/1000),Skills!L22/10)+Skills!O22</f>
        <v/>
      </c>
      <c r="G1644">
        <f>Skills!G22*IF(Skills!H22&gt;0,Skills!I22/Skills!H22,1)</f>
        <v/>
      </c>
      <c r="H1644">
        <f>1-(1-Skills!J22/100)^Skills!K22</f>
        <v/>
      </c>
      <c r="I1644" t="inlineStr">
        <is>
          <t>1</t>
        </is>
      </c>
      <c r="J1644" t="inlineStr"/>
      <c r="K1644" t="inlineStr"/>
      <c r="L1644" t="inlineStr"/>
      <c r="M1644" t="inlineStr"/>
      <c r="N1644" t="inlineStr"/>
      <c r="O1644">
        <f>(1-Summary!$B$55)*T1644+Summary!$B$55*V1644</f>
        <v/>
      </c>
      <c r="P1644">
        <f>IF(B1664=0,0,O1644/B1664)</f>
        <v/>
      </c>
      <c r="Q1644" t="n">
        <v>0</v>
      </c>
      <c r="R1644" t="n">
        <v>0</v>
      </c>
      <c r="S1644" t="n">
        <v>0</v>
      </c>
      <c r="T1644" t="n">
        <v>0</v>
      </c>
      <c r="V1644" t="n">
        <v>0</v>
      </c>
    </row>
    <row r="1645">
      <c r="A1645">
        <f>Skills!A23</f>
        <v/>
      </c>
      <c r="B1645">
        <f>Skills!B23</f>
        <v/>
      </c>
      <c r="C1645">
        <f>Inputs!$B$3&gt;=43</f>
        <v/>
      </c>
      <c r="D1645">
        <f>IF(Skills!C23=1,60+Inputs!$B$25+Inputs!$B$29,IF(Skills!C23=2,90+Inputs!$B$26+Inputs!$B$29,IF(Skills!C23=3,120+Inputs!$B$27+Inputs!$B$29,MAX(0,(Inputs!$B$3-100)*3)+Inputs!$B$28+Inputs!$B$29)))</f>
        <v/>
      </c>
      <c r="E1645">
        <f>INDEX(FactorTable!$B$2:$Y$301, MATCH(ROUND(MIN(300,MAX(1,D1645)),0), FactorTable!$A$2:$A$301,0), Skills!M23+1)</f>
        <v/>
      </c>
      <c r="F1645">
        <f>IF(Skills!N23=TRUE,(Skills!L23/10)*(E1645/1000),Skills!L23/10)+Skills!O23</f>
        <v/>
      </c>
      <c r="G1645">
        <f>Skills!G23*IF(Skills!H23&gt;0,Skills!I23/Skills!H23,1)</f>
        <v/>
      </c>
      <c r="H1645">
        <f>1-(1-Skills!J23/100)^Skills!K23</f>
        <v/>
      </c>
      <c r="I1645" t="inlineStr">
        <is>
          <t>1</t>
        </is>
      </c>
      <c r="J1645" t="inlineStr"/>
      <c r="K1645" t="inlineStr"/>
      <c r="L1645" t="inlineStr"/>
      <c r="M1645" t="inlineStr"/>
      <c r="N1645" t="inlineStr"/>
      <c r="O1645">
        <f>(1-Summary!$B$55)*T1645+Summary!$B$55*V1645</f>
        <v/>
      </c>
      <c r="P1645">
        <f>IF(B1664=0,0,O1645/B1664)</f>
        <v/>
      </c>
      <c r="Q1645" t="n">
        <v>0</v>
      </c>
      <c r="R1645" t="n">
        <v>0</v>
      </c>
      <c r="S1645" t="n">
        <v>0</v>
      </c>
      <c r="T1645" t="n">
        <v>0</v>
      </c>
      <c r="V1645" t="n">
        <v>0</v>
      </c>
    </row>
    <row r="1646">
      <c r="A1646">
        <f>Skills!A24</f>
        <v/>
      </c>
      <c r="B1646">
        <f>Skills!B24</f>
        <v/>
      </c>
      <c r="C1646">
        <f>Inputs!$B$3&gt;=75</f>
        <v/>
      </c>
      <c r="D1646">
        <f>IF(Skills!C24=1,60+Inputs!$B$25+Inputs!$B$29,IF(Skills!C24=2,90+Inputs!$B$26+Inputs!$B$29,IF(Skills!C24=3,120+Inputs!$B$27+Inputs!$B$29,MAX(0,(Inputs!$B$3-100)*3)+Inputs!$B$28+Inputs!$B$29)))</f>
        <v/>
      </c>
      <c r="E1646">
        <f>INDEX(FactorTable!$B$2:$Y$301, MATCH(ROUND(MIN(300,MAX(1,D1646)),0), FactorTable!$A$2:$A$301,0), Skills!M24+1)</f>
        <v/>
      </c>
      <c r="F1646">
        <f>IF(Skills!N24=TRUE,(Skills!L24/10)*(E1646/1000),Skills!L24/10)+Skills!O24</f>
        <v/>
      </c>
      <c r="G1646">
        <f>Skills!G24*IF(Skills!H24&gt;0,Skills!I24/Skills!H24,1)</f>
        <v/>
      </c>
      <c r="H1646">
        <f>1-(1-Skills!J24/100)^Skills!K24</f>
        <v/>
      </c>
      <c r="I1646" t="inlineStr">
        <is>
          <t>1</t>
        </is>
      </c>
      <c r="J1646" t="inlineStr"/>
      <c r="K1646" t="inlineStr"/>
      <c r="L1646" t="inlineStr"/>
      <c r="M1646" t="inlineStr"/>
      <c r="N1646" t="inlineStr"/>
      <c r="O1646">
        <f>(1-Summary!$B$55)*T1646+Summary!$B$55*V1646</f>
        <v/>
      </c>
      <c r="P1646">
        <f>IF(B1664=0,0,O1646/B1664)</f>
        <v/>
      </c>
      <c r="Q1646" t="n">
        <v>0</v>
      </c>
      <c r="R1646" t="n">
        <v>0</v>
      </c>
      <c r="S1646" t="n">
        <v>0</v>
      </c>
      <c r="T1646" t="n">
        <v>0</v>
      </c>
      <c r="V1646" t="n">
        <v>0</v>
      </c>
    </row>
    <row r="1647">
      <c r="A1647">
        <f>Skills!A25</f>
        <v/>
      </c>
      <c r="B1647">
        <f>Skills!B25</f>
        <v/>
      </c>
      <c r="C1647">
        <f>Inputs!$B$3&gt;=125</f>
        <v/>
      </c>
      <c r="D1647">
        <f>IF(Skills!C25=1,60+Inputs!$B$25+Inputs!$B$29,IF(Skills!C25=2,90+Inputs!$B$26+Inputs!$B$29,IF(Skills!C25=3,120+Inputs!$B$27+Inputs!$B$29,MAX(0,(Inputs!$B$3-100)*3)+Inputs!$B$28+Inputs!$B$29)))</f>
        <v/>
      </c>
      <c r="E1647">
        <f>INDEX(FactorTable!$B$2:$Y$301, MATCH(ROUND(MIN(300,MAX(1,D1647)),0), FactorTable!$A$2:$A$301,0), Skills!M25+1)</f>
        <v/>
      </c>
      <c r="F1647">
        <f>IF(Skills!N25=TRUE,(Skills!L25/10)*(E1647/1000),Skills!L25/10)+Skills!O25</f>
        <v/>
      </c>
      <c r="G1647">
        <f>Skills!G25*IF(Skills!H25&gt;0,Skills!I25/Skills!H25,1)</f>
        <v/>
      </c>
      <c r="H1647">
        <f>1-(1-Skills!J25/100)^Skills!K25</f>
        <v/>
      </c>
      <c r="I1647" t="inlineStr">
        <is>
          <t>1</t>
        </is>
      </c>
      <c r="J1647" t="inlineStr"/>
      <c r="K1647" t="inlineStr"/>
      <c r="L1647" t="inlineStr"/>
      <c r="M1647" t="inlineStr"/>
      <c r="N1647" t="inlineStr"/>
      <c r="O1647">
        <f>(1-Summary!$B$55)*T1647+Summary!$B$55*V1647</f>
        <v/>
      </c>
      <c r="P1647">
        <f>IF(B1664=0,0,O1647/B1664)</f>
        <v/>
      </c>
      <c r="Q1647" t="n">
        <v>0</v>
      </c>
      <c r="R1647" t="n">
        <v>0</v>
      </c>
      <c r="S1647" t="n">
        <v>0</v>
      </c>
      <c r="T1647" t="n">
        <v>0</v>
      </c>
      <c r="V1647" t="n">
        <v>0</v>
      </c>
    </row>
    <row r="1648">
      <c r="A1648">
        <f>Skills!A26</f>
        <v/>
      </c>
      <c r="B1648">
        <f>Skills!B26</f>
        <v/>
      </c>
      <c r="C1648">
        <f>Inputs!$B$3&gt;=125</f>
        <v/>
      </c>
      <c r="D1648">
        <f>IF(Skills!C26=1,60+Inputs!$B$25+Inputs!$B$29,IF(Skills!C26=2,90+Inputs!$B$26+Inputs!$B$29,IF(Skills!C26=3,120+Inputs!$B$27+Inputs!$B$29,MAX(0,(Inputs!$B$3-100)*3)+Inputs!$B$28+Inputs!$B$29)))</f>
        <v/>
      </c>
      <c r="E1648">
        <f>INDEX(FactorTable!$B$2:$Y$301, MATCH(ROUND(MIN(300,MAX(1,D1648)),0), FactorTable!$A$2:$A$301,0), Skills!M26+1)</f>
        <v/>
      </c>
      <c r="F1648">
        <f>IF(Skills!N26=TRUE,(Skills!L26/10)*(E1648/1000),Skills!L26/10)+Skills!O26</f>
        <v/>
      </c>
      <c r="G1648">
        <f>Skills!G26*IF(Skills!H26&gt;0,Skills!I26/Skills!H26,1)</f>
        <v/>
      </c>
      <c r="H1648">
        <f>1-(1-Skills!J26/100)^Skills!K26</f>
        <v/>
      </c>
      <c r="I1648" t="inlineStr">
        <is>
          <t>1</t>
        </is>
      </c>
      <c r="J1648" t="inlineStr"/>
      <c r="K1648" t="inlineStr"/>
      <c r="L1648" t="inlineStr"/>
      <c r="M1648" t="inlineStr"/>
      <c r="N1648" t="inlineStr"/>
      <c r="O1648">
        <f>(1-Summary!$B$55)*T1648+Summary!$B$55*V1648</f>
        <v/>
      </c>
      <c r="P1648">
        <f>IF(B1664=0,0,O1648/B1664)</f>
        <v/>
      </c>
      <c r="Q1648" t="n">
        <v>0</v>
      </c>
      <c r="R1648" t="n">
        <v>0</v>
      </c>
      <c r="S1648" t="n">
        <v>0</v>
      </c>
      <c r="T1648" t="n">
        <v>0</v>
      </c>
      <c r="V1648" t="n">
        <v>0</v>
      </c>
    </row>
    <row r="1649">
      <c r="A1649">
        <f>Skills!A27</f>
        <v/>
      </c>
      <c r="B1649">
        <f>Skills!B27</f>
        <v/>
      </c>
      <c r="C1649">
        <f>Inputs!$B$3&gt;=120</f>
        <v/>
      </c>
      <c r="D1649">
        <f>IF(Skills!C27=1,60+Inputs!$B$25+Inputs!$B$29,IF(Skills!C27=2,90+Inputs!$B$26+Inputs!$B$29,IF(Skills!C27=3,120+Inputs!$B$27+Inputs!$B$29,MAX(0,(Inputs!$B$3-100)*3)+Inputs!$B$28+Inputs!$B$29)))</f>
        <v/>
      </c>
      <c r="E1649">
        <f>INDEX(FactorTable!$B$2:$Y$301, MATCH(ROUND(MIN(300,MAX(1,D1649)),0), FactorTable!$A$2:$A$301,0), Skills!M27+1)</f>
        <v/>
      </c>
      <c r="F1649">
        <f>IF(Skills!N27=TRUE,(Skills!L27/10)*(E1649/1000),Skills!L27/10)+Skills!O27</f>
        <v/>
      </c>
      <c r="G1649">
        <f>Skills!G27*IF(Skills!H27&gt;0,Skills!I27/Skills!H27,1)</f>
        <v/>
      </c>
      <c r="H1649">
        <f>1-(1-Skills!J27/100)^Skills!K27</f>
        <v/>
      </c>
      <c r="I1649" t="inlineStr">
        <is>
          <t>1</t>
        </is>
      </c>
      <c r="J1649" t="inlineStr"/>
      <c r="K1649" t="inlineStr"/>
      <c r="L1649" t="inlineStr"/>
      <c r="M1649" t="inlineStr"/>
      <c r="N1649" t="inlineStr"/>
      <c r="O1649">
        <f>(1-Summary!$B$55)*T1649+Summary!$B$55*V1649</f>
        <v/>
      </c>
      <c r="P1649">
        <f>IF(B1664=0,0,O1649/B1664)</f>
        <v/>
      </c>
      <c r="Q1649" t="n">
        <v>0</v>
      </c>
      <c r="R1649" t="n">
        <v>0</v>
      </c>
      <c r="S1649" t="n">
        <v>0</v>
      </c>
      <c r="T1649" t="n">
        <v>0</v>
      </c>
      <c r="V1649" t="n">
        <v>0</v>
      </c>
    </row>
    <row r="1650">
      <c r="A1650">
        <f>Skills!A28</f>
        <v/>
      </c>
      <c r="B1650">
        <f>Skills!B28</f>
        <v/>
      </c>
      <c r="C1650">
        <f>Inputs!$B$3&gt;=120</f>
        <v/>
      </c>
      <c r="D1650">
        <f>IF(Skills!C28=1,60+Inputs!$B$25+Inputs!$B$29,IF(Skills!C28=2,90+Inputs!$B$26+Inputs!$B$29,IF(Skills!C28=3,120+Inputs!$B$27+Inputs!$B$29,MAX(0,(Inputs!$B$3-100)*3)+Inputs!$B$28+Inputs!$B$29)))</f>
        <v/>
      </c>
      <c r="E1650">
        <f>INDEX(FactorTable!$B$2:$Y$301, MATCH(ROUND(MIN(300,MAX(1,D1650)),0), FactorTable!$A$2:$A$301,0), Skills!M28+1)</f>
        <v/>
      </c>
      <c r="F1650">
        <f>IF(Skills!N28=TRUE,(Skills!L28/10)*(E1650/1000),Skills!L28/10)+Skills!O28</f>
        <v/>
      </c>
      <c r="G1650">
        <f>Skills!G28*IF(Skills!H28&gt;0,Skills!I28/Skills!H28,1)</f>
        <v/>
      </c>
      <c r="H1650">
        <f>1-(1-Skills!J28/100)^Skills!K28</f>
        <v/>
      </c>
      <c r="I1650" t="inlineStr">
        <is>
          <t>1</t>
        </is>
      </c>
      <c r="J1650" t="inlineStr"/>
      <c r="K1650" t="inlineStr"/>
      <c r="L1650" t="inlineStr"/>
      <c r="M1650" t="inlineStr"/>
      <c r="N1650" t="inlineStr"/>
      <c r="O1650">
        <f>(1-Summary!$B$55)*T1650+Summary!$B$55*V1650</f>
        <v/>
      </c>
      <c r="P1650">
        <f>IF(B1664=0,0,O1650/B1664)</f>
        <v/>
      </c>
      <c r="Q1650" t="n">
        <v>0</v>
      </c>
      <c r="R1650" t="n">
        <v>0</v>
      </c>
      <c r="S1650" t="n">
        <v>0</v>
      </c>
      <c r="T1650" t="n">
        <v>0</v>
      </c>
      <c r="V1650" t="n">
        <v>0</v>
      </c>
    </row>
    <row r="1651">
      <c r="A1651">
        <f>Skills!A29</f>
        <v/>
      </c>
      <c r="B1651">
        <f>Skills!B29</f>
        <v/>
      </c>
      <c r="C1651">
        <f>Inputs!$B$3&gt;=45</f>
        <v/>
      </c>
      <c r="D1651">
        <f>IF(Skills!C29=1,60+Inputs!$B$25+Inputs!$B$29,IF(Skills!C29=2,90+Inputs!$B$26+Inputs!$B$29,IF(Skills!C29=3,120+Inputs!$B$27+Inputs!$B$29,MAX(0,(Inputs!$B$3-100)*3)+Inputs!$B$28+Inputs!$B$29)))</f>
        <v/>
      </c>
      <c r="E1651">
        <f>INDEX(FactorTable!$B$2:$Y$301, MATCH(ROUND(MIN(300,MAX(1,D1651)),0), FactorTable!$A$2:$A$301,0), Skills!M29+1)</f>
        <v/>
      </c>
      <c r="F1651">
        <f>IF(Skills!N29=TRUE,(Skills!L29/10)*(E1651/1000),Skills!L29/10)+Skills!O29</f>
        <v/>
      </c>
      <c r="G1651">
        <f>Skills!G29*IF(Skills!H29&gt;0,Skills!I29/Skills!H29,1)</f>
        <v/>
      </c>
      <c r="H1651">
        <f>1-(1-Skills!J29/100)^Skills!K29</f>
        <v/>
      </c>
      <c r="I1651" t="inlineStr">
        <is>
          <t>1</t>
        </is>
      </c>
      <c r="J1651" t="inlineStr"/>
      <c r="K1651" t="inlineStr"/>
      <c r="L1651" t="inlineStr"/>
      <c r="M1651" t="inlineStr"/>
      <c r="N1651" t="inlineStr"/>
      <c r="O1651">
        <f>(1-Summary!$B$55)*T1651+Summary!$B$55*V1651</f>
        <v/>
      </c>
      <c r="P1651">
        <f>IF(B1664=0,0,O1651/B1664)</f>
        <v/>
      </c>
      <c r="Q1651" t="n">
        <v>0</v>
      </c>
      <c r="R1651" t="n">
        <v>0</v>
      </c>
      <c r="S1651" t="n">
        <v>0</v>
      </c>
      <c r="T1651" t="n">
        <v>0</v>
      </c>
      <c r="V1651" t="n">
        <v>0</v>
      </c>
    </row>
    <row r="1653">
      <c r="A1653" t="inlineStr">
        <is>
          <t>Attack% Bucket Multiplier</t>
        </is>
      </c>
      <c r="B1653">
        <f>(1+(((C1635=TRUE)*F1635)+((C1636=TRUE)*IF(Inputs!$B$38="pvp",F1636,(1-Summary!$B$55)*(F1636)+Summary!$B$55*(0)))+((C1637=TRUE)*F1637*IF(AND(Inputs!$B$38&lt;&gt;"pvp",Inputs!$B$43&gt;0),(((R1637-1)*(Skills!T15*(1+Inputs!$B$34/100))+MIN((Skills!T15*(1+Inputs!$B$34/100)),MAX(0,Inputs!$B$43-((R1637-1)*Skills!D15))))/Inputs!$B$43),IF(Inputs!$B$38="pvp",MIN((Skills!T15*(1+Inputs!$B$34/100)),15)/15,(Skills!T15*(1+Inputs!$B$34/100))/Skills!D15)))+((C1634=TRUE)*F1634)+((C1651=TRUE)*(F1651-Calc!F29)))/100)</f>
        <v/>
      </c>
    </row>
    <row r="1654">
      <c r="A1654" t="inlineStr">
        <is>
          <t>Global Crit Rate Bonus %</t>
        </is>
      </c>
      <c r="B1654">
        <f>(C1638=TRUE)*20*IF(AND(Inputs!$B$38&lt;&gt;"pvp",Inputs!$B$43&gt;0),(((R1638-1)*(Skills!T16*(1+Inputs!$B$34/100))+MIN((Skills!T16*(1+Inputs!$B$34/100)),MAX(0,Inputs!$B$43-((R1638-1)*Skills!D16))))/Inputs!$B$43),IF(Inputs!$B$38="pvp",MIN((Skills!T16*(1+Inputs!$B$34/100)),15)/15,(Skills!T16*(1+Inputs!$B$34/100))/Skills!D16))</f>
        <v/>
      </c>
    </row>
    <row r="1655">
      <c r="A1655" t="inlineStr">
        <is>
          <t>Attack Speed Buff Bonus %</t>
        </is>
      </c>
      <c r="B1655">
        <f>((C1640=TRUE)*F1640*IF(AND(Inputs!$B$38&lt;&gt;"pvp",Inputs!$B$43&gt;0),(((R1640-1)*(Skills!T18*(1+Inputs!$B$34/100))+MIN((Skills!T18*(1+Inputs!$B$34/100)),MAX(0,Inputs!$B$43-((R1640-1)*Skills!D18))))/Inputs!$B$43),IF(Inputs!$B$38="pvp",MIN((Skills!T18*(1+Inputs!$B$34/100)),15)/15,(Skills!T18*(1+Inputs!$B$34/100))/Skills!D18)))</f>
        <v/>
      </c>
    </row>
    <row r="1656">
      <c r="A1656" t="inlineStr">
        <is>
          <t>Actions Per Second</t>
        </is>
      </c>
      <c r="B1656">
        <f>1+MIN(150,150*(1-(1-(Inputs!$B$11+((C1642=TRUE)*(F1642-Calc!F20))+((C1643=TRUE)*(F1643-Calc!F21)))/150)*(1-B1655/150)))/100</f>
        <v/>
      </c>
    </row>
    <row r="1657">
      <c r="A1657" t="inlineStr">
        <is>
          <t>Skill + Buff Cast Rate</t>
        </is>
      </c>
      <c r="B1657">
        <f>IF(AND(Inputs!$B$38&lt;&gt;"pvp",Inputs!$B$43&gt;0),SUMPRODUCT((Skills!E2:E29=TRUE)*(C1624:C1651=TRUE)*R1624:R1651*Skills!F2:F29)/Inputs!$B$43,SUMPRODUCT((Skills!E2:E29=TRUE)*(C1624:C1651=TRUE)*Q1624:Q1651*Skills!F2:F29))</f>
        <v/>
      </c>
    </row>
    <row r="1658">
      <c r="A1658" t="inlineStr">
        <is>
          <t>Empowered Piercing Arrow Casts Per Second</t>
        </is>
      </c>
      <c r="B1658">
        <f>MAX(0,B1656-B1657)</f>
        <v/>
      </c>
    </row>
    <row r="1659">
      <c r="A1659" t="inlineStr">
        <is>
          <t>Global Critical Damage Bonus % (Sharp Eyes)</t>
        </is>
      </c>
      <c r="B1659">
        <f>(C1638=TRUE)*F1638*IF(AND(Inputs!$B$38&lt;&gt;"pvp",Inputs!$B$43&gt;0),(((R1638-1)*(Skills!T16*(1+Inputs!$B$34/100))+MIN((Skills!T16*(1+Inputs!$B$34/100)),MAX(0,Inputs!$B$43-((R1638-1)*Skills!D16))))/Inputs!$B$43),IF(Inputs!$B$38="pvp",MIN((Skills!T16*(1+Inputs!$B$34/100)),15)/15,(Skills!T16*(1+Inputs!$B$34/100))/Skills!D16))</f>
        <v/>
      </c>
    </row>
    <row r="1660">
      <c r="A1660" t="inlineStr">
        <is>
          <t>Global Final Damage Bonus % (Mortal Blow + Last Man Standing conditional half)</t>
        </is>
      </c>
      <c r="B1660">
        <f>(C1639=TRUE)*F1639+((C1648=TRUE)*IF(Inputs!$B$38="pvp",F1648,(1-Summary!$B$55)*(F1648)+Summary!$B$55*(0)))</f>
        <v/>
      </c>
    </row>
    <row r="1661">
      <c r="A1661" t="inlineStr">
        <is>
          <t>Buff-Casting Startup Delay (s, fixed-duration only)</t>
        </is>
      </c>
      <c r="B1661">
        <f>IF(AND(Inputs!$B$38&lt;&gt;"pvp",Inputs!$B$43&gt;0),SUMPRODUCT((Skills!T2:T29&gt;0)*(Skills!E2:E29=TRUE)*(C1624:C1651=TRUE))/B1656,0)</f>
        <v/>
      </c>
    </row>
    <row r="1662">
      <c r="A1662" t="inlineStr">
        <is>
          <t>Boss-Only Total DPS (this block's swept value)</t>
        </is>
      </c>
      <c r="B1662">
        <f>SUM(T1624:T1651)</f>
        <v/>
      </c>
    </row>
    <row r="1663">
      <c r="A1663" t="inlineStr">
        <is>
          <t>Normal-Only Total DPS (this block's swept value)</t>
        </is>
      </c>
      <c r="B1663">
        <f>SUM(V1624:V1651)</f>
        <v/>
      </c>
    </row>
    <row r="1664">
      <c r="A1664" s="5" t="inlineStr">
        <is>
          <t>TOTAL DPS</t>
        </is>
      </c>
      <c r="B1664" s="5">
        <f>SUM(O1624:O1651)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2026-09-20T09:41:33Z</dcterms:created>
  <dcterms:modified xsi:type="dcterms:W3CDTF">2026-09-20T09:41:33Z</dcterms:modified>
</cp:coreProperties>
</file>