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6+Inputs!$B$33</f>
        <v/>
      </c>
      <c r="S2" t="inlineStr"/>
      <c r="T2" t="n">
        <v>0</v>
      </c>
      <c r="U2" t="b">
        <v>1</v>
      </c>
      <c r="V2" t="inlineStr"/>
      <c r="W2" t="inlineStr"/>
      <c r="X2" t="inlineStr">
        <is>
          <t>AUDIT 2026-10-21 (supersedes the mastery levels/convention in the older text below): damage chain 102/106/116/120/128/132 as RAW per-tier add-ons (10+11+12+13+14+15 = 75%, user-confirmed option A), Boss Damage 111/124 (+10 each), Strike +1 at Lv136; FA mastery @54, AFA mastery @113. 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(102/106/116/120/128/132; was mislabeled 98/104/113/118/126/130, +10/11/12/13/14/15% per the wiki's own tooltip display — every tier is its own add-on (raw +10/+11/+12/+13/+14/+15 = 75% at max, user-confirmed 2026-10-21; the chain levels are now 102/106/116/120/128/132),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SUMPRODUCT((Inputs!$B$3&gt;={68})*{50})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IF(Inputs!$B$3&gt;=104,60*0.6,60)</f>
        <v/>
      </c>
      <c r="E7" t="b">
        <v>1</v>
      </c>
      <c r="F7" t="n">
        <v>1</v>
      </c>
      <c r="G7" t="n">
        <v>1</v>
      </c>
      <c r="H7" t="n">
        <v>1.5</v>
      </c>
      <c r="I7" t="n">
        <v>30</v>
      </c>
      <c r="J7" t="n">
        <v>100</v>
      </c>
      <c r="K7" t="n">
        <v>1</v>
      </c>
      <c r="L7" t="n">
        <v>3000</v>
      </c>
      <c r="M7" t="n">
        <v>12</v>
      </c>
      <c r="N7" t="b">
        <v>1</v>
      </c>
      <c r="O7">
        <f>SUMPRODUCT((Inputs!$B$3&gt;={82})*{50})</f>
        <v/>
      </c>
      <c r="P7" t="n">
        <v>0</v>
      </c>
      <c r="Q7">
        <f>IF(Inputs!$B$3&gt;=94,100,0)</f>
        <v/>
      </c>
      <c r="R7">
        <f>3+IF(Inputs!$B$3&gt;=78,2,0)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SUMPRODUCT((Inputs!$B$3&gt;={108})*{50})+IF(Inputs!$B$3&gt;=134,5700*(Calc!E9/1000),0)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2+IF(Inputs!$B$3&gt;=138,1,0)</f>
        <v/>
      </c>
      <c r="H10" t="n">
        <v>0</v>
      </c>
      <c r="I10" t="n">
        <v>0</v>
      </c>
      <c r="J10" t="n">
        <v>15</v>
      </c>
      <c r="K10" t="n">
        <v>1</v>
      </c>
      <c r="L10" t="n">
        <v>6500</v>
      </c>
      <c r="M10" t="n">
        <v>21</v>
      </c>
      <c r="N10" t="b">
        <v>1</v>
      </c>
      <c r="O10">
        <f>SUMPRODUCT((Inputs!$B$3&gt;={122})*{50})</f>
        <v/>
      </c>
      <c r="P10" t="n">
        <v>0</v>
      </c>
      <c r="Q10" t="n">
        <v>0</v>
      </c>
      <c r="R10">
        <f>3+IF(Inputs!$B$3&gt;=138,2,0)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SUMPRODUCT((Inputs!$B$3&gt;={130})*{50})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f>IF(Inputs!$B$3&gt;=118,5.25*Calc!E15/1000,0)</f>
        <v/>
      </c>
      <c r="P15" t="n">
        <v>0</v>
      </c>
      <c r="Q15" t="n">
        <v>0</v>
      </c>
      <c r="R15" t="n">
        <v>0</v>
      </c>
      <c r="S15" t="inlineStr">
        <is>
          <t>ATTACK</t>
        </is>
      </c>
      <c r="T15">
        <f>IF(Inputs!$B$3&gt;=118,24,15)</f>
        <v/>
      </c>
      <c r="U15" t="b">
        <v>0</v>
      </c>
      <c r="V15" t="inlineStr"/>
      <c r="W15" t="inlineStr"/>
      <c r="X15" t="inlineStr">
        <is>
          <t>AUDIT 2026-10-21: Mastery Lv.118 'Illusion Step - Enhance': the Attack bonus no longer disappears and is doubled during the 9s window =&gt; from Lv118 always on (BuffDuration = 24s cycle), averaging 14% x (15+2x9)/24 = 1.375x base (SkillMasteryBonus% adds +0.375x). My reading of the mastery text - NOT yet confirmed in game. 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f>IF(Inputs!$B$3&gt;=126,27,18)</f>
        <v/>
      </c>
      <c r="U16" t="b">
        <v>0</v>
      </c>
      <c r="V16" t="inlineStr"/>
      <c r="W16" t="inlineStr"/>
      <c r="X16" t="inlineStr">
        <is>
          <t>AUDIT 2026-10-21 (supersedes the Crit Rate statement below): the site and game table give Sharp Eyes NO Crit Rate component, so the flat +20 Crit Rate is REMOVED (user decision); Mastery Lv.126 'Persistence' +50% duration (27s). 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Skills!G2*IF(Skills!H2&gt;0,IF(Inputs!$B$38="pvp",MIN(Skills!I2,15),Skills!I2)/Skills!H2,1)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Skills!G5*IF(Skills!H5&gt;0,IF(Inputs!$B$38="pvp",MIN(Skills!I5,15),Skills!I5)/Skills!H5,1)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IFERROR(1/IF(Inputs!$B$38="pvp",15,MAX(0.1,Skills!D5-IF(TRUE=TRUE,Inputs!$B$32,0))),0)</f>
        <v/>
      </c>
      <c r="R5">
        <f>IF(AND(Inputs!$B$38&lt;&gt;"pvp",Inputs!$B$43&gt;0),IF(MAX(0,Inputs!$B$43-Summary!$B$23)&lt;=0,0,(INT(MAX(0,Inputs!$B$43-Summary!$B$23)/IF(Inputs!$B$38="pvp",15,MAX(0.1,Skills!D5-IF(TRUE=TRUE,Inputs!$B$32,0))))+1)),0)</f>
        <v/>
      </c>
      <c r="S5">
        <f>IFERROR((H5*N5*IF(AND(Inputs!$B$38&lt;&gt;"pvp",Inputs!$B$43&gt;0),((Skills!G5*((R5-1)*IF(Skills!H5&gt;0,Skills!I5/Skills!H5,1)+IF(Skills!H5&gt;0,MIN(Skills!I5,MAX(0,MAX(0,Inputs!$B$43-Summary!$B$23)-((R5-1)*IF(Inputs!$B$38="pvp",15,MAX(0.1,Skills!D5-IF(TRUE=TRUE,Inputs!$B$32,0))))))/Skills!H5,1)))/Inputs!$B$43),G5*Q5))/N5*IF(Inputs!$B$38="pvp",1,(1-Summary!$B$11)*1+Summary!$B$11*(MIN(Skills!R5,Inputs!$B$37))),0)</f>
        <v/>
      </c>
      <c r="T5">
        <f>IF(C5,(H5*N5*IF(AND(Inputs!$B$38&lt;&gt;"pvp",Inputs!$B$43&gt;0),((Skills!G5*((R5-1)*IF(Skills!H5&gt;0,Skills!I5/Skills!H5,1)+IF(Skills!H5&gt;0,MIN(Skills!I5,MAX(0,MAX(0,Inputs!$B$43-Summary!$B$23)-((R5-1)*IF(Inputs!$B$38="pvp",15,MAX(0.1,Skills!D5-IF(TRUE=TRUE,Inputs!$B$32,0)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TRUE=TRUE,Inputs!$B$32,0)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Skills!G6*IF(Skills!H6&gt;0,IF(Inputs!$B$38="pvp",MIN(Skills!I6,15),Skills!I6)/Skills!H6,1)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IFERROR(1/IF(Inputs!$B$38="pvp",15,MAX(0.1,Skills!D6-IF(TRUE=TRUE,Inputs!$B$32,0))),0)</f>
        <v/>
      </c>
      <c r="R6">
        <f>IF(AND(Inputs!$B$38&lt;&gt;"pvp",Inputs!$B$43&gt;0),IF(MAX(0,Inputs!$B$43-Summary!$B$23)&lt;=0,0,(INT(MAX(0,Inputs!$B$43-Summary!$B$23)/IF(Inputs!$B$38="pvp",15,MAX(0.1,Skills!D6-IF(TRUE=TRUE,Inputs!$B$32,0))))+1)),0)</f>
        <v/>
      </c>
      <c r="S6">
        <f>IFERROR((H6*N6*IF(AND(Inputs!$B$38&lt;&gt;"pvp",Inputs!$B$43&gt;0),((Skills!G6*((R6-1)*IF(Skills!H6&gt;0,Skills!I6/Skills!H6,1)+IF(Skills!H6&gt;0,MIN(Skills!I6,MAX(0,MAX(0,Inputs!$B$43-Summary!$B$23)-((R6-1)*IF(Inputs!$B$38="pvp",15,MAX(0.1,Skills!D6-IF(TRUE=TRUE,Inputs!$B$32,0))))))/Skills!H6,1)))/Inputs!$B$43),G6*Q6))/N6*IF(Inputs!$B$38="pvp",1,(1-Summary!$B$11)*1+Summary!$B$11*(MIN(Skills!R6,Inputs!$B$37))),0)</f>
        <v/>
      </c>
      <c r="T6">
        <f>IF(C6,(H6*N6*IF(AND(Inputs!$B$38&lt;&gt;"pvp",Inputs!$B$43&gt;0),((Skills!G6*((R6-1)*IF(Skills!H6&gt;0,Skills!I6/Skills!H6,1)+IF(Skills!H6&gt;0,MIN(Skills!I6,MAX(0,MAX(0,Inputs!$B$43-Summary!$B$23)-((R6-1)*IF(Inputs!$B$38="pvp",15,MAX(0.1,Skills!D6-IF(TRUE=TRUE,Inputs!$B$32,0)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Skills!H6,1)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Skills!G7*IF(Skills!H7&gt;0,IF(Inputs!$B$38="pvp",MIN(Skills!I7,15),Skills!I7)/Skills!H7,1)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IFERROR(1/IF(Inputs!$B$38="pvp",15,MAX(0.1,Skills!D7-IF(TRUE=TRUE,Inputs!$B$32,0))),0)</f>
        <v/>
      </c>
      <c r="R7">
        <f>IF(AND(Inputs!$B$38&lt;&gt;"pvp",Inputs!$B$43&gt;0),IF(MAX(0,Inputs!$B$43-Summary!$B$23)&lt;=0,0,(INT(MAX(0,Inputs!$B$43-Summary!$B$23)/IF(Inputs!$B$38="pvp",15,MAX(0.1,Skills!D7-IF(TRUE=TRUE,Inputs!$B$32,0))))+1)),0)</f>
        <v/>
      </c>
      <c r="S7">
        <f>IFERROR((H7*N7*IF(AND(Inputs!$B$38&lt;&gt;"pvp",Inputs!$B$43&gt;0),((Skills!G7*((R7-1)*IF(Skills!H7&gt;0,Skills!I7/Skills!H7,1)+IF(Skills!H7&gt;0,MIN(Skills!I7,MAX(0,MAX(0,Inputs!$B$43-Summary!$B$23)-((R7-1)*IF(Inputs!$B$38="pvp",15,MAX(0.1,Skills!D7-IF(TRUE=TRUE,Inputs!$B$32,0))))))/Skills!H7,1)))/Inputs!$B$43),G7*Q7))/N7*IF(Inputs!$B$38="pvp",1,(1-Summary!$B$11)*1+Summary!$B$11*(MIN(Skills!R7,Inputs!$B$37))),0)</f>
        <v/>
      </c>
      <c r="T7">
        <f>IF(C7,(H7*N7*IF(AND(Inputs!$B$38&lt;&gt;"pvp",Inputs!$B$43&gt;0),((Skills!G7*((R7-1)*IF(Skills!H7&gt;0,Skills!I7/Skills!H7,1)+IF(Skills!H7&gt;0,MIN(Skills!I7,MAX(0,MAX(0,Inputs!$B$43-Summary!$B$23)-((R7-1)*IF(Inputs!$B$38="pvp",15,MAX(0.1,Skills!D7-IF(TRUE=TRUE,Inputs!$B$32,0)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Skills!G9*IF(Skills!H9&gt;0,IF(Inputs!$B$38="pvp",MIN(Skills!I9,15),Skills!I9)/Skills!H9,1)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IFERROR(1/IF(Inputs!$B$38="pvp",15,MAX(0.1,Skills!D9-IF(TRUE=TRUE,Inputs!$B$32,0))),0)</f>
        <v/>
      </c>
      <c r="R9">
        <f>IF(AND(Inputs!$B$38&lt;&gt;"pvp",Inputs!$B$43&gt;0),IF(MAX(0,Inputs!$B$43-Summary!$B$23)&lt;=0,0,(INT(MAX(0,Inputs!$B$43-Summary!$B$23)/IF(Inputs!$B$38="pvp",15,MAX(0.1,Skills!D9-IF(TRUE=TRUE,Inputs!$B$32,0))))+1)),0)</f>
        <v/>
      </c>
      <c r="S9">
        <f>IFERROR((H9*N9*IF(AND(Inputs!$B$38&lt;&gt;"pvp",Inputs!$B$43&gt;0),((Skills!G9*((R9-1)*IF(Skills!H9&gt;0,Skills!I9/Skills!H9,1)+IF(Skills!H9&gt;0,MIN(Skills!I9,MAX(0,MAX(0,Inputs!$B$43-Summary!$B$23)-((R9-1)*IF(Inputs!$B$38="pvp",15,MAX(0.1,Skills!D9-IF(TRUE=TRUE,Inputs!$B$32,0))))))/Skills!H9,1)))/Inputs!$B$43),G9*Q9))/N9*IF(Inputs!$B$38="pvp",1,(1-Summary!$B$11)*1+Summary!$B$11*(MIN(Skills!R9,Inputs!$B$37))),0)</f>
        <v/>
      </c>
      <c r="T9">
        <f>IF(C9,(H9*N9*IF(AND(Inputs!$B$38&lt;&gt;"pvp",Inputs!$B$43&gt;0),((Skills!G9*((R9-1)*IF(Skills!H9&gt;0,Skills!I9/Skills!H9,1)+IF(Skills!H9&gt;0,MIN(Skills!I9,MAX(0,MAX(0,Inputs!$B$43-Summary!$B$23)-((R9-1)*IF(Inputs!$B$38="pvp",15,MAX(0.1,Skills!D9-IF(TRUE=TRUE,Inputs!$B$32,0)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Skills!H9,1)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Skills!G10*IF(Skills!H10&gt;0,IF(Inputs!$B$38="pvp",MIN(Skills!I10,15),Skills!I10)/Skills!H10,1)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Skills!G11*IF(Skills!H11&gt;0,IF(Inputs!$B$38="pvp",MIN(Skills!I11,15),Skills!I11)/Skills!H11,1)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IFERROR(1/IF(Inputs!$B$38="pvp",15,MAX(0.1,Skills!D11-IF(TRUE=TRUE,Inputs!$B$32,0))),0)</f>
        <v/>
      </c>
      <c r="R11">
        <f>IF(AND(Inputs!$B$38&lt;&gt;"pvp",Inputs!$B$43&gt;0),IF(MAX(0,Inputs!$B$43-Summary!$B$23)&lt;=0,0,(INT(MAX(0,Inputs!$B$43-Summary!$B$23)/IF(Inputs!$B$38="pvp",15,MAX(0.1,Skills!D11-IF(TRUE=TRUE,Inputs!$B$32,0))))+1)),0)</f>
        <v/>
      </c>
      <c r="S11">
        <f>IFERROR((H11*N11*IF(AND(Inputs!$B$38&lt;&gt;"pvp",Inputs!$B$43&gt;0),((Skills!G11*((R11-1)*IF(Skills!H11&gt;0,Skills!I11/Skills!H11,1)+IF(Skills!H11&gt;0,MIN(Skills!I11,MAX(0,MAX(0,Inputs!$B$43-Summary!$B$23)-((R11-1)*IF(Inputs!$B$38="pvp",15,MAX(0.1,Skills!D11-IF(TRUE=TRUE,Inputs!$B$32,0))))))/Skills!H11,1)))/Inputs!$B$43),G11*Q11))/N11*IF(Inputs!$B$38="pvp",1,(1-Summary!$B$11)*1+Summary!$B$11*(MIN(Skills!R11,Inputs!$B$37))),0)</f>
        <v/>
      </c>
      <c r="T11">
        <f>IF(C11,(H11*N11*IF(AND(Inputs!$B$38&lt;&gt;"pvp",Inputs!$B$43&gt;0),((Skills!G11*((R11-1)*IF(Skills!H11&gt;0,Skills!I11/Skills!H11,1)+IF(Skills!H11&gt;0,MIN(Skills!I11,MAX(0,MAX(0,Inputs!$B$43-Summary!$B$23)-((R11-1)*IF(Inputs!$B$38="pvp",15,MAX(0.1,Skills!D11-IF(TRUE=TRUE,Inputs!$B$32,0)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Skills!H11,1)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Skills!G12*IF(Skills!H12&gt;0,IF(Inputs!$B$38="pvp",MIN(Skills!I12,15),Skills!I12)/Skills!H12,1)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Skills!G13*IF(Skills!H13&gt;0,IF(Inputs!$B$38="pvp",MIN(Skills!I13,15),Skills!I13)/Skills!H13,1)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Skills!G14*IF(Skills!H14&gt;0,IF(Inputs!$B$38="pvp",MIN(Skills!I14,15),Skills!I14)/Skills!H14,1)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Skills!G15*IF(Skills!H15&gt;0,IF(Inputs!$B$38="pvp",MIN(Skills!I15,15),Skills!I15)/Skills!H15,1)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IFERROR(1/IF(Inputs!$B$38="pvp",15,MAX(0.1,Skills!D15-IF(TRUE=TRUE,Inputs!$B$32,0))),0)</f>
        <v/>
      </c>
      <c r="R15">
        <f>IF(AND(Inputs!$B$38&lt;&gt;"pvp",Inputs!$B$43&gt;0),IF(Inputs!$B$43&lt;=0,0,(INT(Inputs!$B$43/IF(Inputs!$B$38="pvp",15,MAX(0.1,Skills!D15-IF(TRUE=TRUE,Inputs!$B$32,0))))+1)),0)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Skills!G16*IF(Skills!H16&gt;0,IF(Inputs!$B$38="pvp",MIN(Skills!I16,15),Skills!I16)/Skills!H16,1)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IFERROR(1/IF(Inputs!$B$38="pvp",15,MAX(0.1,Skills!D16-IF(TRUE=TRUE,Inputs!$B$32,0))),0)</f>
        <v/>
      </c>
      <c r="R16">
        <f>IF(AND(Inputs!$B$38&lt;&gt;"pvp",Inputs!$B$43&gt;0),IF(Inputs!$B$43&lt;=0,0,(INT(Inputs!$B$43/IF(Inputs!$B$38="pvp",15,MAX(0.1,Skills!D16-IF(TRUE=TRUE,Inputs!$B$32,0))))+1)),0)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Skills!G17*IF(Skills!H17&gt;0,IF(Inputs!$B$38="pvp",MIN(Skills!I17,15),Skills!I17)/Skills!H17,1)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Skills!G18*IF(Skills!H18&gt;0,IF(Inputs!$B$38="pvp",MIN(Skills!I18,15),Skills!I18)/Skills!H18,1)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IFERROR(1/IF(Inputs!$B$38="pvp",15,MAX(0.1,Skills!D18-IF(TRUE=TRUE,Inputs!$B$32,0))),0)</f>
        <v/>
      </c>
      <c r="R18">
        <f>IF(AND(Inputs!$B$38&lt;&gt;"pvp",Inputs!$B$43&gt;0),IF(Inputs!$B$43&lt;=0,0,(INT(Inputs!$B$43/IF(Inputs!$B$38="pvp",15,MAX(0.1,Skills!D18-IF(TRUE=TRUE,Inputs!$B$32,0))))+1)),0)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Skills!G19*IF(Skills!H19&gt;0,IF(Inputs!$B$38="pvp",MIN(Skills!I19,15),Skills!I19)/Skills!H19,1)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Skills!G20*IF(Skills!H20&gt;0,IF(Inputs!$B$38="pvp",MIN(Skills!I20,15),Skills!I20)/Skills!H20,1)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Skills!G21*IF(Skills!H21&gt;0,IF(Inputs!$B$38="pvp",MIN(Skills!I21,15),Skills!I21)/Skills!H21,1)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Skills!G22*IF(Skills!H22&gt;0,IF(Inputs!$B$38="pvp",MIN(Skills!I22,15),Skills!I22)/Skills!H22,1)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Skills!G23*IF(Skills!H23&gt;0,IF(Inputs!$B$38="pvp",MIN(Skills!I23,15),Skills!I23)/Skills!H23,1)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Skills!G24*IF(Skills!H24&gt;0,IF(Inputs!$B$38="pvp",MIN(Skills!I24,15),Skills!I24)/Skills!H24,1)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Skills!G25*IF(Skills!H25&gt;0,IF(Inputs!$B$38="pvp",MIN(Skills!I25,15),Skills!I25)/Skills!H25,1)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Skills!G26*IF(Skills!H26&gt;0,IF(Inputs!$B$38="pvp",MIN(Skills!I26,15),Skills!I26)/Skills!H26,1)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Skills!G27*IF(Skills!H27&gt;0,IF(Inputs!$B$38="pvp",MIN(Skills!I27,15),Skills!I27)/Skills!H27,1)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Skills!G28*IF(Skills!H28&gt;0,IF(Inputs!$B$38="pvp",MIN(Skills!I28,15),Skills!I28)/Skills!H28,1)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Skills!G29*IF(Skills!H29&gt;0,IF(Inputs!$B$38="pvp",MIN(Skills!I29,15),Skills!I29)/Skills!H29,1)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MIN((Skills!T15*(1+Inputs!$B$34/100)),(1/Calc!Q15))+MIN((Skills!T15*(1+Inputs!$B$34/100)),MAX(0,Inputs!$B$43-((Calc!R15-1)*(1/Calc!Q15)))))/Inputs!$B$43),IF(Inputs!$B$38="pvp",MIN((Skills!T15*(1+Inputs!$B$34/100)),15)/15,MIN(1,(Skills!T15*(1+Inputs!$B$34/100))/(1/Calc!Q15)))))+((Calc!C12=TRUE)*Calc!F12)+Artifacts!$B$52)/100</f>
        <v/>
      </c>
    </row>
    <row r="14">
      <c r="A14" t="inlineStr">
        <is>
          <t>Global Crit Rate Bonus % (Sharp Eyes, flat 20, duty-cycle averaged)</t>
        </is>
      </c>
      <c r="B14" t="n">
        <v>0</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MIN((Skills!T18*(1+Inputs!$B$34/100)),(1/Calc!Q18))+MIN((Skills!T18*(1+Inputs!$B$34/100)),MAX(0,Inputs!$B$43-((Calc!R18-1)*(1/Calc!Q18)))))/Inputs!$B$43),IF(Inputs!$B$38="pvp",MIN((Skills!T18*(1+Inputs!$B$34/100)),15)/15,MIN(1,(Skills!T18*(1+Inputs!$B$34/100))/(1/Calc!Q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MIN((Skills!T16*(1+Inputs!$B$34/100)),(1/Calc!Q16))+MIN((Skills!T16*(1+Inputs!$B$34/100)),MAX(0,Inputs!$B$43-((Calc!R16-1)*(1/Calc!Q16)))))/Inputs!$B$43),IF(Inputs!$B$38="pvp",MIN((Skills!T16*(1+Inputs!$B$34/100)),15)/15,MIN(1,(Skills!T16*(1+Inputs!$B$34/100))/(1/Calc!Q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Inputs!$B$15+0</f>
        <v/>
      </c>
      <c r="E8">
        <f>(Inputs!$B$15+1)+0</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Inputs!$B$16+0</f>
        <v/>
      </c>
      <c r="E9">
        <f>(Inputs!$B$16+1)+0</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Inputs!$B$20+0</f>
        <v/>
      </c>
      <c r="E10">
        <f>(Inputs!$B$20+1)+0</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Inputs!$B$21+0</f>
        <v/>
      </c>
      <c r="E11">
        <f>(Inputs!$B$21+1)+0</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Inputs!$B$22+0</f>
        <v/>
      </c>
      <c r="E13">
        <f>(Inputs!$B$22+1)+0</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Inputs!$B$23+0</f>
        <v/>
      </c>
      <c r="E14">
        <f>(Inputs!$B$23+1)+0</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Inputs!$B$9+0</f>
        <v/>
      </c>
      <c r="E15">
        <f>(Inputs!$B$9+1)+0</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Inputs!$B$10+0</f>
        <v/>
      </c>
      <c r="E16">
        <f>(Inputs!$B$10+1)+0</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Inputs!$B$11+0</f>
        <v/>
      </c>
      <c r="E17">
        <f>((1-(1-Inputs!$B$11/150)*(1-1/150))*150)+0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Inputs!$B$19+0</f>
        <v/>
      </c>
      <c r="E18">
        <f>((1-(1-Inputs!$B$19/100)*(1-1/100))*100)+0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Inputs!$B$17+0</f>
        <v/>
      </c>
      <c r="E19">
        <f>(Inputs!$B$17+1)+0</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Inputs!$B$18+0</f>
        <v/>
      </c>
      <c r="E20">
        <f>(Inputs!$B$18+1)+0</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Inputs!$B$25+0</f>
        <v/>
      </c>
      <c r="E21">
        <f>(Inputs!$B$25+1)+0</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Inputs!$B$26+0</f>
        <v/>
      </c>
      <c r="E22">
        <f>(Inputs!$B$26+1)+0</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Inputs!$B$27+0</f>
        <v/>
      </c>
      <c r="E23">
        <f>(Inputs!$B$27+1)+0</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Inputs!$B$28+0</f>
        <v/>
      </c>
      <c r="E24">
        <f>(Inputs!$B$28+1)+0</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Inputs!$B$29+0</f>
        <v/>
      </c>
      <c r="E25">
        <f>(Inputs!$B$29+1)+0</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Inputs!$B$6+0</f>
        <v/>
      </c>
      <c r="E26">
        <f>(Inputs!$B$6+1)+0</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Inputs!$B$7+0</f>
        <v/>
      </c>
      <c r="E27">
        <f>(Inputs!$B$7+1)+0</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Inputs!$B$32+0</f>
        <v/>
      </c>
      <c r="E28">
        <f>(Inputs!$B$32+1)+0</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Inputs!$B$33+0</f>
        <v/>
      </c>
      <c r="E29">
        <f>(Inputs!$B$33+1)+0</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Inputs!$B$34+0</f>
        <v/>
      </c>
      <c r="E30">
        <f>(Inputs!$B$34+1)+0</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IF(ArtifactsInput!$M$5,Summary!$B$3/(Summary!$B$3-(IF(ArtifactsInput!$M$5,-1,1)*Summary!$B$3*(((1-Summary!$B$11)*IFERROR(B1281/Summary!$B$24,1)+Summary!$B$11*IFERROR(B1282/Summary!$B$25,1))-1)+ArtifactsInput!$L$5))*100,(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IF(ArtifactsInput!$M$6,Summary!$B$3/(Summary!$B$3-(IF(ArtifactsInput!$M$6,-1,1)*Summary!$B$3*(((1-Summary!$B$11)*IFERROR(B1326/Summary!$B$24,1)+Summary!$B$11*IFERROR(B1327/Summary!$B$25,1))-1)+ArtifactsInput!$L$6))*100,(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IF(ArtifactsInput!$M$7,Summary!$B$3/(Summary!$B$3-(IF(ArtifactsInput!$M$7,-1,1)*Summary!$B$3*(((1-Summary!$B$11)*IFERROR(B1371/Summary!$B$24,1)+Summary!$B$11*IFERROR(B1372/Summary!$B$25,1))-1)+ArtifactsInput!$L$7))*100,(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IF(ArtifactsInput!$M$8,Summary!$B$3/(Summary!$B$3-(IF(ArtifactsInput!$M$8,-1,1)*Summary!$B$3*(((1-Summary!$B$11)*IFERROR(B1416/Summary!$B$24,1)+Summary!$B$11*IFERROR(B1417/Summary!$B$25,1))-1)+ArtifactsInput!$L$8))*100,(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IF(ArtifactsInput!$M$10,Summary!$B$3/(Summary!$B$3-(IF(ArtifactsInput!$M$10,-1,1)*Summary!$B$3*(((1-Summary!$B$11)*IFERROR(B1461/Summary!$B$24,1)+Summary!$B$11*IFERROR(B1462/Summary!$B$25,1))-1)+ArtifactsInput!$L$10))*100,(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IF(ArtifactsInput!$M$11,Summary!$B$3/(Summary!$B$3-(IF(ArtifactsInput!$M$11,-1,1)*Summary!$B$3*(((1-Summary!$B$11)*IFERROR(B1506/Summary!$B$24,1)+Summary!$B$11*IFERROR(B1507/Summary!$B$25,1))-1)+ArtifactsInput!$L$11))*100,(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IF(ArtifactsInput!$M$12,Summary!$B$3/(Summary!$B$3-(IF(ArtifactsInput!$M$12,-1,1)*Summary!$B$3*(((1-Summary!$B$11)*IFERROR(B1551/Summary!$B$24,1)+Summary!$B$11*IFERROR(B1552/Summary!$B$25,1))-1)+ArtifactsInput!$L$12))*100,(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IF(ArtifactsInput!$M$13,Summary!$B$3/(Summary!$B$3-(IF(ArtifactsInput!$M$13,-1,1)*Summary!$B$3*(((1-Summary!$B$11)*IFERROR(B1596/Summary!$B$24,1)+Summary!$B$11*IFERROR(B1597/Summary!$B$25,1))-1)+ArtifactsInput!$L$13))*100,(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IF(ArtifactsInput!$M$14,Summary!$B$3/(Summary!$B$3-(IF(ArtifactsInput!$M$14,-1,1)*Summary!$B$3*(((1-Summary!$B$11)*IFERROR(B1641/Summary!$B$24,1)+Summary!$B$11*IFERROR(B1642/Summary!$B$25,1))-1)+ArtifactsInput!$L$14))*100,(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IF(ArtifactsInput!$M$15,Summary!$B$3/(Summary!$B$3-(IF(ArtifactsInput!$M$15,-1,1)*Summary!$B$3*(((1-Summary!$B$11)*IFERROR(B1686/Summary!$B$24,1)+Summary!$B$11*IFERROR(B1687/Summary!$B$25,1))-1)+ArtifactsInput!$L$15))*100,(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IF(ArtifactsInput!$M$16,Summary!$B$3/(Summary!$B$3-(IF(ArtifactsInput!$M$16,-1,1)*Summary!$B$3*(((1-Summary!$B$11)*IFERROR(B1731/Summary!$B$24,1)+Summary!$B$11*IFERROR(B1732/Summary!$B$25,1))-1)+ArtifactsInput!$L$16))*100,(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IF(ArtifactsInput!$M$17,Summary!$B$3/(Summary!$B$3-(IF(ArtifactsInput!$M$17,-1,1)*Summary!$B$3*(((1-Summary!$B$11)*IFERROR(B1776/Summary!$B$24,1)+Summary!$B$11*IFERROR(B1777/Summary!$B$25,1))-1)+ArtifactsInput!$L$17))*100,(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IF(ArtifactsInput!$M$18,Summary!$B$3/(Summary!$B$3-(IF(ArtifactsInput!$M$18,-1,1)*Summary!$B$3*(((1-Summary!$B$11)*IFERROR(B1821/Summary!$B$24,1)+Summary!$B$11*IFERROR(B1822/Summary!$B$25,1))-1)+ArtifactsInput!$L$18))*100,(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IF(ArtifactsInput!$M$20,Summary!$B$3/(Summary!$B$3-(IF(ArtifactsInput!$M$20,-1,1)*Summary!$B$3*(((1-Summary!$B$11)*IFERROR(B1866/Summary!$B$24,1)+Summary!$B$11*IFERROR(B1867/Summary!$B$25,1))-1)+ArtifactsInput!$L$20))*100,(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IF(ArtifactsInput!$M$21,Summary!$B$3/(Summary!$B$3-(IF(ArtifactsInput!$M$21,-1,1)*Summary!$B$3*(((1-Summary!$B$11)*IFERROR(B1911/Summary!$B$24,1)+Summary!$B$11*IFERROR(B1912/Summary!$B$25,1))-1)+ArtifactsInput!$L$21))*100,(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IF(ArtifactsInput!$M$22,Summary!$B$3/(Summary!$B$3-(IF(ArtifactsInput!$M$22,-1,1)*Summary!$B$3*(((1-Summary!$B$11)*IFERROR(B1956/Summary!$B$24,1)+Summary!$B$11*IFERROR(B1957/Summary!$B$25,1))-1)+ArtifactsInput!$L$22))*100,(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IF(ArtifactsInput!$M$23,Summary!$B$3/(Summary!$B$3-(IF(ArtifactsInput!$M$23,-1,1)*Summary!$B$3*(((1-Summary!$B$11)*IFERROR(B2001/Summary!$B$24,1)+Summary!$B$11*IFERROR(B2002/Summary!$B$25,1))-1)+ArtifactsInput!$L$23))*100,(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IF(ArtifactsInput!$M$24,Summary!$B$3/(Summary!$B$3-(IF(ArtifactsInput!$M$24,-1,1)*Summary!$B$3*(((1-Summary!$B$11)*IFERROR(B2046/Summary!$B$24,1)+Summary!$B$11*IFERROR(B2047/Summary!$B$25,1))-1)+ArtifactsInput!$L$24))*100,(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IF(ArtifactsInput!$M$25,Summary!$B$3/(Summary!$B$3-(IF(ArtifactsInput!$M$25,-1,1)*Summary!$B$3*(((1-Summary!$B$11)*IFERROR(B2091/Summary!$B$24,1)+Summary!$B$11*IFERROR(B2092/Summary!$B$25,1))-1)+ArtifactsInput!$L$25))*100,(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IF(ArtifactsInput!$M$26,Summary!$B$3/(Summary!$B$3-(IF(ArtifactsInput!$M$26,-1,1)*Summary!$B$3*(((1-Summary!$B$11)*IFERROR(B2136/Summary!$B$24,1)+Summary!$B$11*IFERROR(B2137/Summary!$B$25,1))-1)+ArtifactsInput!$L$26))*100,(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IF(ArtifactsInput!$M$27,Summary!$B$3/(Summary!$B$3-(IF(ArtifactsInput!$M$27,-1,1)*Summary!$B$3*(((1-Summary!$B$11)*IFERROR(B2181/Summary!$B$24,1)+Summary!$B$11*IFERROR(B2182/Summary!$B$25,1))-1)+ArtifactsInput!$L$27))*100,(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IF(ArtifactsInput!$M$28,Summary!$B$3/(Summary!$B$3-(IF(ArtifactsInput!$M$28,-1,1)*Summary!$B$3*(((1-Summary!$B$11)*IFERROR(B2226/Summary!$B$24,1)+Summary!$B$11*IFERROR(B2227/Summary!$B$25,1))-1)+ArtifactsInput!$L$28))*100,(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IF(ArtifactsInput!$M$29,Summary!$B$3/(Summary!$B$3-(IF(ArtifactsInput!$M$29,-1,1)*Summary!$B$3*(((1-Summary!$B$11)*IFERROR(B2271/Summary!$B$24,1)+Summary!$B$11*IFERROR(B2272/Summary!$B$25,1))-1)+ArtifactsInput!$L$29))*100,(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IF(ArtifactsInput!$M$30,Summary!$B$3/(Summary!$B$3-(IF(ArtifactsInput!$M$30,-1,1)*Summary!$B$3*(((1-Summary!$B$11)*IFERROR(B2316/Summary!$B$24,1)+Summary!$B$11*IFERROR(B2317/Summary!$B$25,1))-1)+ArtifactsInput!$L$30))*100,(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IF(ArtifactsInput!$M$31,Summary!$B$3/(Summary!$B$3-(IF(ArtifactsInput!$M$31,-1,1)*Summary!$B$3*(((1-Summary!$B$11)*IFERROR(B2361/Summary!$B$24,1)+Summary!$B$11*IFERROR(B2362/Summary!$B$25,1))-1)+ArtifactsInput!$L$31))*100,(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IF(ArtifactsInput!$M$32,Summary!$B$3/(Summary!$B$3-(IF(ArtifactsInput!$M$32,-1,1)*Summary!$B$3*(((1-Summary!$B$11)*IFERROR(B2406/Summary!$B$24,1)+Summary!$B$11*IFERROR(B2407/Summary!$B$25,1))-1)+ArtifactsInput!$L$32))*100,(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IF(ArtifactsInput!$M$33,Summary!$B$3/(Summary!$B$3-(IF(ArtifactsInput!$M$33,-1,1)*Summary!$B$3*(((1-Summary!$B$11)*IFERROR(B2451/Summary!$B$24,1)+Summary!$B$11*IFERROR(B2452/Summary!$B$25,1))-1)+ArtifactsInput!$L$33))*100,(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IF(ArtifactsInput!$M$34,Summary!$B$3/(Summary!$B$3-(IF(ArtifactsInput!$M$34,-1,1)*Summary!$B$3*(((1-Summary!$B$11)*IFERROR(B2496/Summary!$B$24,1)+Summary!$B$11*IFERROR(B2497/Summary!$B$25,1))-1)+ArtifactsInput!$L$34))*100,(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IF(ArtifactsInput!$M$35,Summary!$B$3/(Summary!$B$3-(IF(ArtifactsInput!$M$35,-1,1)*Summary!$B$3*(((1-Summary!$B$11)*IFERROR(B2541/Summary!$B$24,1)+Summary!$B$11*IFERROR(B2542/Summary!$B$25,1))-1)+ArtifactsInput!$L$35))*100,(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IF(ArtifactsInput!$M$36,Summary!$B$3/(Summary!$B$3-(IF(ArtifactsInput!$M$36,-1,1)*Summary!$B$3*(((1-Summary!$B$11)*IFERROR(B2586/Summary!$B$24,1)+Summary!$B$11*IFERROR(B2587/Summary!$B$25,1))-1)+ArtifactsInput!$L$36))*100,(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IF(ArtifactsInput!$M$37,Summary!$B$3/(Summary!$B$3-(IF(ArtifactsInput!$M$37,-1,1)*Summary!$B$3*(((1-Summary!$B$11)*IFERROR(B2631/Summary!$B$24,1)+Summary!$B$11*IFERROR(B2632/Summary!$B$25,1))-1)+ArtifactsInput!$L$37))*100,(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IF(ArtifactsInput!$M$38,Summary!$B$3/(Summary!$B$3-(IF(ArtifactsInput!$M$38,-1,1)*Summary!$B$3*(((1-Summary!$B$11)*IFERROR(B2676/Summary!$B$24,1)+Summary!$B$11*IFERROR(B2677/Summary!$B$25,1))-1)+ArtifactsInput!$L$38))*100,(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IF(ArtifactsInput!$M$39,Summary!$B$3/(Summary!$B$3-(IF(ArtifactsInput!$M$39,-1,1)*Summary!$B$3*(((1-Summary!$B$11)*IFERROR(B2721/Summary!$B$24,1)+Summary!$B$11*IFERROR(B2722/Summary!$B$25,1))-1)+ArtifactsInput!$L$39))*100,(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IF(ArtifactsInput!$M$40,Summary!$B$3/(Summary!$B$3-(IF(ArtifactsInput!$M$40,-1,1)*Summary!$B$3*(((1-Summary!$B$11)*IFERROR(B2766/Summary!$B$24,1)+Summary!$B$11*IFERROR(B2767/Summary!$B$25,1))-1)+ArtifactsInput!$L$40))*100,(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IF(ArtifactsInput!$M$41,Summary!$B$3/(Summary!$B$3-(IF(ArtifactsInput!$M$41,-1,1)*Summary!$B$3*(((1-Summary!$B$11)*IFERROR(B2811/Summary!$B$24,1)+Summary!$B$11*IFERROR(B2812/Summary!$B$25,1))-1)+ArtifactsInput!$L$41))*100,(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IF(ArtifactsInput!$M$42,Summary!$B$3/(Summary!$B$3-(IF(ArtifactsInput!$M$42,-1,1)*Summary!$B$3*(((1-Summary!$B$11)*IFERROR(B2856/Summary!$B$24,1)+Summary!$B$11*IFERROR(B2857/Summary!$B$25,1))-1)+ArtifactsInput!$L$42))*100,(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Skills!G2*IF(Skills!H2&gt;0,IF(Inputs!$B$38="pvp",MIN(Skills!I2,15),Skills!I2)/Skills!H2,1)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Skills!G5*IF(Skills!H5&gt;0,IF(Inputs!$B$38="pvp",MIN(Skills!I5,15),Skills!I5)/Skills!H5,1)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IFERROR(1/IF(Inputs!$B$38="pvp",15,MAX(0.1,Skills!D5-IF(TRUE=TRUE,Inputs!$B$32,0))),0)</f>
        <v/>
      </c>
      <c r="R76">
        <f>IF(AND(Inputs!$B$38&lt;&gt;"pvp",Inputs!$B$43&gt;0),IF(MAX(0,Inputs!$B$43-B110)&lt;=0,0,(INT(MAX(0,Inputs!$B$43-B110)/IF(Inputs!$B$38="pvp",15,MAX(0.1,Skills!D5-IF(TRUE=TRUE,Inputs!$B$32,0))))+1)),0)</f>
        <v/>
      </c>
      <c r="S76">
        <f>IFERROR((H76*N76*IF(AND(Inputs!$B$38&lt;&gt;"pvp",Inputs!$B$43&gt;0),((Skills!G5*((R76-1)*IF(Skills!H5&gt;0,Skills!I5/Skills!H5,1)+IF(Skills!H5&gt;0,MIN(Skills!I5,MAX(0,MAX(0,Inputs!$B$43-B110)-((R76-1)*IF(Inputs!$B$38="pvp",15,MAX(0.1,Skills!D5-IF(TRUE=TRUE,Inputs!$B$32,0))))))/Skills!H5,1)))/Inputs!$B$43),G76*Q76))/N76*IF(Inputs!$B$38="pvp",1,(1-Summary!$B$11)*1+Summary!$B$11*(MIN(Skills!R5,Inputs!$B$37))),0)</f>
        <v/>
      </c>
      <c r="T76">
        <f>IF(C76,(H76*N76*IF(AND(Inputs!$B$38&lt;&gt;"pvp",Inputs!$B$43&gt;0),((Skills!G5*((R76-1)*IF(Skills!H5&gt;0,Skills!I5/Skills!H5,1)+IF(Skills!H5&gt;0,MIN(Skills!I5,MAX(0,MAX(0,Inputs!$B$43-B110)-((R76-1)*IF(Inputs!$B$38="pvp",15,MAX(0.1,Skills!D5-IF(TRUE=TRUE,Inputs!$B$32,0)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110)-((R76-1)*IF(Inputs!$B$38="pvp",15,MAX(0.1,Skills!D5-IF(TRUE=TRUE,Inputs!$B$32,0))))))/Skills!H5,1)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Skills!G6*IF(Skills!H6&gt;0,IF(Inputs!$B$38="pvp",MIN(Skills!I6,15),Skills!I6)/Skills!H6,1)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IFERROR(1/IF(Inputs!$B$38="pvp",15,MAX(0.1,Skills!D6-IF(TRUE=TRUE,Inputs!$B$32,0))),0)</f>
        <v/>
      </c>
      <c r="R77">
        <f>IF(AND(Inputs!$B$38&lt;&gt;"pvp",Inputs!$B$43&gt;0),IF(MAX(0,Inputs!$B$43-B110)&lt;=0,0,(INT(MAX(0,Inputs!$B$43-B110)/IF(Inputs!$B$38="pvp",15,MAX(0.1,Skills!D6-IF(TRUE=TRUE,Inputs!$B$32,0))))+1)),0)</f>
        <v/>
      </c>
      <c r="S77">
        <f>IFERROR((H77*N77*IF(AND(Inputs!$B$38&lt;&gt;"pvp",Inputs!$B$43&gt;0),((Skills!G6*((R77-1)*IF(Skills!H6&gt;0,Skills!I6/Skills!H6,1)+IF(Skills!H6&gt;0,MIN(Skills!I6,MAX(0,MAX(0,Inputs!$B$43-B110)-((R77-1)*IF(Inputs!$B$38="pvp",15,MAX(0.1,Skills!D6-IF(TRUE=TRUE,Inputs!$B$32,0))))))/Skills!H6,1)))/Inputs!$B$43),G77*Q77))/N77*IF(Inputs!$B$38="pvp",1,(1-Summary!$B$11)*1+Summary!$B$11*(MIN(Skills!R6,Inputs!$B$37))),0)</f>
        <v/>
      </c>
      <c r="T77">
        <f>IF(C77,(H77*N77*IF(AND(Inputs!$B$38&lt;&gt;"pvp",Inputs!$B$43&gt;0),((Skills!G6*((R77-1)*IF(Skills!H6&gt;0,Skills!I6/Skills!H6,1)+IF(Skills!H6&gt;0,MIN(Skills!I6,MAX(0,MAX(0,Inputs!$B$43-B110)-((R77-1)*IF(Inputs!$B$38="pvp",15,MAX(0.1,Skills!D6-IF(TRUE=TRUE,Inputs!$B$32,0)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110)-((R77-1)*IF(Inputs!$B$38="pvp",15,MAX(0.1,Skills!D6-IF(TRUE=TRUE,Inputs!$B$32,0))))))/Skills!H6,1)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Skills!G7*IF(Skills!H7&gt;0,IF(Inputs!$B$38="pvp",MIN(Skills!I7,15),Skills!I7)/Skills!H7,1)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IFERROR(1/IF(Inputs!$B$38="pvp",15,MAX(0.1,Skills!D7-IF(TRUE=TRUE,Inputs!$B$32,0))),0)</f>
        <v/>
      </c>
      <c r="R78">
        <f>IF(AND(Inputs!$B$38&lt;&gt;"pvp",Inputs!$B$43&gt;0),IF(MAX(0,Inputs!$B$43-B110)&lt;=0,0,(INT(MAX(0,Inputs!$B$43-B110)/IF(Inputs!$B$38="pvp",15,MAX(0.1,Skills!D7-IF(TRUE=TRUE,Inputs!$B$32,0))))+1)),0)</f>
        <v/>
      </c>
      <c r="S78">
        <f>IFERROR((H78*N78*IF(AND(Inputs!$B$38&lt;&gt;"pvp",Inputs!$B$43&gt;0),((Skills!G7*((R78-1)*IF(Skills!H7&gt;0,Skills!I7/Skills!H7,1)+IF(Skills!H7&gt;0,MIN(Skills!I7,MAX(0,MAX(0,Inputs!$B$43-B110)-((R78-1)*IF(Inputs!$B$38="pvp",15,MAX(0.1,Skills!D7-IF(TRUE=TRUE,Inputs!$B$32,0))))))/Skills!H7,1)))/Inputs!$B$43),G78*Q78))/N78*IF(Inputs!$B$38="pvp",1,(1-Summary!$B$11)*1+Summary!$B$11*(MIN(Skills!R7,Inputs!$B$37))),0)</f>
        <v/>
      </c>
      <c r="T78">
        <f>IF(C78,(H78*N78*IF(AND(Inputs!$B$38&lt;&gt;"pvp",Inputs!$B$43&gt;0),((Skills!G7*((R78-1)*IF(Skills!H7&gt;0,Skills!I7/Skills!H7,1)+IF(Skills!H7&gt;0,MIN(Skills!I7,MAX(0,MAX(0,Inputs!$B$43-B110)-((R78-1)*IF(Inputs!$B$38="pvp",15,MAX(0.1,Skills!D7-IF(TRUE=TRUE,Inputs!$B$32,0)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110)-((R78-1)*IF(Inputs!$B$38="pvp",15,MAX(0.1,Skills!D7-IF(TRUE=TRUE,Inputs!$B$32,0))))))/Skills!H7,1)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Skills!G9*IF(Skills!H9&gt;0,IF(Inputs!$B$38="pvp",MIN(Skills!I9,15),Skills!I9)/Skills!H9,1)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IFERROR(1/IF(Inputs!$B$38="pvp",15,MAX(0.1,Skills!D9-IF(TRUE=TRUE,Inputs!$B$32,0))),0)</f>
        <v/>
      </c>
      <c r="R80">
        <f>IF(AND(Inputs!$B$38&lt;&gt;"pvp",Inputs!$B$43&gt;0),IF(MAX(0,Inputs!$B$43-B110)&lt;=0,0,(INT(MAX(0,Inputs!$B$43-B110)/IF(Inputs!$B$38="pvp",15,MAX(0.1,Skills!D9-IF(TRUE=TRUE,Inputs!$B$32,0))))+1)),0)</f>
        <v/>
      </c>
      <c r="S80">
        <f>IFERROR((H80*N80*IF(AND(Inputs!$B$38&lt;&gt;"pvp",Inputs!$B$43&gt;0),((Skills!G9*((R80-1)*IF(Skills!H9&gt;0,Skills!I9/Skills!H9,1)+IF(Skills!H9&gt;0,MIN(Skills!I9,MAX(0,MAX(0,Inputs!$B$43-B110)-((R80-1)*IF(Inputs!$B$38="pvp",15,MAX(0.1,Skills!D9-IF(TRUE=TRUE,Inputs!$B$32,0))))))/Skills!H9,1)))/Inputs!$B$43),G80*Q80))/N80*IF(Inputs!$B$38="pvp",1,(1-Summary!$B$11)*1+Summary!$B$11*(MIN(Skills!R9,Inputs!$B$37))),0)</f>
        <v/>
      </c>
      <c r="T80">
        <f>IF(C80,(H80*N80*IF(AND(Inputs!$B$38&lt;&gt;"pvp",Inputs!$B$43&gt;0),((Skills!G9*((R80-1)*IF(Skills!H9&gt;0,Skills!I9/Skills!H9,1)+IF(Skills!H9&gt;0,MIN(Skills!I9,MAX(0,MAX(0,Inputs!$B$43-B110)-((R80-1)*IF(Inputs!$B$38="pvp",15,MAX(0.1,Skills!D9-IF(TRUE=TRUE,Inputs!$B$32,0)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110)-((R80-1)*IF(Inputs!$B$38="pvp",15,MAX(0.1,Skills!D9-IF(TRUE=TRUE,Inputs!$B$32,0))))))/Skills!H9,1)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Skills!G10*IF(Skills!H10&gt;0,IF(Inputs!$B$38="pvp",MIN(Skills!I10,15),Skills!I10)/Skills!H10,1)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Skills!G11*IF(Skills!H11&gt;0,IF(Inputs!$B$38="pvp",MIN(Skills!I11,15),Skills!I11)/Skills!H11,1)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IFERROR(1/IF(Inputs!$B$38="pvp",15,MAX(0.1,Skills!D11-IF(TRUE=TRUE,Inputs!$B$32,0))),0)</f>
        <v/>
      </c>
      <c r="R82">
        <f>IF(AND(Inputs!$B$38&lt;&gt;"pvp",Inputs!$B$43&gt;0),IF(MAX(0,Inputs!$B$43-B110)&lt;=0,0,(INT(MAX(0,Inputs!$B$43-B110)/IF(Inputs!$B$38="pvp",15,MAX(0.1,Skills!D11-IF(TRUE=TRUE,Inputs!$B$32,0))))+1)),0)</f>
        <v/>
      </c>
      <c r="S82">
        <f>IFERROR((H82*N82*IF(AND(Inputs!$B$38&lt;&gt;"pvp",Inputs!$B$43&gt;0),((Skills!G11*((R82-1)*IF(Skills!H11&gt;0,Skills!I11/Skills!H11,1)+IF(Skills!H11&gt;0,MIN(Skills!I11,MAX(0,MAX(0,Inputs!$B$43-B110)-((R82-1)*IF(Inputs!$B$38="pvp",15,MAX(0.1,Skills!D11-IF(TRUE=TRUE,Inputs!$B$32,0))))))/Skills!H11,1)))/Inputs!$B$43),G82*Q82))/N82*IF(Inputs!$B$38="pvp",1,(1-Summary!$B$11)*1+Summary!$B$11*(MIN(Skills!R11,Inputs!$B$37))),0)</f>
        <v/>
      </c>
      <c r="T82">
        <f>IF(C82,(H82*N82*IF(AND(Inputs!$B$38&lt;&gt;"pvp",Inputs!$B$43&gt;0),((Skills!G11*((R82-1)*IF(Skills!H11&gt;0,Skills!I11/Skills!H11,1)+IF(Skills!H11&gt;0,MIN(Skills!I11,MAX(0,MAX(0,Inputs!$B$43-B110)-((R82-1)*IF(Inputs!$B$38="pvp",15,MAX(0.1,Skills!D11-IF(TRUE=TRUE,Inputs!$B$32,0)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Inputs!$B$38&lt;&gt;"pvp",Inputs!$B$43=0),1,IF(IF(Inputs!$B$38="pvp",15,Inputs!$B$43)-(B110)&lt;=0,1,MAX(0,IF(Inputs!$B$38="pvp",15,Inputs!$B$43)-MAX(5,B110))/(IF(Inputs!$B$38="pvp",15,Inputs!$B$43)-(B110)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110)-((R82-1)*IF(Inputs!$B$38="pvp",15,MAX(0.1,Skills!D11-IF(TRUE=TRUE,Inputs!$B$32,0))))))/Skills!H11,1)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Skills!G12*IF(Skills!H12&gt;0,IF(Inputs!$B$38="pvp",MIN(Skills!I12,15),Skills!I12)/Skills!H12,1)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Skills!G13*IF(Skills!H13&gt;0,IF(Inputs!$B$38="pvp",MIN(Skills!I13,15),Skills!I13)/Skills!H13,1)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Skills!G14*IF(Skills!H14&gt;0,IF(Inputs!$B$38="pvp",MIN(Skills!I14,15),Skills!I14)/Skills!H14,1)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Skills!G15*IF(Skills!H15&gt;0,IF(Inputs!$B$38="pvp",MIN(Skills!I15,15),Skills!I15)/Skills!H15,1)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IFERROR(1/IF(Inputs!$B$38="pvp",15,MAX(0.1,Skills!D15-IF(TRUE=TRUE,Inputs!$B$32,0))),0)</f>
        <v/>
      </c>
      <c r="R86">
        <f>IF(AND(Inputs!$B$38&lt;&gt;"pvp",Inputs!$B$43&gt;0),IF(Inputs!$B$43&lt;=0,0,(INT(Inputs!$B$43/IF(Inputs!$B$38="pvp",15,MAX(0.1,Skills!D15-IF(TRUE=TRUE,Inputs!$B$32,0))))+1)),0)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Skills!G16*IF(Skills!H16&gt;0,IF(Inputs!$B$38="pvp",MIN(Skills!I16,15),Skills!I16)/Skills!H16,1)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IFERROR(1/IF(Inputs!$B$38="pvp",15,MAX(0.1,Skills!D16-IF(TRUE=TRUE,Inputs!$B$32,0))),0)</f>
        <v/>
      </c>
      <c r="R87">
        <f>IF(AND(Inputs!$B$38&lt;&gt;"pvp",Inputs!$B$43&gt;0),IF(Inputs!$B$43&lt;=0,0,(INT(Inputs!$B$43/IF(Inputs!$B$38="pvp",15,MAX(0.1,Skills!D16-IF(TRUE=TRUE,Inputs!$B$32,0))))+1)),0)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Skills!G17*IF(Skills!H17&gt;0,IF(Inputs!$B$38="pvp",MIN(Skills!I17,15),Skills!I17)/Skills!H17,1)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Skills!G18*IF(Skills!H18&gt;0,IF(Inputs!$B$38="pvp",MIN(Skills!I18,15),Skills!I18)/Skills!H18,1)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IFERROR(1/IF(Inputs!$B$38="pvp",15,MAX(0.1,Skills!D18-IF(TRUE=TRUE,Inputs!$B$32,0))),0)</f>
        <v/>
      </c>
      <c r="R89">
        <f>IF(AND(Inputs!$B$38&lt;&gt;"pvp",Inputs!$B$43&gt;0),IF(Inputs!$B$43&lt;=0,0,(INT(Inputs!$B$43/IF(Inputs!$B$38="pvp",15,MAX(0.1,Skills!D18-IF(TRUE=TRUE,Inputs!$B$32,0))))+1)),0)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Skills!G19*IF(Skills!H19&gt;0,IF(Inputs!$B$38="pvp",MIN(Skills!I19,15),Skills!I19)/Skills!H19,1)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Skills!G20*IF(Skills!H20&gt;0,IF(Inputs!$B$38="pvp",MIN(Skills!I20,15),Skills!I20)/Skills!H20,1)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Skills!G21*IF(Skills!H21&gt;0,IF(Inputs!$B$38="pvp",MIN(Skills!I21,15),Skills!I21)/Skills!H21,1)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Skills!G22*IF(Skills!H22&gt;0,IF(Inputs!$B$38="pvp",MIN(Skills!I22,15),Skills!I22)/Skills!H22,1)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Skills!G23*IF(Skills!H23&gt;0,IF(Inputs!$B$38="pvp",MIN(Skills!I23,15),Skills!I23)/Skills!H23,1)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Skills!G24*IF(Skills!H24&gt;0,IF(Inputs!$B$38="pvp",MIN(Skills!I24,15),Skills!I24)/Skills!H24,1)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Skills!G25*IF(Skills!H25&gt;0,IF(Inputs!$B$38="pvp",MIN(Skills!I25,15),Skills!I25)/Skills!H25,1)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Skills!G26*IF(Skills!H26&gt;0,IF(Inputs!$B$38="pvp",MIN(Skills!I26,15),Skills!I26)/Skills!H26,1)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Skills!G27*IF(Skills!H27&gt;0,IF(Inputs!$B$38="pvp",MIN(Skills!I27,15),Skills!I27)/Skills!H27,1)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Skills!G28*IF(Skills!H28&gt;0,IF(Inputs!$B$38="pvp",MIN(Skills!I28,15),Skills!I28)/Skills!H28,1)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Skills!G29*IF(Skills!H29&gt;0,IF(Inputs!$B$38="pvp",MIN(Skills!I29,15),Skills!I29)/Skills!H29,1)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MIN((Skills!T15*(1+Inputs!$B$34/100)),(1/Q86))+MIN((Skills!T15*(1+Inputs!$B$34/100)),MAX(0,Inputs!$B$43-((R86-1)*(1/Q86)))))/Inputs!$B$43),IF(Inputs!$B$38="pvp",MIN((Skills!T15*(1+Inputs!$B$34/100)),15)/15,MIN(1,(Skills!T15*(1+Inputs!$B$34/100))/(1/Q86)))))+((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t="n">
        <v>0</v>
      </c>
    </row>
    <row r="104">
      <c r="A104" t="inlineStr">
        <is>
          <t>Attack Speed Buff Bonus %</t>
        </is>
      </c>
      <c r="B104">
        <f>((C89=TRUE)*F89*IF(AND(Inputs!$B$38&lt;&gt;"pvp",Inputs!$B$43&gt;0),(((R89-1)*MIN((Skills!T18*(1+Inputs!$B$34/100)),(1/Q89))+MIN((Skills!T18*(1+Inputs!$B$34/100)),MAX(0,Inputs!$B$43-((R89-1)*(1/Q89)))))/Inputs!$B$43),IF(Inputs!$B$38="pvp",MIN((Skills!T18*(1+Inputs!$B$34/100)),15)/15,MIN(1,(Skills!T18*(1+Inputs!$B$34/100))/(1/Q89)))))</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MIN((Skills!T16*(1+Inputs!$B$34/100)),(1/Q87))+MIN((Skills!T16*(1+Inputs!$B$34/100)),MAX(0,Inputs!$B$43-((R87-1)*(1/Q87)))))/Inputs!$B$43),IF(Inputs!$B$38="pvp",MIN((Skills!T16*(1+Inputs!$B$34/100)),15)/15,MIN(1,(Skills!T16*(1+Inputs!$B$34/100))/(1/Q87))))</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Skills!G2*IF(Skills!H2&gt;0,IF(Inputs!$B$38="pvp",MIN(Skills!I2,15),Skills!I2)/Skills!H2,1)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Skills!G5*IF(Skills!H5&gt;0,IF(Inputs!$B$38="pvp",MIN(Skills!I5,15),Skills!I5)/Skills!H5,1)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IFERROR(1/IF(Inputs!$B$38="pvp",15,MAX(0.1,Skills!D5-IF(TRUE=TRUE,Inputs!$B$32,0))),0)</f>
        <v/>
      </c>
      <c r="R121">
        <f>IF(AND(Inputs!$B$38&lt;&gt;"pvp",Inputs!$B$43&gt;0),IF(MAX(0,Inputs!$B$43-B155)&lt;=0,0,(INT(MAX(0,Inputs!$B$43-B155)/IF(Inputs!$B$38="pvp",15,MAX(0.1,Skills!D5-IF(TRUE=TRUE,Inputs!$B$32,0))))+1)),0)</f>
        <v/>
      </c>
      <c r="S121">
        <f>IFERROR((H121*N121*IF(AND(Inputs!$B$38&lt;&gt;"pvp",Inputs!$B$43&gt;0),((Skills!G5*((R121-1)*IF(Skills!H5&gt;0,Skills!I5/Skills!H5,1)+IF(Skills!H5&gt;0,MIN(Skills!I5,MAX(0,MAX(0,Inputs!$B$43-B155)-((R121-1)*IF(Inputs!$B$38="pvp",15,MAX(0.1,Skills!D5-IF(TRUE=TRUE,Inputs!$B$32,0))))))/Skills!H5,1)))/Inputs!$B$43),G121*Q121))/N121*IF(Inputs!$B$38="pvp",1,(1-Summary!$B$11)*1+Summary!$B$11*(MIN(Skills!R5,Inputs!$B$37))),0)</f>
        <v/>
      </c>
      <c r="T121">
        <f>IF(C121,(H121*N121*IF(AND(Inputs!$B$38&lt;&gt;"pvp",Inputs!$B$43&gt;0),((Skills!G5*((R121-1)*IF(Skills!H5&gt;0,Skills!I5/Skills!H5,1)+IF(Skills!H5&gt;0,MIN(Skills!I5,MAX(0,MAX(0,Inputs!$B$43-B155)-((R121-1)*IF(Inputs!$B$38="pvp",15,MAX(0.1,Skills!D5-IF(TRUE=TRUE,Inputs!$B$32,0))))))/Skills!H5,1)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Skills!I5/Skills!H5,1)+IF(Skills!H5&gt;0,MIN(Skills!I5,MAX(0,MAX(0,Inputs!$B$43-B155)-((R121-1)*IF(Inputs!$B$38="pvp",15,MAX(0.1,Skills!D5-IF(TRUE=TRUE,Inputs!$B$32,0))))))/Skills!H5,1)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Skills!G6*IF(Skills!H6&gt;0,IF(Inputs!$B$38="pvp",MIN(Skills!I6,15),Skills!I6)/Skills!H6,1)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IFERROR(1/IF(Inputs!$B$38="pvp",15,MAX(0.1,Skills!D6-IF(TRUE=TRUE,Inputs!$B$32,0))),0)</f>
        <v/>
      </c>
      <c r="R122">
        <f>IF(AND(Inputs!$B$38&lt;&gt;"pvp",Inputs!$B$43&gt;0),IF(MAX(0,Inputs!$B$43-B155)&lt;=0,0,(INT(MAX(0,Inputs!$B$43-B155)/IF(Inputs!$B$38="pvp",15,MAX(0.1,Skills!D6-IF(TRUE=TRUE,Inputs!$B$32,0))))+1)),0)</f>
        <v/>
      </c>
      <c r="S122">
        <f>IFERROR((H122*N122*IF(AND(Inputs!$B$38&lt;&gt;"pvp",Inputs!$B$43&gt;0),((Skills!G6*((R122-1)*IF(Skills!H6&gt;0,Skills!I6/Skills!H6,1)+IF(Skills!H6&gt;0,MIN(Skills!I6,MAX(0,MAX(0,Inputs!$B$43-B155)-((R122-1)*IF(Inputs!$B$38="pvp",15,MAX(0.1,Skills!D6-IF(TRUE=TRUE,Inputs!$B$32,0))))))/Skills!H6,1)))/Inputs!$B$43),G122*Q122))/N122*IF(Inputs!$B$38="pvp",1,(1-Summary!$B$11)*1+Summary!$B$11*(MIN(Skills!R6,Inputs!$B$37))),0)</f>
        <v/>
      </c>
      <c r="T122">
        <f>IF(C122,(H122*N122*IF(AND(Inputs!$B$38&lt;&gt;"pvp",Inputs!$B$43&gt;0),((Skills!G6*((R122-1)*IF(Skills!H6&gt;0,Skills!I6/Skills!H6,1)+IF(Skills!H6&gt;0,MIN(Skills!I6,MAX(0,MAX(0,Inputs!$B$43-B155)-((R122-1)*IF(Inputs!$B$38="pvp",15,MAX(0.1,Skills!D6-IF(TRUE=TRUE,Inputs!$B$32,0)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155)-((R122-1)*IF(Inputs!$B$38="pvp",15,MAX(0.1,Skills!D6-IF(TRUE=TRUE,Inputs!$B$32,0))))))/Skills!H6,1)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Skills!G7*IF(Skills!H7&gt;0,IF(Inputs!$B$38="pvp",MIN(Skills!I7,15),Skills!I7)/Skills!H7,1)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IFERROR(1/IF(Inputs!$B$38="pvp",15,MAX(0.1,Skills!D7-IF(TRUE=TRUE,Inputs!$B$32,0))),0)</f>
        <v/>
      </c>
      <c r="R123">
        <f>IF(AND(Inputs!$B$38&lt;&gt;"pvp",Inputs!$B$43&gt;0),IF(MAX(0,Inputs!$B$43-B155)&lt;=0,0,(INT(MAX(0,Inputs!$B$43-B155)/IF(Inputs!$B$38="pvp",15,MAX(0.1,Skills!D7-IF(TRUE=TRUE,Inputs!$B$32,0))))+1)),0)</f>
        <v/>
      </c>
      <c r="S123">
        <f>IFERROR((H123*N123*IF(AND(Inputs!$B$38&lt;&gt;"pvp",Inputs!$B$43&gt;0),((Skills!G7*((R123-1)*IF(Skills!H7&gt;0,Skills!I7/Skills!H7,1)+IF(Skills!H7&gt;0,MIN(Skills!I7,MAX(0,MAX(0,Inputs!$B$43-B155)-((R123-1)*IF(Inputs!$B$38="pvp",15,MAX(0.1,Skills!D7-IF(TRUE=TRUE,Inputs!$B$32,0))))))/Skills!H7,1)))/Inputs!$B$43),G123*Q123))/N123*IF(Inputs!$B$38="pvp",1,(1-Summary!$B$11)*1+Summary!$B$11*(MIN(Skills!R7,Inputs!$B$37))),0)</f>
        <v/>
      </c>
      <c r="T123">
        <f>IF(C123,(H123*N123*IF(AND(Inputs!$B$38&lt;&gt;"pvp",Inputs!$B$43&gt;0),((Skills!G7*((R123-1)*IF(Skills!H7&gt;0,Skills!I7/Skills!H7,1)+IF(Skills!H7&gt;0,MIN(Skills!I7,MAX(0,MAX(0,Inputs!$B$43-B155)-((R123-1)*IF(Inputs!$B$38="pvp",15,MAX(0.1,Skills!D7-IF(TRUE=TRUE,Inputs!$B$32,0)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155)-((R123-1)*IF(Inputs!$B$38="pvp",15,MAX(0.1,Skills!D7-IF(TRUE=TRUE,Inputs!$B$32,0))))))/Skills!H7,1)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Skills!G9*IF(Skills!H9&gt;0,IF(Inputs!$B$38="pvp",MIN(Skills!I9,15),Skills!I9)/Skills!H9,1)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IFERROR(1/IF(Inputs!$B$38="pvp",15,MAX(0.1,Skills!D9-IF(TRUE=TRUE,Inputs!$B$32,0))),0)</f>
        <v/>
      </c>
      <c r="R125">
        <f>IF(AND(Inputs!$B$38&lt;&gt;"pvp",Inputs!$B$43&gt;0),IF(MAX(0,Inputs!$B$43-B155)&lt;=0,0,(INT(MAX(0,Inputs!$B$43-B155)/IF(Inputs!$B$38="pvp",15,MAX(0.1,Skills!D9-IF(TRUE=TRUE,Inputs!$B$32,0))))+1)),0)</f>
        <v/>
      </c>
      <c r="S125">
        <f>IFERROR((H125*N125*IF(AND(Inputs!$B$38&lt;&gt;"pvp",Inputs!$B$43&gt;0),((Skills!G9*((R125-1)*IF(Skills!H9&gt;0,Skills!I9/Skills!H9,1)+IF(Skills!H9&gt;0,MIN(Skills!I9,MAX(0,MAX(0,Inputs!$B$43-B155)-((R125-1)*IF(Inputs!$B$38="pvp",15,MAX(0.1,Skills!D9-IF(TRUE=TRUE,Inputs!$B$32,0))))))/Skills!H9,1)))/Inputs!$B$43),G125*Q125))/N125*IF(Inputs!$B$38="pvp",1,(1-Summary!$B$11)*1+Summary!$B$11*(MIN(Skills!R9,Inputs!$B$37))),0)</f>
        <v/>
      </c>
      <c r="T125">
        <f>IF(C125,(H125*N125*IF(AND(Inputs!$B$38&lt;&gt;"pvp",Inputs!$B$43&gt;0),((Skills!G9*((R125-1)*IF(Skills!H9&gt;0,Skills!I9/Skills!H9,1)+IF(Skills!H9&gt;0,MIN(Skills!I9,MAX(0,MAX(0,Inputs!$B$43-B155)-((R125-1)*IF(Inputs!$B$38="pvp",15,MAX(0.1,Skills!D9-IF(TRUE=TRUE,Inputs!$B$32,0)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155)-((R125-1)*IF(Inputs!$B$38="pvp",15,MAX(0.1,Skills!D9-IF(TRUE=TRUE,Inputs!$B$32,0))))))/Skills!H9,1)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Skills!G10*IF(Skills!H10&gt;0,IF(Inputs!$B$38="pvp",MIN(Skills!I10,15),Skills!I10)/Skills!H10,1)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Skills!G11*IF(Skills!H11&gt;0,IF(Inputs!$B$38="pvp",MIN(Skills!I11,15),Skills!I11)/Skills!H11,1)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IFERROR(1/IF(Inputs!$B$38="pvp",15,MAX(0.1,Skills!D11-IF(TRUE=TRUE,Inputs!$B$32,0))),0)</f>
        <v/>
      </c>
      <c r="R127">
        <f>IF(AND(Inputs!$B$38&lt;&gt;"pvp",Inputs!$B$43&gt;0),IF(MAX(0,Inputs!$B$43-B155)&lt;=0,0,(INT(MAX(0,Inputs!$B$43-B155)/IF(Inputs!$B$38="pvp",15,MAX(0.1,Skills!D11-IF(TRUE=TRUE,Inputs!$B$32,0))))+1)),0)</f>
        <v/>
      </c>
      <c r="S127">
        <f>IFERROR((H127*N127*IF(AND(Inputs!$B$38&lt;&gt;"pvp",Inputs!$B$43&gt;0),((Skills!G11*((R127-1)*IF(Skills!H11&gt;0,Skills!I11/Skills!H11,1)+IF(Skills!H11&gt;0,MIN(Skills!I11,MAX(0,MAX(0,Inputs!$B$43-B155)-((R127-1)*IF(Inputs!$B$38="pvp",15,MAX(0.1,Skills!D11-IF(TRUE=TRUE,Inputs!$B$32,0))))))/Skills!H11,1)))/Inputs!$B$43),G127*Q127))/N127*IF(Inputs!$B$38="pvp",1,(1-Summary!$B$11)*1+Summary!$B$11*(MIN(Skills!R11,Inputs!$B$37))),0)</f>
        <v/>
      </c>
      <c r="T127">
        <f>IF(C127,(H127*N127*IF(AND(Inputs!$B$38&lt;&gt;"pvp",Inputs!$B$43&gt;0),((Skills!G11*((R127-1)*IF(Skills!H11&gt;0,Skills!I11/Skills!H11,1)+IF(Skills!H11&gt;0,MIN(Skills!I11,MAX(0,MAX(0,Inputs!$B$43-B155)-((R127-1)*IF(Inputs!$B$38="pvp",15,MAX(0.1,Skills!D11-IF(TRUE=TRUE,Inputs!$B$32,0))))))/Skills!H11,1)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Inputs!$B$38&lt;&gt;"pvp",Inputs!$B$43=0),1,IF(IF(Inputs!$B$38="pvp",15,Inputs!$B$43)-(B155)&lt;=0,1,MAX(0,IF(Inputs!$B$38="pvp",15,Inputs!$B$43)-MAX(5,B155))/(IF(Inputs!$B$38="pvp",15,Inputs!$B$43)-(B155))))*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Skills!I11/Skills!H11,1)+IF(Skills!H11&gt;0,MIN(Skills!I11,MAX(0,MAX(0,Inputs!$B$43-B155)-((R127-1)*IF(Inputs!$B$38="pvp",15,MAX(0.1,Skills!D11-IF(TRUE=TRUE,Inputs!$B$32,0))))))/Skills!H11,1)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Skills!G12*IF(Skills!H12&gt;0,IF(Inputs!$B$38="pvp",MIN(Skills!I12,15),Skills!I12)/Skills!H12,1)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Skills!G13*IF(Skills!H13&gt;0,IF(Inputs!$B$38="pvp",MIN(Skills!I13,15),Skills!I13)/Skills!H13,1)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Skills!G14*IF(Skills!H14&gt;0,IF(Inputs!$B$38="pvp",MIN(Skills!I14,15),Skills!I14)/Skills!H14,1)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Skills!G15*IF(Skills!H15&gt;0,IF(Inputs!$B$38="pvp",MIN(Skills!I15,15),Skills!I15)/Skills!H15,1)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IFERROR(1/IF(Inputs!$B$38="pvp",15,MAX(0.1,Skills!D15-IF(TRUE=TRUE,Inputs!$B$32,0))),0)</f>
        <v/>
      </c>
      <c r="R131">
        <f>IF(AND(Inputs!$B$38&lt;&gt;"pvp",Inputs!$B$43&gt;0),IF(Inputs!$B$43&lt;=0,0,(INT(Inputs!$B$43/IF(Inputs!$B$38="pvp",15,MAX(0.1,Skills!D15-IF(TRUE=TRUE,Inputs!$B$32,0))))+1)),0)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Skills!G16*IF(Skills!H16&gt;0,IF(Inputs!$B$38="pvp",MIN(Skills!I16,15),Skills!I16)/Skills!H16,1)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IFERROR(1/IF(Inputs!$B$38="pvp",15,MAX(0.1,Skills!D16-IF(TRUE=TRUE,Inputs!$B$32,0))),0)</f>
        <v/>
      </c>
      <c r="R132">
        <f>IF(AND(Inputs!$B$38&lt;&gt;"pvp",Inputs!$B$43&gt;0),IF(Inputs!$B$43&lt;=0,0,(INT(Inputs!$B$43/IF(Inputs!$B$38="pvp",15,MAX(0.1,Skills!D16-IF(TRUE=TRUE,Inputs!$B$32,0))))+1)),0)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Skills!G17*IF(Skills!H17&gt;0,IF(Inputs!$B$38="pvp",MIN(Skills!I17,15),Skills!I17)/Skills!H17,1)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Skills!G18*IF(Skills!H18&gt;0,IF(Inputs!$B$38="pvp",MIN(Skills!I18,15),Skills!I18)/Skills!H18,1)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IFERROR(1/IF(Inputs!$B$38="pvp",15,MAX(0.1,Skills!D18-IF(TRUE=TRUE,Inputs!$B$32,0))),0)</f>
        <v/>
      </c>
      <c r="R134">
        <f>IF(AND(Inputs!$B$38&lt;&gt;"pvp",Inputs!$B$43&gt;0),IF(Inputs!$B$43&lt;=0,0,(INT(Inputs!$B$43/IF(Inputs!$B$38="pvp",15,MAX(0.1,Skills!D18-IF(TRUE=TRUE,Inputs!$B$32,0))))+1)),0)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Skills!G19*IF(Skills!H19&gt;0,IF(Inputs!$B$38="pvp",MIN(Skills!I19,15),Skills!I19)/Skills!H19,1)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Skills!G20*IF(Skills!H20&gt;0,IF(Inputs!$B$38="pvp",MIN(Skills!I20,15),Skills!I20)/Skills!H20,1)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Skills!G21*IF(Skills!H21&gt;0,IF(Inputs!$B$38="pvp",MIN(Skills!I21,15),Skills!I21)/Skills!H21,1)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Skills!G22*IF(Skills!H22&gt;0,IF(Inputs!$B$38="pvp",MIN(Skills!I22,15),Skills!I22)/Skills!H22,1)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Skills!G23*IF(Skills!H23&gt;0,IF(Inputs!$B$38="pvp",MIN(Skills!I23,15),Skills!I23)/Skills!H23,1)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Skills!G24*IF(Skills!H24&gt;0,IF(Inputs!$B$38="pvp",MIN(Skills!I24,15),Skills!I24)/Skills!H24,1)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Skills!G25*IF(Skills!H25&gt;0,IF(Inputs!$B$38="pvp",MIN(Skills!I25,15),Skills!I25)/Skills!H25,1)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Skills!G26*IF(Skills!H26&gt;0,IF(Inputs!$B$38="pvp",MIN(Skills!I26,15),Skills!I26)/Skills!H26,1)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Skills!G27*IF(Skills!H27&gt;0,IF(Inputs!$B$38="pvp",MIN(Skills!I27,15),Skills!I27)/Skills!H27,1)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Skills!G28*IF(Skills!H28&gt;0,IF(Inputs!$B$38="pvp",MIN(Skills!I28,15),Skills!I28)/Skills!H28,1)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Skills!G29*IF(Skills!H29&gt;0,IF(Inputs!$B$38="pvp",MIN(Skills!I29,15),Skills!I29)/Skills!H29,1)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MIN((Skills!T15*(1+Inputs!$B$34/100)),(1/Q131))+MIN((Skills!T15*(1+Inputs!$B$34/100)),MAX(0,Inputs!$B$43-((R131-1)*(1/Q131)))))/Inputs!$B$43),IF(Inputs!$B$38="pvp",MIN((Skills!T15*(1+Inputs!$B$34/100)),15)/15,MIN(1,(Skills!T15*(1+Inputs!$B$34/100))/(1/Q131)))))+((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t="n">
        <v>0</v>
      </c>
    </row>
    <row r="149">
      <c r="A149" t="inlineStr">
        <is>
          <t>Attack Speed Buff Bonus %</t>
        </is>
      </c>
      <c r="B149">
        <f>((C134=TRUE)*F134*IF(AND(Inputs!$B$38&lt;&gt;"pvp",Inputs!$B$43&gt;0),(((R134-1)*MIN((Skills!T18*(1+Inputs!$B$34/100)),(1/Q134))+MIN((Skills!T18*(1+Inputs!$B$34/100)),MAX(0,Inputs!$B$43-((R134-1)*(1/Q134)))))/Inputs!$B$43),IF(Inputs!$B$38="pvp",MIN((Skills!T18*(1+Inputs!$B$34/100)),15)/15,MIN(1,(Skills!T18*(1+Inputs!$B$34/100))/(1/Q134)))))</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MIN((Skills!T16*(1+Inputs!$B$34/100)),(1/Q132))+MIN((Skills!T16*(1+Inputs!$B$34/100)),MAX(0,Inputs!$B$43-((R132-1)*(1/Q132)))))/Inputs!$B$43),IF(Inputs!$B$38="pvp",MIN((Skills!T16*(1+Inputs!$B$34/100)),15)/15,MIN(1,(Skills!T16*(1+Inputs!$B$34/100))/(1/Q132))))</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Skills!G2*IF(Skills!H2&gt;0,IF(Inputs!$B$38="pvp",MIN(Skills!I2,15),Skills!I2)/Skills!H2,1)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Skills!G5*IF(Skills!H5&gt;0,IF(Inputs!$B$38="pvp",MIN(Skills!I5,15),Skills!I5)/Skills!H5,1)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IFERROR(1/IF(Inputs!$B$38="pvp",15,MAX(0.1,Skills!D5-IF(TRUE=TRUE,Inputs!$B$32,0))),0)</f>
        <v/>
      </c>
      <c r="R166">
        <f>IF(AND(Inputs!$B$38&lt;&gt;"pvp",Inputs!$B$43&gt;0),IF(MAX(0,Inputs!$B$43-B200)&lt;=0,0,(INT(MAX(0,Inputs!$B$43-B200)/IF(Inputs!$B$38="pvp",15,MAX(0.1,Skills!D5-IF(TRUE=TRUE,Inputs!$B$32,0))))+1)),0)</f>
        <v/>
      </c>
      <c r="S166">
        <f>IFERROR((H166*N166*IF(AND(Inputs!$B$38&lt;&gt;"pvp",Inputs!$B$43&gt;0),((Skills!G5*((R166-1)*IF(Skills!H5&gt;0,Skills!I5/Skills!H5,1)+IF(Skills!H5&gt;0,MIN(Skills!I5,MAX(0,MAX(0,Inputs!$B$43-B200)-((R166-1)*IF(Inputs!$B$38="pvp",15,MAX(0.1,Skills!D5-IF(TRUE=TRUE,Inputs!$B$32,0))))))/Skills!H5,1)))/Inputs!$B$43),G166*Q166))/N166*IF(Inputs!$B$38="pvp",1,(1-Summary!$B$11)*1+Summary!$B$11*(MIN(Skills!R5,Inputs!$B$37))),0)</f>
        <v/>
      </c>
      <c r="T166">
        <f>IF(C166,(H166*N166*IF(AND(Inputs!$B$38&lt;&gt;"pvp",Inputs!$B$43&gt;0),((Skills!G5*((R166-1)*IF(Skills!H5&gt;0,Skills!I5/Skills!H5,1)+IF(Skills!H5&gt;0,MIN(Skills!I5,MAX(0,MAX(0,Inputs!$B$43-B200)-((R166-1)*IF(Inputs!$B$38="pvp",15,MAX(0.1,Skills!D5-IF(TRUE=TRUE,Inputs!$B$32,0))))))/Skills!H5,1)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Skills!I5/Skills!H5,1)+IF(Skills!H5&gt;0,MIN(Skills!I5,MAX(0,MAX(0,Inputs!$B$43-B200)-((R166-1)*IF(Inputs!$B$38="pvp",15,MAX(0.1,Skills!D5-IF(TRUE=TRUE,Inputs!$B$32,0))))))/Skills!H5,1)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Skills!G6*IF(Skills!H6&gt;0,IF(Inputs!$B$38="pvp",MIN(Skills!I6,15),Skills!I6)/Skills!H6,1)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IFERROR(1/IF(Inputs!$B$38="pvp",15,MAX(0.1,Skills!D6-IF(TRUE=TRUE,Inputs!$B$32,0))),0)</f>
        <v/>
      </c>
      <c r="R167">
        <f>IF(AND(Inputs!$B$38&lt;&gt;"pvp",Inputs!$B$43&gt;0),IF(MAX(0,Inputs!$B$43-B200)&lt;=0,0,(INT(MAX(0,Inputs!$B$43-B200)/IF(Inputs!$B$38="pvp",15,MAX(0.1,Skills!D6-IF(TRUE=TRUE,Inputs!$B$32,0))))+1)),0)</f>
        <v/>
      </c>
      <c r="S167">
        <f>IFERROR((H167*N167*IF(AND(Inputs!$B$38&lt;&gt;"pvp",Inputs!$B$43&gt;0),((Skills!G6*((R167-1)*IF(Skills!H6&gt;0,Skills!I6/Skills!H6,1)+IF(Skills!H6&gt;0,MIN(Skills!I6,MAX(0,MAX(0,Inputs!$B$43-B200)-((R167-1)*IF(Inputs!$B$38="pvp",15,MAX(0.1,Skills!D6-IF(TRUE=TRUE,Inputs!$B$32,0))))))/Skills!H6,1)))/Inputs!$B$43),G167*Q167))/N167*IF(Inputs!$B$38="pvp",1,(1-Summary!$B$11)*1+Summary!$B$11*(MIN(Skills!R6,Inputs!$B$37))),0)</f>
        <v/>
      </c>
      <c r="T167">
        <f>IF(C167,(H167*N167*IF(AND(Inputs!$B$38&lt;&gt;"pvp",Inputs!$B$43&gt;0),((Skills!G6*((R167-1)*IF(Skills!H6&gt;0,Skills!I6/Skills!H6,1)+IF(Skills!H6&gt;0,MIN(Skills!I6,MAX(0,MAX(0,Inputs!$B$43-B200)-((R167-1)*IF(Inputs!$B$38="pvp",15,MAX(0.1,Skills!D6-IF(TRUE=TRUE,Inputs!$B$32,0)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200)-((R167-1)*IF(Inputs!$B$38="pvp",15,MAX(0.1,Skills!D6-IF(TRUE=TRUE,Inputs!$B$32,0))))))/Skills!H6,1)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Skills!G7*IF(Skills!H7&gt;0,IF(Inputs!$B$38="pvp",MIN(Skills!I7,15),Skills!I7)/Skills!H7,1)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IFERROR(1/IF(Inputs!$B$38="pvp",15,MAX(0.1,Skills!D7-IF(TRUE=TRUE,Inputs!$B$32,0))),0)</f>
        <v/>
      </c>
      <c r="R168">
        <f>IF(AND(Inputs!$B$38&lt;&gt;"pvp",Inputs!$B$43&gt;0),IF(MAX(0,Inputs!$B$43-B200)&lt;=0,0,(INT(MAX(0,Inputs!$B$43-B200)/IF(Inputs!$B$38="pvp",15,MAX(0.1,Skills!D7-IF(TRUE=TRUE,Inputs!$B$32,0))))+1)),0)</f>
        <v/>
      </c>
      <c r="S168">
        <f>IFERROR((H168*N168*IF(AND(Inputs!$B$38&lt;&gt;"pvp",Inputs!$B$43&gt;0),((Skills!G7*((R168-1)*IF(Skills!H7&gt;0,Skills!I7/Skills!H7,1)+IF(Skills!H7&gt;0,MIN(Skills!I7,MAX(0,MAX(0,Inputs!$B$43-B200)-((R168-1)*IF(Inputs!$B$38="pvp",15,MAX(0.1,Skills!D7-IF(TRUE=TRUE,Inputs!$B$32,0))))))/Skills!H7,1)))/Inputs!$B$43),G168*Q168))/N168*IF(Inputs!$B$38="pvp",1,(1-Summary!$B$11)*1+Summary!$B$11*(MIN(Skills!R7,Inputs!$B$37))),0)</f>
        <v/>
      </c>
      <c r="T168">
        <f>IF(C168,(H168*N168*IF(AND(Inputs!$B$38&lt;&gt;"pvp",Inputs!$B$43&gt;0),((Skills!G7*((R168-1)*IF(Skills!H7&gt;0,Skills!I7/Skills!H7,1)+IF(Skills!H7&gt;0,MIN(Skills!I7,MAX(0,MAX(0,Inputs!$B$43-B200)-((R168-1)*IF(Inputs!$B$38="pvp",15,MAX(0.1,Skills!D7-IF(TRUE=TRUE,Inputs!$B$32,0)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200)-((R168-1)*IF(Inputs!$B$38="pvp",15,MAX(0.1,Skills!D7-IF(TRUE=TRUE,Inputs!$B$32,0))))))/Skills!H7,1)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Skills!G9*IF(Skills!H9&gt;0,IF(Inputs!$B$38="pvp",MIN(Skills!I9,15),Skills!I9)/Skills!H9,1)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IFERROR(1/IF(Inputs!$B$38="pvp",15,MAX(0.1,Skills!D9-IF(TRUE=TRUE,Inputs!$B$32,0))),0)</f>
        <v/>
      </c>
      <c r="R170">
        <f>IF(AND(Inputs!$B$38&lt;&gt;"pvp",Inputs!$B$43&gt;0),IF(MAX(0,Inputs!$B$43-B200)&lt;=0,0,(INT(MAX(0,Inputs!$B$43-B200)/IF(Inputs!$B$38="pvp",15,MAX(0.1,Skills!D9-IF(TRUE=TRUE,Inputs!$B$32,0))))+1)),0)</f>
        <v/>
      </c>
      <c r="S170">
        <f>IFERROR((H170*N170*IF(AND(Inputs!$B$38&lt;&gt;"pvp",Inputs!$B$43&gt;0),((Skills!G9*((R170-1)*IF(Skills!H9&gt;0,Skills!I9/Skills!H9,1)+IF(Skills!H9&gt;0,MIN(Skills!I9,MAX(0,MAX(0,Inputs!$B$43-B200)-((R170-1)*IF(Inputs!$B$38="pvp",15,MAX(0.1,Skills!D9-IF(TRUE=TRUE,Inputs!$B$32,0))))))/Skills!H9,1)))/Inputs!$B$43),G170*Q170))/N170*IF(Inputs!$B$38="pvp",1,(1-Summary!$B$11)*1+Summary!$B$11*(MIN(Skills!R9,Inputs!$B$37))),0)</f>
        <v/>
      </c>
      <c r="T170">
        <f>IF(C170,(H170*N170*IF(AND(Inputs!$B$38&lt;&gt;"pvp",Inputs!$B$43&gt;0),((Skills!G9*((R170-1)*IF(Skills!H9&gt;0,Skills!I9/Skills!H9,1)+IF(Skills!H9&gt;0,MIN(Skills!I9,MAX(0,MAX(0,Inputs!$B$43-B200)-((R170-1)*IF(Inputs!$B$38="pvp",15,MAX(0.1,Skills!D9-IF(TRUE=TRUE,Inputs!$B$32,0)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200)-((R170-1)*IF(Inputs!$B$38="pvp",15,MAX(0.1,Skills!D9-IF(TRUE=TRUE,Inputs!$B$32,0))))))/Skills!H9,1)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Skills!G10*IF(Skills!H10&gt;0,IF(Inputs!$B$38="pvp",MIN(Skills!I10,15),Skills!I10)/Skills!H10,1)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Skills!G11*IF(Skills!H11&gt;0,IF(Inputs!$B$38="pvp",MIN(Skills!I11,15),Skills!I11)/Skills!H11,1)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IFERROR(1/IF(Inputs!$B$38="pvp",15,MAX(0.1,Skills!D11-IF(TRUE=TRUE,Inputs!$B$32,0))),0)</f>
        <v/>
      </c>
      <c r="R172">
        <f>IF(AND(Inputs!$B$38&lt;&gt;"pvp",Inputs!$B$43&gt;0),IF(MAX(0,Inputs!$B$43-B200)&lt;=0,0,(INT(MAX(0,Inputs!$B$43-B200)/IF(Inputs!$B$38="pvp",15,MAX(0.1,Skills!D11-IF(TRUE=TRUE,Inputs!$B$32,0))))+1)),0)</f>
        <v/>
      </c>
      <c r="S172">
        <f>IFERROR((H172*N172*IF(AND(Inputs!$B$38&lt;&gt;"pvp",Inputs!$B$43&gt;0),((Skills!G11*((R172-1)*IF(Skills!H11&gt;0,Skills!I11/Skills!H11,1)+IF(Skills!H11&gt;0,MIN(Skills!I11,MAX(0,MAX(0,Inputs!$B$43-B200)-((R172-1)*IF(Inputs!$B$38="pvp",15,MAX(0.1,Skills!D11-IF(TRUE=TRUE,Inputs!$B$32,0))))))/Skills!H11,1)))/Inputs!$B$43),G172*Q172))/N172*IF(Inputs!$B$38="pvp",1,(1-Summary!$B$11)*1+Summary!$B$11*(MIN(Skills!R11,Inputs!$B$37))),0)</f>
        <v/>
      </c>
      <c r="T172">
        <f>IF(C172,(H172*N172*IF(AND(Inputs!$B$38&lt;&gt;"pvp",Inputs!$B$43&gt;0),((Skills!G11*((R172-1)*IF(Skills!H11&gt;0,Skills!I11/Skills!H11,1)+IF(Skills!H11&gt;0,MIN(Skills!I11,MAX(0,MAX(0,Inputs!$B$43-B200)-((R172-1)*IF(Inputs!$B$38="pvp",15,MAX(0.1,Skills!D11-IF(TRUE=TRUE,Inputs!$B$32,0))))))/Skills!H11,1)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Inputs!$B$38&lt;&gt;"pvp",Inputs!$B$43=0),1,IF(IF(Inputs!$B$38="pvp",15,Inputs!$B$43)-(B200)&lt;=0,1,MAX(0,IF(Inputs!$B$38="pvp",15,Inputs!$B$43)-MAX(5,B200))/(IF(Inputs!$B$38="pvp",15,Inputs!$B$43)-(B200)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Skills!I11/Skills!H11,1)+IF(Skills!H11&gt;0,MIN(Skills!I11,MAX(0,MAX(0,Inputs!$B$43-B200)-((R172-1)*IF(Inputs!$B$38="pvp",15,MAX(0.1,Skills!D11-IF(TRUE=TRUE,Inputs!$B$32,0))))))/Skills!H11,1)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Skills!G12*IF(Skills!H12&gt;0,IF(Inputs!$B$38="pvp",MIN(Skills!I12,15),Skills!I12)/Skills!H12,1)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Skills!G13*IF(Skills!H13&gt;0,IF(Inputs!$B$38="pvp",MIN(Skills!I13,15),Skills!I13)/Skills!H13,1)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Skills!G14*IF(Skills!H14&gt;0,IF(Inputs!$B$38="pvp",MIN(Skills!I14,15),Skills!I14)/Skills!H14,1)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Skills!G15*IF(Skills!H15&gt;0,IF(Inputs!$B$38="pvp",MIN(Skills!I15,15),Skills!I15)/Skills!H15,1)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IFERROR(1/IF(Inputs!$B$38="pvp",15,MAX(0.1,Skills!D15-IF(TRUE=TRUE,Inputs!$B$32,0))),0)</f>
        <v/>
      </c>
      <c r="R176">
        <f>IF(AND(Inputs!$B$38&lt;&gt;"pvp",Inputs!$B$43&gt;0),IF(Inputs!$B$43&lt;=0,0,(INT(Inputs!$B$43/IF(Inputs!$B$38="pvp",15,MAX(0.1,Skills!D15-IF(TRUE=TRUE,Inputs!$B$32,0))))+1)),0)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Skills!G16*IF(Skills!H16&gt;0,IF(Inputs!$B$38="pvp",MIN(Skills!I16,15),Skills!I16)/Skills!H16,1)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IFERROR(1/IF(Inputs!$B$38="pvp",15,MAX(0.1,Skills!D16-IF(TRUE=TRUE,Inputs!$B$32,0))),0)</f>
        <v/>
      </c>
      <c r="R177">
        <f>IF(AND(Inputs!$B$38&lt;&gt;"pvp",Inputs!$B$43&gt;0),IF(Inputs!$B$43&lt;=0,0,(INT(Inputs!$B$43/IF(Inputs!$B$38="pvp",15,MAX(0.1,Skills!D16-IF(TRUE=TRUE,Inputs!$B$32,0))))+1)),0)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Skills!G17*IF(Skills!H17&gt;0,IF(Inputs!$B$38="pvp",MIN(Skills!I17,15),Skills!I17)/Skills!H17,1)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Skills!G18*IF(Skills!H18&gt;0,IF(Inputs!$B$38="pvp",MIN(Skills!I18,15),Skills!I18)/Skills!H18,1)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IFERROR(1/IF(Inputs!$B$38="pvp",15,MAX(0.1,Skills!D18-IF(TRUE=TRUE,Inputs!$B$32,0))),0)</f>
        <v/>
      </c>
      <c r="R179">
        <f>IF(AND(Inputs!$B$38&lt;&gt;"pvp",Inputs!$B$43&gt;0),IF(Inputs!$B$43&lt;=0,0,(INT(Inputs!$B$43/IF(Inputs!$B$38="pvp",15,MAX(0.1,Skills!D18-IF(TRUE=TRUE,Inputs!$B$32,0))))+1)),0)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Skills!G19*IF(Skills!H19&gt;0,IF(Inputs!$B$38="pvp",MIN(Skills!I19,15),Skills!I19)/Skills!H19,1)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Skills!G20*IF(Skills!H20&gt;0,IF(Inputs!$B$38="pvp",MIN(Skills!I20,15),Skills!I20)/Skills!H20,1)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Skills!G21*IF(Skills!H21&gt;0,IF(Inputs!$B$38="pvp",MIN(Skills!I21,15),Skills!I21)/Skills!H21,1)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Skills!G22*IF(Skills!H22&gt;0,IF(Inputs!$B$38="pvp",MIN(Skills!I22,15),Skills!I22)/Skills!H22,1)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Skills!G23*IF(Skills!H23&gt;0,IF(Inputs!$B$38="pvp",MIN(Skills!I23,15),Skills!I23)/Skills!H23,1)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Skills!G24*IF(Skills!H24&gt;0,IF(Inputs!$B$38="pvp",MIN(Skills!I24,15),Skills!I24)/Skills!H24,1)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Skills!G25*IF(Skills!H25&gt;0,IF(Inputs!$B$38="pvp",MIN(Skills!I25,15),Skills!I25)/Skills!H25,1)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Skills!G26*IF(Skills!H26&gt;0,IF(Inputs!$B$38="pvp",MIN(Skills!I26,15),Skills!I26)/Skills!H26,1)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Skills!G27*IF(Skills!H27&gt;0,IF(Inputs!$B$38="pvp",MIN(Skills!I27,15),Skills!I27)/Skills!H27,1)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Skills!G28*IF(Skills!H28&gt;0,IF(Inputs!$B$38="pvp",MIN(Skills!I28,15),Skills!I28)/Skills!H28,1)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Skills!G29*IF(Skills!H29&gt;0,IF(Inputs!$B$38="pvp",MIN(Skills!I29,15),Skills!I29)/Skills!H29,1)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MIN((Skills!T15*(1+Inputs!$B$34/100)),(1/Q176))+MIN((Skills!T15*(1+Inputs!$B$34/100)),MAX(0,Inputs!$B$43-((R176-1)*(1/Q176)))))/Inputs!$B$43),IF(Inputs!$B$38="pvp",MIN((Skills!T15*(1+Inputs!$B$34/100)),15)/15,MIN(1,(Skills!T15*(1+Inputs!$B$34/100))/(1/Q176)))))+((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t="n">
        <v>0</v>
      </c>
    </row>
    <row r="194">
      <c r="A194" t="inlineStr">
        <is>
          <t>Attack Speed Buff Bonus %</t>
        </is>
      </c>
      <c r="B194">
        <f>((C179=TRUE)*F179*IF(AND(Inputs!$B$38&lt;&gt;"pvp",Inputs!$B$43&gt;0),(((R179-1)*MIN((Skills!T18*(1+Inputs!$B$34/100)),(1/Q179))+MIN((Skills!T18*(1+Inputs!$B$34/100)),MAX(0,Inputs!$B$43-((R179-1)*(1/Q179)))))/Inputs!$B$43),IF(Inputs!$B$38="pvp",MIN((Skills!T18*(1+Inputs!$B$34/100)),15)/15,MIN(1,(Skills!T18*(1+Inputs!$B$34/100))/(1/Q179)))))</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MIN((Skills!T16*(1+Inputs!$B$34/100)),(1/Q177))+MIN((Skills!T16*(1+Inputs!$B$34/100)),MAX(0,Inputs!$B$43-((R177-1)*(1/Q177)))))/Inputs!$B$43),IF(Inputs!$B$38="pvp",MIN((Skills!T16*(1+Inputs!$B$34/100)),15)/15,MIN(1,(Skills!T16*(1+Inputs!$B$34/100))/(1/Q177))))</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Skills!G2*IF(Skills!H2&gt;0,IF(Inputs!$B$38="pvp",MIN(Skills!I2,15),Skills!I2)/Skills!H2,1)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Skills!G5*IF(Skills!H5&gt;0,IF(Inputs!$B$38="pvp",MIN(Skills!I5,15),Skills!I5)/Skills!H5,1)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IFERROR(1/IF(Inputs!$B$38="pvp",15,MAX(0.1,Skills!D5-IF(TRUE=TRUE,Inputs!$B$32,0))),0)</f>
        <v/>
      </c>
      <c r="R211">
        <f>IF(AND(Inputs!$B$38&lt;&gt;"pvp",Inputs!$B$43&gt;0),IF(MAX(0,Inputs!$B$43-B245)&lt;=0,0,(INT(MAX(0,Inputs!$B$43-B245)/IF(Inputs!$B$38="pvp",15,MAX(0.1,Skills!D5-IF(TRUE=TRUE,Inputs!$B$32,0))))+1)),0)</f>
        <v/>
      </c>
      <c r="S211">
        <f>IFERROR((H211*N211*IF(AND(Inputs!$B$38&lt;&gt;"pvp",Inputs!$B$43&gt;0),((Skills!G5*((R211-1)*IF(Skills!H5&gt;0,Skills!I5/Skills!H5,1)+IF(Skills!H5&gt;0,MIN(Skills!I5,MAX(0,MAX(0,Inputs!$B$43-B245)-((R211-1)*IF(Inputs!$B$38="pvp",15,MAX(0.1,Skills!D5-IF(TRUE=TRUE,Inputs!$B$32,0))))))/Skills!H5,1)))/Inputs!$B$43),G211*Q211))/N211*IF(Inputs!$B$38="pvp",1,(1-Summary!$B$11)*1+Summary!$B$11*(MIN(Skills!R5,Inputs!$B$37))),0)</f>
        <v/>
      </c>
      <c r="T211">
        <f>IF(C211,(H211*N211*IF(AND(Inputs!$B$38&lt;&gt;"pvp",Inputs!$B$43&gt;0),((Skills!G5*((R211-1)*IF(Skills!H5&gt;0,Skills!I5/Skills!H5,1)+IF(Skills!H5&gt;0,MIN(Skills!I5,MAX(0,MAX(0,Inputs!$B$43-B245)-((R211-1)*IF(Inputs!$B$38="pvp",15,MAX(0.1,Skills!D5-IF(TRUE=TRUE,Inputs!$B$32,0))))))/Skills!H5,1)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Skills!I5/Skills!H5,1)+IF(Skills!H5&gt;0,MIN(Skills!I5,MAX(0,MAX(0,Inputs!$B$43-B245)-((R211-1)*IF(Inputs!$B$38="pvp",15,MAX(0.1,Skills!D5-IF(TRUE=TRUE,Inputs!$B$32,0))))))/Skills!H5,1)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Skills!G6*IF(Skills!H6&gt;0,IF(Inputs!$B$38="pvp",MIN(Skills!I6,15),Skills!I6)/Skills!H6,1)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IFERROR(1/IF(Inputs!$B$38="pvp",15,MAX(0.1,Skills!D6-IF(TRUE=TRUE,Inputs!$B$32,0))),0)</f>
        <v/>
      </c>
      <c r="R212">
        <f>IF(AND(Inputs!$B$38&lt;&gt;"pvp",Inputs!$B$43&gt;0),IF(MAX(0,Inputs!$B$43-B245)&lt;=0,0,(INT(MAX(0,Inputs!$B$43-B245)/IF(Inputs!$B$38="pvp",15,MAX(0.1,Skills!D6-IF(TRUE=TRUE,Inputs!$B$32,0))))+1)),0)</f>
        <v/>
      </c>
      <c r="S212">
        <f>IFERROR((H212*N212*IF(AND(Inputs!$B$38&lt;&gt;"pvp",Inputs!$B$43&gt;0),((Skills!G6*((R212-1)*IF(Skills!H6&gt;0,Skills!I6/Skills!H6,1)+IF(Skills!H6&gt;0,MIN(Skills!I6,MAX(0,MAX(0,Inputs!$B$43-B245)-((R212-1)*IF(Inputs!$B$38="pvp",15,MAX(0.1,Skills!D6-IF(TRUE=TRUE,Inputs!$B$32,0))))))/Skills!H6,1)))/Inputs!$B$43),G212*Q212))/N212*IF(Inputs!$B$38="pvp",1,(1-Summary!$B$11)*1+Summary!$B$11*(MIN(Skills!R6,Inputs!$B$37))),0)</f>
        <v/>
      </c>
      <c r="T212">
        <f>IF(C212,(H212*N212*IF(AND(Inputs!$B$38&lt;&gt;"pvp",Inputs!$B$43&gt;0),((Skills!G6*((R212-1)*IF(Skills!H6&gt;0,Skills!I6/Skills!H6,1)+IF(Skills!H6&gt;0,MIN(Skills!I6,MAX(0,MAX(0,Inputs!$B$43-B245)-((R212-1)*IF(Inputs!$B$38="pvp",15,MAX(0.1,Skills!D6-IF(TRUE=TRUE,Inputs!$B$32,0)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245)-((R212-1)*IF(Inputs!$B$38="pvp",15,MAX(0.1,Skills!D6-IF(TRUE=TRUE,Inputs!$B$32,0))))))/Skills!H6,1)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Skills!G7*IF(Skills!H7&gt;0,IF(Inputs!$B$38="pvp",MIN(Skills!I7,15),Skills!I7)/Skills!H7,1)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IFERROR(1/IF(Inputs!$B$38="pvp",15,MAX(0.1,Skills!D7-IF(TRUE=TRUE,Inputs!$B$32,0))),0)</f>
        <v/>
      </c>
      <c r="R213">
        <f>IF(AND(Inputs!$B$38&lt;&gt;"pvp",Inputs!$B$43&gt;0),IF(MAX(0,Inputs!$B$43-B245)&lt;=0,0,(INT(MAX(0,Inputs!$B$43-B245)/IF(Inputs!$B$38="pvp",15,MAX(0.1,Skills!D7-IF(TRUE=TRUE,Inputs!$B$32,0))))+1)),0)</f>
        <v/>
      </c>
      <c r="S213">
        <f>IFERROR((H213*N213*IF(AND(Inputs!$B$38&lt;&gt;"pvp",Inputs!$B$43&gt;0),((Skills!G7*((R213-1)*IF(Skills!H7&gt;0,Skills!I7/Skills!H7,1)+IF(Skills!H7&gt;0,MIN(Skills!I7,MAX(0,MAX(0,Inputs!$B$43-B245)-((R213-1)*IF(Inputs!$B$38="pvp",15,MAX(0.1,Skills!D7-IF(TRUE=TRUE,Inputs!$B$32,0))))))/Skills!H7,1)))/Inputs!$B$43),G213*Q213))/N213*IF(Inputs!$B$38="pvp",1,(1-Summary!$B$11)*1+Summary!$B$11*(MIN(Skills!R7,Inputs!$B$37))),0)</f>
        <v/>
      </c>
      <c r="T213">
        <f>IF(C213,(H213*N213*IF(AND(Inputs!$B$38&lt;&gt;"pvp",Inputs!$B$43&gt;0),((Skills!G7*((R213-1)*IF(Skills!H7&gt;0,Skills!I7/Skills!H7,1)+IF(Skills!H7&gt;0,MIN(Skills!I7,MAX(0,MAX(0,Inputs!$B$43-B245)-((R213-1)*IF(Inputs!$B$38="pvp",15,MAX(0.1,Skills!D7-IF(TRUE=TRUE,Inputs!$B$32,0)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245)-((R213-1)*IF(Inputs!$B$38="pvp",15,MAX(0.1,Skills!D7-IF(TRUE=TRUE,Inputs!$B$32,0))))))/Skills!H7,1)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Skills!G9*IF(Skills!H9&gt;0,IF(Inputs!$B$38="pvp",MIN(Skills!I9,15),Skills!I9)/Skills!H9,1)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IFERROR(1/IF(Inputs!$B$38="pvp",15,MAX(0.1,Skills!D9-IF(TRUE=TRUE,Inputs!$B$32,0))),0)</f>
        <v/>
      </c>
      <c r="R215">
        <f>IF(AND(Inputs!$B$38&lt;&gt;"pvp",Inputs!$B$43&gt;0),IF(MAX(0,Inputs!$B$43-B245)&lt;=0,0,(INT(MAX(0,Inputs!$B$43-B245)/IF(Inputs!$B$38="pvp",15,MAX(0.1,Skills!D9-IF(TRUE=TRUE,Inputs!$B$32,0))))+1)),0)</f>
        <v/>
      </c>
      <c r="S215">
        <f>IFERROR((H215*N215*IF(AND(Inputs!$B$38&lt;&gt;"pvp",Inputs!$B$43&gt;0),((Skills!G9*((R215-1)*IF(Skills!H9&gt;0,Skills!I9/Skills!H9,1)+IF(Skills!H9&gt;0,MIN(Skills!I9,MAX(0,MAX(0,Inputs!$B$43-B245)-((R215-1)*IF(Inputs!$B$38="pvp",15,MAX(0.1,Skills!D9-IF(TRUE=TRUE,Inputs!$B$32,0))))))/Skills!H9,1)))/Inputs!$B$43),G215*Q215))/N215*IF(Inputs!$B$38="pvp",1,(1-Summary!$B$11)*1+Summary!$B$11*(MIN(Skills!R9,Inputs!$B$37))),0)</f>
        <v/>
      </c>
      <c r="T215">
        <f>IF(C215,(H215*N215*IF(AND(Inputs!$B$38&lt;&gt;"pvp",Inputs!$B$43&gt;0),((Skills!G9*((R215-1)*IF(Skills!H9&gt;0,Skills!I9/Skills!H9,1)+IF(Skills!H9&gt;0,MIN(Skills!I9,MAX(0,MAX(0,Inputs!$B$43-B245)-((R215-1)*IF(Inputs!$B$38="pvp",15,MAX(0.1,Skills!D9-IF(TRUE=TRUE,Inputs!$B$32,0)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245)-((R215-1)*IF(Inputs!$B$38="pvp",15,MAX(0.1,Skills!D9-IF(TRUE=TRUE,Inputs!$B$32,0))))))/Skills!H9,1)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Skills!G10*IF(Skills!H10&gt;0,IF(Inputs!$B$38="pvp",MIN(Skills!I10,15),Skills!I10)/Skills!H10,1)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Skills!G11*IF(Skills!H11&gt;0,IF(Inputs!$B$38="pvp",MIN(Skills!I11,15),Skills!I11)/Skills!H11,1)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IFERROR(1/IF(Inputs!$B$38="pvp",15,MAX(0.1,Skills!D11-IF(TRUE=TRUE,Inputs!$B$32,0))),0)</f>
        <v/>
      </c>
      <c r="R217">
        <f>IF(AND(Inputs!$B$38&lt;&gt;"pvp",Inputs!$B$43&gt;0),IF(MAX(0,Inputs!$B$43-B245)&lt;=0,0,(INT(MAX(0,Inputs!$B$43-B245)/IF(Inputs!$B$38="pvp",15,MAX(0.1,Skills!D11-IF(TRUE=TRUE,Inputs!$B$32,0))))+1)),0)</f>
        <v/>
      </c>
      <c r="S217">
        <f>IFERROR((H217*N217*IF(AND(Inputs!$B$38&lt;&gt;"pvp",Inputs!$B$43&gt;0),((Skills!G11*((R217-1)*IF(Skills!H11&gt;0,Skills!I11/Skills!H11,1)+IF(Skills!H11&gt;0,MIN(Skills!I11,MAX(0,MAX(0,Inputs!$B$43-B245)-((R217-1)*IF(Inputs!$B$38="pvp",15,MAX(0.1,Skills!D11-IF(TRUE=TRUE,Inputs!$B$32,0))))))/Skills!H11,1)))/Inputs!$B$43),G217*Q217))/N217*IF(Inputs!$B$38="pvp",1,(1-Summary!$B$11)*1+Summary!$B$11*(MIN(Skills!R11,Inputs!$B$37))),0)</f>
        <v/>
      </c>
      <c r="T217">
        <f>IF(C217,(H217*N217*IF(AND(Inputs!$B$38&lt;&gt;"pvp",Inputs!$B$43&gt;0),((Skills!G11*((R217-1)*IF(Skills!H11&gt;0,Skills!I11/Skills!H11,1)+IF(Skills!H11&gt;0,MIN(Skills!I11,MAX(0,MAX(0,Inputs!$B$43-B245)-((R217-1)*IF(Inputs!$B$38="pvp",15,MAX(0.1,Skills!D11-IF(TRUE=TRUE,Inputs!$B$32,0))))))/Skills!H11,1)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Inputs!$B$38&lt;&gt;"pvp",Inputs!$B$43=0),1,IF(IF(Inputs!$B$38="pvp",15,Inputs!$B$43)-(B245)&lt;=0,1,MAX(0,IF(Inputs!$B$38="pvp",15,Inputs!$B$43)-MAX(5,B245))/(IF(Inputs!$B$38="pvp",15,Inputs!$B$43)-(B245))))*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Skills!I11/Skills!H11,1)+IF(Skills!H11&gt;0,MIN(Skills!I11,MAX(0,MAX(0,Inputs!$B$43-B245)-((R217-1)*IF(Inputs!$B$38="pvp",15,MAX(0.1,Skills!D11-IF(TRUE=TRUE,Inputs!$B$32,0))))))/Skills!H11,1)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Skills!G12*IF(Skills!H12&gt;0,IF(Inputs!$B$38="pvp",MIN(Skills!I12,15),Skills!I12)/Skills!H12,1)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Skills!G13*IF(Skills!H13&gt;0,IF(Inputs!$B$38="pvp",MIN(Skills!I13,15),Skills!I13)/Skills!H13,1)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Skills!G14*IF(Skills!H14&gt;0,IF(Inputs!$B$38="pvp",MIN(Skills!I14,15),Skills!I14)/Skills!H14,1)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Skills!G15*IF(Skills!H15&gt;0,IF(Inputs!$B$38="pvp",MIN(Skills!I15,15),Skills!I15)/Skills!H15,1)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IFERROR(1/IF(Inputs!$B$38="pvp",15,MAX(0.1,Skills!D15-IF(TRUE=TRUE,Inputs!$B$32,0))),0)</f>
        <v/>
      </c>
      <c r="R221">
        <f>IF(AND(Inputs!$B$38&lt;&gt;"pvp",Inputs!$B$43&gt;0),IF(Inputs!$B$43&lt;=0,0,(INT(Inputs!$B$43/IF(Inputs!$B$38="pvp",15,MAX(0.1,Skills!D15-IF(TRUE=TRUE,Inputs!$B$32,0))))+1)),0)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Skills!G16*IF(Skills!H16&gt;0,IF(Inputs!$B$38="pvp",MIN(Skills!I16,15),Skills!I16)/Skills!H16,1)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IFERROR(1/IF(Inputs!$B$38="pvp",15,MAX(0.1,Skills!D16-IF(TRUE=TRUE,Inputs!$B$32,0))),0)</f>
        <v/>
      </c>
      <c r="R222">
        <f>IF(AND(Inputs!$B$38&lt;&gt;"pvp",Inputs!$B$43&gt;0),IF(Inputs!$B$43&lt;=0,0,(INT(Inputs!$B$43/IF(Inputs!$B$38="pvp",15,MAX(0.1,Skills!D16-IF(TRUE=TRUE,Inputs!$B$32,0))))+1)),0)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Skills!G17*IF(Skills!H17&gt;0,IF(Inputs!$B$38="pvp",MIN(Skills!I17,15),Skills!I17)/Skills!H17,1)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Skills!G18*IF(Skills!H18&gt;0,IF(Inputs!$B$38="pvp",MIN(Skills!I18,15),Skills!I18)/Skills!H18,1)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IFERROR(1/IF(Inputs!$B$38="pvp",15,MAX(0.1,Skills!D18-IF(TRUE=TRUE,Inputs!$B$32,0))),0)</f>
        <v/>
      </c>
      <c r="R224">
        <f>IF(AND(Inputs!$B$38&lt;&gt;"pvp",Inputs!$B$43&gt;0),IF(Inputs!$B$43&lt;=0,0,(INT(Inputs!$B$43/IF(Inputs!$B$38="pvp",15,MAX(0.1,Skills!D18-IF(TRUE=TRUE,Inputs!$B$32,0))))+1)),0)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Skills!G19*IF(Skills!H19&gt;0,IF(Inputs!$B$38="pvp",MIN(Skills!I19,15),Skills!I19)/Skills!H19,1)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Skills!G20*IF(Skills!H20&gt;0,IF(Inputs!$B$38="pvp",MIN(Skills!I20,15),Skills!I20)/Skills!H20,1)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Skills!G21*IF(Skills!H21&gt;0,IF(Inputs!$B$38="pvp",MIN(Skills!I21,15),Skills!I21)/Skills!H21,1)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Skills!G22*IF(Skills!H22&gt;0,IF(Inputs!$B$38="pvp",MIN(Skills!I22,15),Skills!I22)/Skills!H22,1)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Skills!G23*IF(Skills!H23&gt;0,IF(Inputs!$B$38="pvp",MIN(Skills!I23,15),Skills!I23)/Skills!H23,1)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Skills!G24*IF(Skills!H24&gt;0,IF(Inputs!$B$38="pvp",MIN(Skills!I24,15),Skills!I24)/Skills!H24,1)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Skills!G25*IF(Skills!H25&gt;0,IF(Inputs!$B$38="pvp",MIN(Skills!I25,15),Skills!I25)/Skills!H25,1)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Skills!G26*IF(Skills!H26&gt;0,IF(Inputs!$B$38="pvp",MIN(Skills!I26,15),Skills!I26)/Skills!H26,1)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Skills!G27*IF(Skills!H27&gt;0,IF(Inputs!$B$38="pvp",MIN(Skills!I27,15),Skills!I27)/Skills!H27,1)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Skills!G28*IF(Skills!H28&gt;0,IF(Inputs!$B$38="pvp",MIN(Skills!I28,15),Skills!I28)/Skills!H28,1)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Skills!G29*IF(Skills!H29&gt;0,IF(Inputs!$B$38="pvp",MIN(Skills!I29,15),Skills!I29)/Skills!H29,1)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MIN((Skills!T15*(1+Inputs!$B$34/100)),(1/Q221))+MIN((Skills!T15*(1+Inputs!$B$34/100)),MAX(0,Inputs!$B$43-((R221-1)*(1/Q221)))))/Inputs!$B$43),IF(Inputs!$B$38="pvp",MIN((Skills!T15*(1+Inputs!$B$34/100)),15)/15,MIN(1,(Skills!T15*(1+Inputs!$B$34/100))/(1/Q221)))))+((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t="n">
        <v>0</v>
      </c>
    </row>
    <row r="239">
      <c r="A239" t="inlineStr">
        <is>
          <t>Attack Speed Buff Bonus %</t>
        </is>
      </c>
      <c r="B239">
        <f>((C224=TRUE)*F224*IF(AND(Inputs!$B$38&lt;&gt;"pvp",Inputs!$B$43&gt;0),(((R224-1)*MIN((Skills!T18*(1+Inputs!$B$34/100)),(1/Q224))+MIN((Skills!T18*(1+Inputs!$B$34/100)),MAX(0,Inputs!$B$43-((R224-1)*(1/Q224)))))/Inputs!$B$43),IF(Inputs!$B$38="pvp",MIN((Skills!T18*(1+Inputs!$B$34/100)),15)/15,MIN(1,(Skills!T18*(1+Inputs!$B$34/100))/(1/Q224)))))</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MIN((Skills!T16*(1+Inputs!$B$34/100)),(1/Q222))+MIN((Skills!T16*(1+Inputs!$B$34/100)),MAX(0,Inputs!$B$43-((R222-1)*(1/Q222)))))/Inputs!$B$43),IF(Inputs!$B$38="pvp",MIN((Skills!T16*(1+Inputs!$B$34/100)),15)/15,MIN(1,(Skills!T16*(1+Inputs!$B$34/100))/(1/Q222))))</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Skills!G2*IF(Skills!H2&gt;0,IF(Inputs!$B$38="pvp",MIN(Skills!I2,15),Skills!I2)/Skills!H2,1)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Skills!G5*IF(Skills!H5&gt;0,IF(Inputs!$B$38="pvp",MIN(Skills!I5,15),Skills!I5)/Skills!H5,1)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IFERROR(1/IF(Inputs!$B$38="pvp",15,MAX(0.1,Skills!D5-IF(TRUE=TRUE,Inputs!$B$32,0))),0)</f>
        <v/>
      </c>
      <c r="R256">
        <f>IF(AND(Inputs!$B$38&lt;&gt;"pvp",Inputs!$B$43&gt;0),IF(MAX(0,Inputs!$B$43-B290)&lt;=0,0,(INT(MAX(0,Inputs!$B$43-B290)/IF(Inputs!$B$38="pvp",15,MAX(0.1,Skills!D5-IF(TRUE=TRUE,Inputs!$B$32,0))))+1)),0)</f>
        <v/>
      </c>
      <c r="S256">
        <f>IFERROR((H256*N256*IF(AND(Inputs!$B$38&lt;&gt;"pvp",Inputs!$B$43&gt;0),((Skills!G5*((R256-1)*IF(Skills!H5&gt;0,Skills!I5/Skills!H5,1)+IF(Skills!H5&gt;0,MIN(Skills!I5,MAX(0,MAX(0,Inputs!$B$43-B290)-((R256-1)*IF(Inputs!$B$38="pvp",15,MAX(0.1,Skills!D5-IF(TRUE=TRUE,Inputs!$B$32,0))))))/Skills!H5,1)))/Inputs!$B$43),G256*Q256))/N256*IF(Inputs!$B$38="pvp",1,(1-Summary!$B$11)*1+Summary!$B$11*(MIN(Skills!R5,Inputs!$B$37))),0)</f>
        <v/>
      </c>
      <c r="T256">
        <f>IF(C256,(H256*N256*IF(AND(Inputs!$B$38&lt;&gt;"pvp",Inputs!$B$43&gt;0),((Skills!G5*((R256-1)*IF(Skills!H5&gt;0,Skills!I5/Skills!H5,1)+IF(Skills!H5&gt;0,MIN(Skills!I5,MAX(0,MAX(0,Inputs!$B$43-B290)-((R256-1)*IF(Inputs!$B$38="pvp",15,MAX(0.1,Skills!D5-IF(TRUE=TRUE,Inputs!$B$32,0))))))/Skills!H5,1)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Skills!I5/Skills!H5,1)+IF(Skills!H5&gt;0,MIN(Skills!I5,MAX(0,MAX(0,Inputs!$B$43-B290)-((R256-1)*IF(Inputs!$B$38="pvp",15,MAX(0.1,Skills!D5-IF(TRUE=TRUE,Inputs!$B$32,0))))))/Skills!H5,1)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Skills!G6*IF(Skills!H6&gt;0,IF(Inputs!$B$38="pvp",MIN(Skills!I6,15),Skills!I6)/Skills!H6,1)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IFERROR(1/IF(Inputs!$B$38="pvp",15,MAX(0.1,Skills!D6-IF(TRUE=TRUE,Inputs!$B$32,0))),0)</f>
        <v/>
      </c>
      <c r="R257">
        <f>IF(AND(Inputs!$B$38&lt;&gt;"pvp",Inputs!$B$43&gt;0),IF(MAX(0,Inputs!$B$43-B290)&lt;=0,0,(INT(MAX(0,Inputs!$B$43-B290)/IF(Inputs!$B$38="pvp",15,MAX(0.1,Skills!D6-IF(TRUE=TRUE,Inputs!$B$32,0))))+1)),0)</f>
        <v/>
      </c>
      <c r="S257">
        <f>IFERROR((H257*N257*IF(AND(Inputs!$B$38&lt;&gt;"pvp",Inputs!$B$43&gt;0),((Skills!G6*((R257-1)*IF(Skills!H6&gt;0,Skills!I6/Skills!H6,1)+IF(Skills!H6&gt;0,MIN(Skills!I6,MAX(0,MAX(0,Inputs!$B$43-B290)-((R257-1)*IF(Inputs!$B$38="pvp",15,MAX(0.1,Skills!D6-IF(TRUE=TRUE,Inputs!$B$32,0))))))/Skills!H6,1)))/Inputs!$B$43),G257*Q257))/N257*IF(Inputs!$B$38="pvp",1,(1-Summary!$B$11)*1+Summary!$B$11*(MIN(Skills!R6,Inputs!$B$37))),0)</f>
        <v/>
      </c>
      <c r="T257">
        <f>IF(C257,(H257*N257*IF(AND(Inputs!$B$38&lt;&gt;"pvp",Inputs!$B$43&gt;0),((Skills!G6*((R257-1)*IF(Skills!H6&gt;0,Skills!I6/Skills!H6,1)+IF(Skills!H6&gt;0,MIN(Skills!I6,MAX(0,MAX(0,Inputs!$B$43-B290)-((R257-1)*IF(Inputs!$B$38="pvp",15,MAX(0.1,Skills!D6-IF(TRUE=TRUE,Inputs!$B$32,0)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290)-((R257-1)*IF(Inputs!$B$38="pvp",15,MAX(0.1,Skills!D6-IF(TRUE=TRUE,Inputs!$B$32,0))))))/Skills!H6,1)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Skills!G7*IF(Skills!H7&gt;0,IF(Inputs!$B$38="pvp",MIN(Skills!I7,15),Skills!I7)/Skills!H7,1)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IFERROR(1/IF(Inputs!$B$38="pvp",15,MAX(0.1,Skills!D7-IF(TRUE=TRUE,Inputs!$B$32,0))),0)</f>
        <v/>
      </c>
      <c r="R258">
        <f>IF(AND(Inputs!$B$38&lt;&gt;"pvp",Inputs!$B$43&gt;0),IF(MAX(0,Inputs!$B$43-B290)&lt;=0,0,(INT(MAX(0,Inputs!$B$43-B290)/IF(Inputs!$B$38="pvp",15,MAX(0.1,Skills!D7-IF(TRUE=TRUE,Inputs!$B$32,0))))+1)),0)</f>
        <v/>
      </c>
      <c r="S258">
        <f>IFERROR((H258*N258*IF(AND(Inputs!$B$38&lt;&gt;"pvp",Inputs!$B$43&gt;0),((Skills!G7*((R258-1)*IF(Skills!H7&gt;0,Skills!I7/Skills!H7,1)+IF(Skills!H7&gt;0,MIN(Skills!I7,MAX(0,MAX(0,Inputs!$B$43-B290)-((R258-1)*IF(Inputs!$B$38="pvp",15,MAX(0.1,Skills!D7-IF(TRUE=TRUE,Inputs!$B$32,0))))))/Skills!H7,1)))/Inputs!$B$43),G258*Q258))/N258*IF(Inputs!$B$38="pvp",1,(1-Summary!$B$11)*1+Summary!$B$11*(MIN(Skills!R7,Inputs!$B$37))),0)</f>
        <v/>
      </c>
      <c r="T258">
        <f>IF(C258,(H258*N258*IF(AND(Inputs!$B$38&lt;&gt;"pvp",Inputs!$B$43&gt;0),((Skills!G7*((R258-1)*IF(Skills!H7&gt;0,Skills!I7/Skills!H7,1)+IF(Skills!H7&gt;0,MIN(Skills!I7,MAX(0,MAX(0,Inputs!$B$43-B290)-((R258-1)*IF(Inputs!$B$38="pvp",15,MAX(0.1,Skills!D7-IF(TRUE=TRUE,Inputs!$B$32,0)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290)-((R258-1)*IF(Inputs!$B$38="pvp",15,MAX(0.1,Skills!D7-IF(TRUE=TRUE,Inputs!$B$32,0))))))/Skills!H7,1)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Skills!G9*IF(Skills!H9&gt;0,IF(Inputs!$B$38="pvp",MIN(Skills!I9,15),Skills!I9)/Skills!H9,1)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IFERROR(1/IF(Inputs!$B$38="pvp",15,MAX(0.1,Skills!D9-IF(TRUE=TRUE,Inputs!$B$32,0))),0)</f>
        <v/>
      </c>
      <c r="R260">
        <f>IF(AND(Inputs!$B$38&lt;&gt;"pvp",Inputs!$B$43&gt;0),IF(MAX(0,Inputs!$B$43-B290)&lt;=0,0,(INT(MAX(0,Inputs!$B$43-B290)/IF(Inputs!$B$38="pvp",15,MAX(0.1,Skills!D9-IF(TRUE=TRUE,Inputs!$B$32,0))))+1)),0)</f>
        <v/>
      </c>
      <c r="S260">
        <f>IFERROR((H260*N260*IF(AND(Inputs!$B$38&lt;&gt;"pvp",Inputs!$B$43&gt;0),((Skills!G9*((R260-1)*IF(Skills!H9&gt;0,Skills!I9/Skills!H9,1)+IF(Skills!H9&gt;0,MIN(Skills!I9,MAX(0,MAX(0,Inputs!$B$43-B290)-((R260-1)*IF(Inputs!$B$38="pvp",15,MAX(0.1,Skills!D9-IF(TRUE=TRUE,Inputs!$B$32,0))))))/Skills!H9,1)))/Inputs!$B$43),G260*Q260))/N260*IF(Inputs!$B$38="pvp",1,(1-Summary!$B$11)*1+Summary!$B$11*(MIN(Skills!R9,Inputs!$B$37))),0)</f>
        <v/>
      </c>
      <c r="T260">
        <f>IF(C260,(H260*N260*IF(AND(Inputs!$B$38&lt;&gt;"pvp",Inputs!$B$43&gt;0),((Skills!G9*((R260-1)*IF(Skills!H9&gt;0,Skills!I9/Skills!H9,1)+IF(Skills!H9&gt;0,MIN(Skills!I9,MAX(0,MAX(0,Inputs!$B$43-B290)-((R260-1)*IF(Inputs!$B$38="pvp",15,MAX(0.1,Skills!D9-IF(TRUE=TRUE,Inputs!$B$32,0)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290)-((R260-1)*IF(Inputs!$B$38="pvp",15,MAX(0.1,Skills!D9-IF(TRUE=TRUE,Inputs!$B$32,0))))))/Skills!H9,1)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Skills!G10*IF(Skills!H10&gt;0,IF(Inputs!$B$38="pvp",MIN(Skills!I10,15),Skills!I10)/Skills!H10,1)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Skills!G11*IF(Skills!H11&gt;0,IF(Inputs!$B$38="pvp",MIN(Skills!I11,15),Skills!I11)/Skills!H11,1)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IFERROR(1/IF(Inputs!$B$38="pvp",15,MAX(0.1,Skills!D11-IF(TRUE=TRUE,Inputs!$B$32,0))),0)</f>
        <v/>
      </c>
      <c r="R262">
        <f>IF(AND(Inputs!$B$38&lt;&gt;"pvp",Inputs!$B$43&gt;0),IF(MAX(0,Inputs!$B$43-B290)&lt;=0,0,(INT(MAX(0,Inputs!$B$43-B290)/IF(Inputs!$B$38="pvp",15,MAX(0.1,Skills!D11-IF(TRUE=TRUE,Inputs!$B$32,0))))+1)),0)</f>
        <v/>
      </c>
      <c r="S262">
        <f>IFERROR((H262*N262*IF(AND(Inputs!$B$38&lt;&gt;"pvp",Inputs!$B$43&gt;0),((Skills!G11*((R262-1)*IF(Skills!H11&gt;0,Skills!I11/Skills!H11,1)+IF(Skills!H11&gt;0,MIN(Skills!I11,MAX(0,MAX(0,Inputs!$B$43-B290)-((R262-1)*IF(Inputs!$B$38="pvp",15,MAX(0.1,Skills!D11-IF(TRUE=TRUE,Inputs!$B$32,0))))))/Skills!H11,1)))/Inputs!$B$43),G262*Q262))/N262*IF(Inputs!$B$38="pvp",1,(1-Summary!$B$11)*1+Summary!$B$11*(MIN(Skills!R11,Inputs!$B$37))),0)</f>
        <v/>
      </c>
      <c r="T262">
        <f>IF(C262,(H262*N262*IF(AND(Inputs!$B$38&lt;&gt;"pvp",Inputs!$B$43&gt;0),((Skills!G11*((R262-1)*IF(Skills!H11&gt;0,Skills!I11/Skills!H11,1)+IF(Skills!H11&gt;0,MIN(Skills!I11,MAX(0,MAX(0,Inputs!$B$43-B290)-((R262-1)*IF(Inputs!$B$38="pvp",15,MAX(0.1,Skills!D11-IF(TRUE=TRUE,Inputs!$B$32,0))))))/Skills!H11,1)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Inputs!$B$38&lt;&gt;"pvp",Inputs!$B$43=0),1,IF(IF(Inputs!$B$38="pvp",15,Inputs!$B$43)-(B290)&lt;=0,1,MAX(0,IF(Inputs!$B$38="pvp",15,Inputs!$B$43)-MAX(5,B290))/(IF(Inputs!$B$38="pvp",15,Inputs!$B$43)-(B290)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Skills!I11/Skills!H11,1)+IF(Skills!H11&gt;0,MIN(Skills!I11,MAX(0,MAX(0,Inputs!$B$43-B290)-((R262-1)*IF(Inputs!$B$38="pvp",15,MAX(0.1,Skills!D11-IF(TRUE=TRUE,Inputs!$B$32,0))))))/Skills!H11,1)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Skills!G12*IF(Skills!H12&gt;0,IF(Inputs!$B$38="pvp",MIN(Skills!I12,15),Skills!I12)/Skills!H12,1)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Skills!G13*IF(Skills!H13&gt;0,IF(Inputs!$B$38="pvp",MIN(Skills!I13,15),Skills!I13)/Skills!H13,1)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Skills!G14*IF(Skills!H14&gt;0,IF(Inputs!$B$38="pvp",MIN(Skills!I14,15),Skills!I14)/Skills!H14,1)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Skills!G15*IF(Skills!H15&gt;0,IF(Inputs!$B$38="pvp",MIN(Skills!I15,15),Skills!I15)/Skills!H15,1)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IFERROR(1/IF(Inputs!$B$38="pvp",15,MAX(0.1,Skills!D15-IF(TRUE=TRUE,Inputs!$B$32,0))),0)</f>
        <v/>
      </c>
      <c r="R266">
        <f>IF(AND(Inputs!$B$38&lt;&gt;"pvp",Inputs!$B$43&gt;0),IF(Inputs!$B$43&lt;=0,0,(INT(Inputs!$B$43/IF(Inputs!$B$38="pvp",15,MAX(0.1,Skills!D15-IF(TRUE=TRUE,Inputs!$B$32,0))))+1)),0)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Skills!G16*IF(Skills!H16&gt;0,IF(Inputs!$B$38="pvp",MIN(Skills!I16,15),Skills!I16)/Skills!H16,1)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IFERROR(1/IF(Inputs!$B$38="pvp",15,MAX(0.1,Skills!D16-IF(TRUE=TRUE,Inputs!$B$32,0))),0)</f>
        <v/>
      </c>
      <c r="R267">
        <f>IF(AND(Inputs!$B$38&lt;&gt;"pvp",Inputs!$B$43&gt;0),IF(Inputs!$B$43&lt;=0,0,(INT(Inputs!$B$43/IF(Inputs!$B$38="pvp",15,MAX(0.1,Skills!D16-IF(TRUE=TRUE,Inputs!$B$32,0))))+1)),0)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Skills!G17*IF(Skills!H17&gt;0,IF(Inputs!$B$38="pvp",MIN(Skills!I17,15),Skills!I17)/Skills!H17,1)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Skills!G18*IF(Skills!H18&gt;0,IF(Inputs!$B$38="pvp",MIN(Skills!I18,15),Skills!I18)/Skills!H18,1)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IFERROR(1/IF(Inputs!$B$38="pvp",15,MAX(0.1,Skills!D18-IF(TRUE=TRUE,Inputs!$B$32,0))),0)</f>
        <v/>
      </c>
      <c r="R269">
        <f>IF(AND(Inputs!$B$38&lt;&gt;"pvp",Inputs!$B$43&gt;0),IF(Inputs!$B$43&lt;=0,0,(INT(Inputs!$B$43/IF(Inputs!$B$38="pvp",15,MAX(0.1,Skills!D18-IF(TRUE=TRUE,Inputs!$B$32,0))))+1)),0)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Skills!G19*IF(Skills!H19&gt;0,IF(Inputs!$B$38="pvp",MIN(Skills!I19,15),Skills!I19)/Skills!H19,1)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Skills!G20*IF(Skills!H20&gt;0,IF(Inputs!$B$38="pvp",MIN(Skills!I20,15),Skills!I20)/Skills!H20,1)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Skills!G21*IF(Skills!H21&gt;0,IF(Inputs!$B$38="pvp",MIN(Skills!I21,15),Skills!I21)/Skills!H21,1)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Skills!G22*IF(Skills!H22&gt;0,IF(Inputs!$B$38="pvp",MIN(Skills!I22,15),Skills!I22)/Skills!H22,1)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Skills!G23*IF(Skills!H23&gt;0,IF(Inputs!$B$38="pvp",MIN(Skills!I23,15),Skills!I23)/Skills!H23,1)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Skills!G24*IF(Skills!H24&gt;0,IF(Inputs!$B$38="pvp",MIN(Skills!I24,15),Skills!I24)/Skills!H24,1)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Skills!G25*IF(Skills!H25&gt;0,IF(Inputs!$B$38="pvp",MIN(Skills!I25,15),Skills!I25)/Skills!H25,1)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Skills!G26*IF(Skills!H26&gt;0,IF(Inputs!$B$38="pvp",MIN(Skills!I26,15),Skills!I26)/Skills!H26,1)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Skills!G27*IF(Skills!H27&gt;0,IF(Inputs!$B$38="pvp",MIN(Skills!I27,15),Skills!I27)/Skills!H27,1)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Skills!G28*IF(Skills!H28&gt;0,IF(Inputs!$B$38="pvp",MIN(Skills!I28,15),Skills!I28)/Skills!H28,1)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Skills!G29*IF(Skills!H29&gt;0,IF(Inputs!$B$38="pvp",MIN(Skills!I29,15),Skills!I29)/Skills!H29,1)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MIN((Skills!T15*(1+Inputs!$B$34/100)),(1/Q266))+MIN((Skills!T15*(1+Inputs!$B$34/100)),MAX(0,Inputs!$B$43-((R266-1)*(1/Q266)))))/Inputs!$B$43),IF(Inputs!$B$38="pvp",MIN((Skills!T15*(1+Inputs!$B$34/100)),15)/15,MIN(1,(Skills!T15*(1+Inputs!$B$34/100))/(1/Q266)))))+((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t="n">
        <v>0</v>
      </c>
    </row>
    <row r="284">
      <c r="A284" t="inlineStr">
        <is>
          <t>Attack Speed Buff Bonus %</t>
        </is>
      </c>
      <c r="B284">
        <f>((C269=TRUE)*F269*IF(AND(Inputs!$B$38&lt;&gt;"pvp",Inputs!$B$43&gt;0),(((R269-1)*MIN((Skills!T18*(1+Inputs!$B$34/100)),(1/Q269))+MIN((Skills!T18*(1+Inputs!$B$34/100)),MAX(0,Inputs!$B$43-((R269-1)*(1/Q269)))))/Inputs!$B$43),IF(Inputs!$B$38="pvp",MIN((Skills!T18*(1+Inputs!$B$34/100)),15)/15,MIN(1,(Skills!T18*(1+Inputs!$B$34/100))/(1/Q269)))))</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MIN((Skills!T16*(1+Inputs!$B$34/100)),(1/Q267))+MIN((Skills!T16*(1+Inputs!$B$34/100)),MAX(0,Inputs!$B$43-((R267-1)*(1/Q267)))))/Inputs!$B$43),IF(Inputs!$B$38="pvp",MIN((Skills!T16*(1+Inputs!$B$34/100)),15)/15,MIN(1,(Skills!T16*(1+Inputs!$B$34/100))/(1/Q267))))</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Skills!G2*IF(Skills!H2&gt;0,IF(Inputs!$B$38="pvp",MIN(Skills!I2,15),Skills!I2)/Skills!H2,1)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Skills!G5*IF(Skills!H5&gt;0,IF(Inputs!$B$38="pvp",MIN(Skills!I5,15),Skills!I5)/Skills!H5,1)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IFERROR(1/IF(Inputs!$B$38="pvp",15,MAX(0.1,Skills!D5-IF(TRUE=TRUE,Inputs!$B$32,0))),0)</f>
        <v/>
      </c>
      <c r="R301">
        <f>IF(AND(Inputs!$B$38&lt;&gt;"pvp",Inputs!$B$43&gt;0),IF(MAX(0,Inputs!$B$43-B335)&lt;=0,0,(INT(MAX(0,Inputs!$B$43-B335)/IF(Inputs!$B$38="pvp",15,MAX(0.1,Skills!D5-IF(TRUE=TRUE,Inputs!$B$32,0))))+1)),0)</f>
        <v/>
      </c>
      <c r="S301">
        <f>IFERROR((H301*N301*IF(AND(Inputs!$B$38&lt;&gt;"pvp",Inputs!$B$43&gt;0),((Skills!G5*((R301-1)*IF(Skills!H5&gt;0,Skills!I5/Skills!H5,1)+IF(Skills!H5&gt;0,MIN(Skills!I5,MAX(0,MAX(0,Inputs!$B$43-B335)-((R301-1)*IF(Inputs!$B$38="pvp",15,MAX(0.1,Skills!D5-IF(TRUE=TRUE,Inputs!$B$32,0))))))/Skills!H5,1)))/Inputs!$B$43),G301*Q301))/N301*IF(Inputs!$B$38="pvp",1,(1-Summary!$B$11)*1+Summary!$B$11*(MIN(Skills!R5,Inputs!$B$37))),0)</f>
        <v/>
      </c>
      <c r="T301">
        <f>IF(C301,(H301*N301*IF(AND(Inputs!$B$38&lt;&gt;"pvp",Inputs!$B$43&gt;0),((Skills!G5*((R301-1)*IF(Skills!H5&gt;0,Skills!I5/Skills!H5,1)+IF(Skills!H5&gt;0,MIN(Skills!I5,MAX(0,MAX(0,Inputs!$B$43-B335)-((R301-1)*IF(Inputs!$B$38="pvp",15,MAX(0.1,Skills!D5-IF(TRUE=TRUE,Inputs!$B$32,0))))))/Skills!H5,1)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Skills!I5/Skills!H5,1)+IF(Skills!H5&gt;0,MIN(Skills!I5,MAX(0,MAX(0,Inputs!$B$43-B335)-((R301-1)*IF(Inputs!$B$38="pvp",15,MAX(0.1,Skills!D5-IF(TRUE=TRUE,Inputs!$B$32,0))))))/Skills!H5,1)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Skills!G6*IF(Skills!H6&gt;0,IF(Inputs!$B$38="pvp",MIN(Skills!I6,15),Skills!I6)/Skills!H6,1)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IFERROR(1/IF(Inputs!$B$38="pvp",15,MAX(0.1,Skills!D6-IF(TRUE=TRUE,Inputs!$B$32,0))),0)</f>
        <v/>
      </c>
      <c r="R302">
        <f>IF(AND(Inputs!$B$38&lt;&gt;"pvp",Inputs!$B$43&gt;0),IF(MAX(0,Inputs!$B$43-B335)&lt;=0,0,(INT(MAX(0,Inputs!$B$43-B335)/IF(Inputs!$B$38="pvp",15,MAX(0.1,Skills!D6-IF(TRUE=TRUE,Inputs!$B$32,0))))+1)),0)</f>
        <v/>
      </c>
      <c r="S302">
        <f>IFERROR((H302*N302*IF(AND(Inputs!$B$38&lt;&gt;"pvp",Inputs!$B$43&gt;0),((Skills!G6*((R302-1)*IF(Skills!H6&gt;0,Skills!I6/Skills!H6,1)+IF(Skills!H6&gt;0,MIN(Skills!I6,MAX(0,MAX(0,Inputs!$B$43-B335)-((R302-1)*IF(Inputs!$B$38="pvp",15,MAX(0.1,Skills!D6-IF(TRUE=TRUE,Inputs!$B$32,0))))))/Skills!H6,1)))/Inputs!$B$43),G302*Q302))/N302*IF(Inputs!$B$38="pvp",1,(1-Summary!$B$11)*1+Summary!$B$11*(MIN(Skills!R6,Inputs!$B$37))),0)</f>
        <v/>
      </c>
      <c r="T302">
        <f>IF(C302,(H302*N302*IF(AND(Inputs!$B$38&lt;&gt;"pvp",Inputs!$B$43&gt;0),((Skills!G6*((R302-1)*IF(Skills!H6&gt;0,Skills!I6/Skills!H6,1)+IF(Skills!H6&gt;0,MIN(Skills!I6,MAX(0,MAX(0,Inputs!$B$43-B335)-((R302-1)*IF(Inputs!$B$38="pvp",15,MAX(0.1,Skills!D6-IF(TRUE=TRUE,Inputs!$B$32,0)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335)-((R302-1)*IF(Inputs!$B$38="pvp",15,MAX(0.1,Skills!D6-IF(TRUE=TRUE,Inputs!$B$32,0))))))/Skills!H6,1)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Skills!G7*IF(Skills!H7&gt;0,IF(Inputs!$B$38="pvp",MIN(Skills!I7,15),Skills!I7)/Skills!H7,1)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IFERROR(1/IF(Inputs!$B$38="pvp",15,MAX(0.1,Skills!D7-IF(TRUE=TRUE,Inputs!$B$32,0))),0)</f>
        <v/>
      </c>
      <c r="R303">
        <f>IF(AND(Inputs!$B$38&lt;&gt;"pvp",Inputs!$B$43&gt;0),IF(MAX(0,Inputs!$B$43-B335)&lt;=0,0,(INT(MAX(0,Inputs!$B$43-B335)/IF(Inputs!$B$38="pvp",15,MAX(0.1,Skills!D7-IF(TRUE=TRUE,Inputs!$B$32,0))))+1)),0)</f>
        <v/>
      </c>
      <c r="S303">
        <f>IFERROR((H303*N303*IF(AND(Inputs!$B$38&lt;&gt;"pvp",Inputs!$B$43&gt;0),((Skills!G7*((R303-1)*IF(Skills!H7&gt;0,Skills!I7/Skills!H7,1)+IF(Skills!H7&gt;0,MIN(Skills!I7,MAX(0,MAX(0,Inputs!$B$43-B335)-((R303-1)*IF(Inputs!$B$38="pvp",15,MAX(0.1,Skills!D7-IF(TRUE=TRUE,Inputs!$B$32,0))))))/Skills!H7,1)))/Inputs!$B$43),G303*Q303))/N303*IF(Inputs!$B$38="pvp",1,(1-Summary!$B$11)*1+Summary!$B$11*(MIN(Skills!R7,Inputs!$B$37))),0)</f>
        <v/>
      </c>
      <c r="T303">
        <f>IF(C303,(H303*N303*IF(AND(Inputs!$B$38&lt;&gt;"pvp",Inputs!$B$43&gt;0),((Skills!G7*((R303-1)*IF(Skills!H7&gt;0,Skills!I7/Skills!H7,1)+IF(Skills!H7&gt;0,MIN(Skills!I7,MAX(0,MAX(0,Inputs!$B$43-B335)-((R303-1)*IF(Inputs!$B$38="pvp",15,MAX(0.1,Skills!D7-IF(TRUE=TRUE,Inputs!$B$32,0)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335)-((R303-1)*IF(Inputs!$B$38="pvp",15,MAX(0.1,Skills!D7-IF(TRUE=TRUE,Inputs!$B$32,0))))))/Skills!H7,1)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Skills!G9*IF(Skills!H9&gt;0,IF(Inputs!$B$38="pvp",MIN(Skills!I9,15),Skills!I9)/Skills!H9,1)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IFERROR(1/IF(Inputs!$B$38="pvp",15,MAX(0.1,Skills!D9-IF(TRUE=TRUE,Inputs!$B$32,0))),0)</f>
        <v/>
      </c>
      <c r="R305">
        <f>IF(AND(Inputs!$B$38&lt;&gt;"pvp",Inputs!$B$43&gt;0),IF(MAX(0,Inputs!$B$43-B335)&lt;=0,0,(INT(MAX(0,Inputs!$B$43-B335)/IF(Inputs!$B$38="pvp",15,MAX(0.1,Skills!D9-IF(TRUE=TRUE,Inputs!$B$32,0))))+1)),0)</f>
        <v/>
      </c>
      <c r="S305">
        <f>IFERROR((H305*N305*IF(AND(Inputs!$B$38&lt;&gt;"pvp",Inputs!$B$43&gt;0),((Skills!G9*((R305-1)*IF(Skills!H9&gt;0,Skills!I9/Skills!H9,1)+IF(Skills!H9&gt;0,MIN(Skills!I9,MAX(0,MAX(0,Inputs!$B$43-B335)-((R305-1)*IF(Inputs!$B$38="pvp",15,MAX(0.1,Skills!D9-IF(TRUE=TRUE,Inputs!$B$32,0))))))/Skills!H9,1)))/Inputs!$B$43),G305*Q305))/N305*IF(Inputs!$B$38="pvp",1,(1-Summary!$B$11)*1+Summary!$B$11*(MIN(Skills!R9,Inputs!$B$37))),0)</f>
        <v/>
      </c>
      <c r="T305">
        <f>IF(C305,(H305*N305*IF(AND(Inputs!$B$38&lt;&gt;"pvp",Inputs!$B$43&gt;0),((Skills!G9*((R305-1)*IF(Skills!H9&gt;0,Skills!I9/Skills!H9,1)+IF(Skills!H9&gt;0,MIN(Skills!I9,MAX(0,MAX(0,Inputs!$B$43-B335)-((R305-1)*IF(Inputs!$B$38="pvp",15,MAX(0.1,Skills!D9-IF(TRUE=TRUE,Inputs!$B$32,0)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335)-((R305-1)*IF(Inputs!$B$38="pvp",15,MAX(0.1,Skills!D9-IF(TRUE=TRUE,Inputs!$B$32,0))))))/Skills!H9,1)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Skills!G10*IF(Skills!H10&gt;0,IF(Inputs!$B$38="pvp",MIN(Skills!I10,15),Skills!I10)/Skills!H10,1)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Skills!G11*IF(Skills!H11&gt;0,IF(Inputs!$B$38="pvp",MIN(Skills!I11,15),Skills!I11)/Skills!H11,1)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IFERROR(1/IF(Inputs!$B$38="pvp",15,MAX(0.1,Skills!D11-IF(TRUE=TRUE,Inputs!$B$32,0))),0)</f>
        <v/>
      </c>
      <c r="R307">
        <f>IF(AND(Inputs!$B$38&lt;&gt;"pvp",Inputs!$B$43&gt;0),IF(MAX(0,Inputs!$B$43-B335)&lt;=0,0,(INT(MAX(0,Inputs!$B$43-B335)/IF(Inputs!$B$38="pvp",15,MAX(0.1,Skills!D11-IF(TRUE=TRUE,Inputs!$B$32,0))))+1)),0)</f>
        <v/>
      </c>
      <c r="S307">
        <f>IFERROR((H307*N307*IF(AND(Inputs!$B$38&lt;&gt;"pvp",Inputs!$B$43&gt;0),((Skills!G11*((R307-1)*IF(Skills!H11&gt;0,Skills!I11/Skills!H11,1)+IF(Skills!H11&gt;0,MIN(Skills!I11,MAX(0,MAX(0,Inputs!$B$43-B335)-((R307-1)*IF(Inputs!$B$38="pvp",15,MAX(0.1,Skills!D11-IF(TRUE=TRUE,Inputs!$B$32,0))))))/Skills!H11,1)))/Inputs!$B$43),G307*Q307))/N307*IF(Inputs!$B$38="pvp",1,(1-Summary!$B$11)*1+Summary!$B$11*(MIN(Skills!R11,Inputs!$B$37))),0)</f>
        <v/>
      </c>
      <c r="T307">
        <f>IF(C307,(H307*N307*IF(AND(Inputs!$B$38&lt;&gt;"pvp",Inputs!$B$43&gt;0),((Skills!G11*((R307-1)*IF(Skills!H11&gt;0,Skills!I11/Skills!H11,1)+IF(Skills!H11&gt;0,MIN(Skills!I11,MAX(0,MAX(0,Inputs!$B$43-B335)-((R307-1)*IF(Inputs!$B$38="pvp",15,MAX(0.1,Skills!D11-IF(TRUE=TRUE,Inputs!$B$32,0))))))/Skills!H11,1)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Inputs!$B$38&lt;&gt;"pvp",Inputs!$B$43=0),1,IF(IF(Inputs!$B$38="pvp",15,Inputs!$B$43)-(B335)&lt;=0,1,MAX(0,IF(Inputs!$B$38="pvp",15,Inputs!$B$43)-MAX(5,B335))/(IF(Inputs!$B$38="pvp",15,Inputs!$B$43)-(B335))))*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Skills!I11/Skills!H11,1)+IF(Skills!H11&gt;0,MIN(Skills!I11,MAX(0,MAX(0,Inputs!$B$43-B335)-((R307-1)*IF(Inputs!$B$38="pvp",15,MAX(0.1,Skills!D11-IF(TRUE=TRUE,Inputs!$B$32,0))))))/Skills!H11,1)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Skills!G12*IF(Skills!H12&gt;0,IF(Inputs!$B$38="pvp",MIN(Skills!I12,15),Skills!I12)/Skills!H12,1)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Skills!G13*IF(Skills!H13&gt;0,IF(Inputs!$B$38="pvp",MIN(Skills!I13,15),Skills!I13)/Skills!H13,1)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Skills!G14*IF(Skills!H14&gt;0,IF(Inputs!$B$38="pvp",MIN(Skills!I14,15),Skills!I14)/Skills!H14,1)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Skills!G15*IF(Skills!H15&gt;0,IF(Inputs!$B$38="pvp",MIN(Skills!I15,15),Skills!I15)/Skills!H15,1)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IFERROR(1/IF(Inputs!$B$38="pvp",15,MAX(0.1,Skills!D15-IF(TRUE=TRUE,Inputs!$B$32,0))),0)</f>
        <v/>
      </c>
      <c r="R311">
        <f>IF(AND(Inputs!$B$38&lt;&gt;"pvp",Inputs!$B$43&gt;0),IF(Inputs!$B$43&lt;=0,0,(INT(Inputs!$B$43/IF(Inputs!$B$38="pvp",15,MAX(0.1,Skills!D15-IF(TRUE=TRUE,Inputs!$B$32,0))))+1)),0)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Skills!G16*IF(Skills!H16&gt;0,IF(Inputs!$B$38="pvp",MIN(Skills!I16,15),Skills!I16)/Skills!H16,1)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IFERROR(1/IF(Inputs!$B$38="pvp",15,MAX(0.1,Skills!D16-IF(TRUE=TRUE,Inputs!$B$32,0))),0)</f>
        <v/>
      </c>
      <c r="R312">
        <f>IF(AND(Inputs!$B$38&lt;&gt;"pvp",Inputs!$B$43&gt;0),IF(Inputs!$B$43&lt;=0,0,(INT(Inputs!$B$43/IF(Inputs!$B$38="pvp",15,MAX(0.1,Skills!D16-IF(TRUE=TRUE,Inputs!$B$32,0))))+1)),0)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Skills!G17*IF(Skills!H17&gt;0,IF(Inputs!$B$38="pvp",MIN(Skills!I17,15),Skills!I17)/Skills!H17,1)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Skills!G18*IF(Skills!H18&gt;0,IF(Inputs!$B$38="pvp",MIN(Skills!I18,15),Skills!I18)/Skills!H18,1)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IFERROR(1/IF(Inputs!$B$38="pvp",15,MAX(0.1,Skills!D18-IF(TRUE=TRUE,Inputs!$B$32,0))),0)</f>
        <v/>
      </c>
      <c r="R314">
        <f>IF(AND(Inputs!$B$38&lt;&gt;"pvp",Inputs!$B$43&gt;0),IF(Inputs!$B$43&lt;=0,0,(INT(Inputs!$B$43/IF(Inputs!$B$38="pvp",15,MAX(0.1,Skills!D18-IF(TRUE=TRUE,Inputs!$B$32,0))))+1)),0)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Skills!G19*IF(Skills!H19&gt;0,IF(Inputs!$B$38="pvp",MIN(Skills!I19,15),Skills!I19)/Skills!H19,1)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Skills!G20*IF(Skills!H20&gt;0,IF(Inputs!$B$38="pvp",MIN(Skills!I20,15),Skills!I20)/Skills!H20,1)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Skills!G21*IF(Skills!H21&gt;0,IF(Inputs!$B$38="pvp",MIN(Skills!I21,15),Skills!I21)/Skills!H21,1)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Skills!G22*IF(Skills!H22&gt;0,IF(Inputs!$B$38="pvp",MIN(Skills!I22,15),Skills!I22)/Skills!H22,1)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Skills!G23*IF(Skills!H23&gt;0,IF(Inputs!$B$38="pvp",MIN(Skills!I23,15),Skills!I23)/Skills!H23,1)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Skills!G24*IF(Skills!H24&gt;0,IF(Inputs!$B$38="pvp",MIN(Skills!I24,15),Skills!I24)/Skills!H24,1)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Skills!G25*IF(Skills!H25&gt;0,IF(Inputs!$B$38="pvp",MIN(Skills!I25,15),Skills!I25)/Skills!H25,1)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Skills!G26*IF(Skills!H26&gt;0,IF(Inputs!$B$38="pvp",MIN(Skills!I26,15),Skills!I26)/Skills!H26,1)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Skills!G27*IF(Skills!H27&gt;0,IF(Inputs!$B$38="pvp",MIN(Skills!I27,15),Skills!I27)/Skills!H27,1)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Skills!G28*IF(Skills!H28&gt;0,IF(Inputs!$B$38="pvp",MIN(Skills!I28,15),Skills!I28)/Skills!H28,1)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Skills!G29*IF(Skills!H29&gt;0,IF(Inputs!$B$38="pvp",MIN(Skills!I29,15),Skills!I29)/Skills!H29,1)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MIN((Skills!T15*(1+Inputs!$B$34/100)),(1/Q311))+MIN((Skills!T15*(1+Inputs!$B$34/100)),MAX(0,Inputs!$B$43-((R311-1)*(1/Q311)))))/Inputs!$B$43),IF(Inputs!$B$38="pvp",MIN((Skills!T15*(1+Inputs!$B$34/100)),15)/15,MIN(1,(Skills!T15*(1+Inputs!$B$34/100))/(1/Q311)))))+((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t="n">
        <v>0</v>
      </c>
    </row>
    <row r="329">
      <c r="A329" t="inlineStr">
        <is>
          <t>Attack Speed Buff Bonus %</t>
        </is>
      </c>
      <c r="B329">
        <f>((C314=TRUE)*F314*IF(AND(Inputs!$B$38&lt;&gt;"pvp",Inputs!$B$43&gt;0),(((R314-1)*MIN((Skills!T18*(1+Inputs!$B$34/100)),(1/Q314))+MIN((Skills!T18*(1+Inputs!$B$34/100)),MAX(0,Inputs!$B$43-((R314-1)*(1/Q314)))))/Inputs!$B$43),IF(Inputs!$B$38="pvp",MIN((Skills!T18*(1+Inputs!$B$34/100)),15)/15,MIN(1,(Skills!T18*(1+Inputs!$B$34/100))/(1/Q314)))))</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MIN((Skills!T16*(1+Inputs!$B$34/100)),(1/Q312))+MIN((Skills!T16*(1+Inputs!$B$34/100)),MAX(0,Inputs!$B$43-((R312-1)*(1/Q312)))))/Inputs!$B$43),IF(Inputs!$B$38="pvp",MIN((Skills!T16*(1+Inputs!$B$34/100)),15)/15,MIN(1,(Skills!T16*(1+Inputs!$B$34/100))/(1/Q312))))</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Skills!G2*IF(Skills!H2&gt;0,IF(Inputs!$B$38="pvp",MIN(Skills!I2,15),Skills!I2)/Skills!H2,1)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Skills!G5*IF(Skills!H5&gt;0,IF(Inputs!$B$38="pvp",MIN(Skills!I5,15),Skills!I5)/Skills!H5,1)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IFERROR(1/IF(Inputs!$B$38="pvp",15,MAX(0.1,Skills!D5-IF(TRUE=TRUE,Inputs!$B$32,0))),0)</f>
        <v/>
      </c>
      <c r="R346">
        <f>IF(AND(Inputs!$B$38&lt;&gt;"pvp",Inputs!$B$43&gt;0),IF(MAX(0,Inputs!$B$43-B380)&lt;=0,0,(INT(MAX(0,Inputs!$B$43-B380)/IF(Inputs!$B$38="pvp",15,MAX(0.1,Skills!D5-IF(TRUE=TRUE,Inputs!$B$32,0))))+1)),0)</f>
        <v/>
      </c>
      <c r="S346">
        <f>IFERROR((H346*N346*IF(AND(Inputs!$B$38&lt;&gt;"pvp",Inputs!$B$43&gt;0),((Skills!G5*((R346-1)*IF(Skills!H5&gt;0,Skills!I5/Skills!H5,1)+IF(Skills!H5&gt;0,MIN(Skills!I5,MAX(0,MAX(0,Inputs!$B$43-B380)-((R346-1)*IF(Inputs!$B$38="pvp",15,MAX(0.1,Skills!D5-IF(TRUE=TRUE,Inputs!$B$32,0))))))/Skills!H5,1)))/Inputs!$B$43),G346*Q346))/N346*IF(Inputs!$B$38="pvp",1,(1-Summary!$B$11)*1+Summary!$B$11*(MIN(Skills!R5,Inputs!$B$37))),0)</f>
        <v/>
      </c>
      <c r="T346">
        <f>IF(C346,(H346*N346*IF(AND(Inputs!$B$38&lt;&gt;"pvp",Inputs!$B$43&gt;0),((Skills!G5*((R346-1)*IF(Skills!H5&gt;0,Skills!I5/Skills!H5,1)+IF(Skills!H5&gt;0,MIN(Skills!I5,MAX(0,MAX(0,Inputs!$B$43-B380)-((R346-1)*IF(Inputs!$B$38="pvp",15,MAX(0.1,Skills!D5-IF(TRUE=TRUE,Inputs!$B$32,0))))))/Skills!H5,1)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Skills!I5/Skills!H5,1)+IF(Skills!H5&gt;0,MIN(Skills!I5,MAX(0,MAX(0,Inputs!$B$43-B380)-((R346-1)*IF(Inputs!$B$38="pvp",15,MAX(0.1,Skills!D5-IF(TRUE=TRUE,Inputs!$B$32,0))))))/Skills!H5,1)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Skills!G6*IF(Skills!H6&gt;0,IF(Inputs!$B$38="pvp",MIN(Skills!I6,15),Skills!I6)/Skills!H6,1)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IFERROR(1/IF(Inputs!$B$38="pvp",15,MAX(0.1,Skills!D6-IF(TRUE=TRUE,Inputs!$B$32,0))),0)</f>
        <v/>
      </c>
      <c r="R347">
        <f>IF(AND(Inputs!$B$38&lt;&gt;"pvp",Inputs!$B$43&gt;0),IF(MAX(0,Inputs!$B$43-B380)&lt;=0,0,(INT(MAX(0,Inputs!$B$43-B380)/IF(Inputs!$B$38="pvp",15,MAX(0.1,Skills!D6-IF(TRUE=TRUE,Inputs!$B$32,0))))+1)),0)</f>
        <v/>
      </c>
      <c r="S347">
        <f>IFERROR((H347*N347*IF(AND(Inputs!$B$38&lt;&gt;"pvp",Inputs!$B$43&gt;0),((Skills!G6*((R347-1)*IF(Skills!H6&gt;0,Skills!I6/Skills!H6,1)+IF(Skills!H6&gt;0,MIN(Skills!I6,MAX(0,MAX(0,Inputs!$B$43-B380)-((R347-1)*IF(Inputs!$B$38="pvp",15,MAX(0.1,Skills!D6-IF(TRUE=TRUE,Inputs!$B$32,0))))))/Skills!H6,1)))/Inputs!$B$43),G347*Q347))/N347*IF(Inputs!$B$38="pvp",1,(1-Summary!$B$11)*1+Summary!$B$11*(MIN(Skills!R6,Inputs!$B$37))),0)</f>
        <v/>
      </c>
      <c r="T347">
        <f>IF(C347,(H347*N347*IF(AND(Inputs!$B$38&lt;&gt;"pvp",Inputs!$B$43&gt;0),((Skills!G6*((R347-1)*IF(Skills!H6&gt;0,Skills!I6/Skills!H6,1)+IF(Skills!H6&gt;0,MIN(Skills!I6,MAX(0,MAX(0,Inputs!$B$43-B380)-((R347-1)*IF(Inputs!$B$38="pvp",15,MAX(0.1,Skills!D6-IF(TRUE=TRUE,Inputs!$B$32,0)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380)-((R347-1)*IF(Inputs!$B$38="pvp",15,MAX(0.1,Skills!D6-IF(TRUE=TRUE,Inputs!$B$32,0))))))/Skills!H6,1)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Skills!G7*IF(Skills!H7&gt;0,IF(Inputs!$B$38="pvp",MIN(Skills!I7,15),Skills!I7)/Skills!H7,1)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IFERROR(1/IF(Inputs!$B$38="pvp",15,MAX(0.1,Skills!D7-IF(TRUE=TRUE,Inputs!$B$32,0))),0)</f>
        <v/>
      </c>
      <c r="R348">
        <f>IF(AND(Inputs!$B$38&lt;&gt;"pvp",Inputs!$B$43&gt;0),IF(MAX(0,Inputs!$B$43-B380)&lt;=0,0,(INT(MAX(0,Inputs!$B$43-B380)/IF(Inputs!$B$38="pvp",15,MAX(0.1,Skills!D7-IF(TRUE=TRUE,Inputs!$B$32,0))))+1)),0)</f>
        <v/>
      </c>
      <c r="S348">
        <f>IFERROR((H348*N348*IF(AND(Inputs!$B$38&lt;&gt;"pvp",Inputs!$B$43&gt;0),((Skills!G7*((R348-1)*IF(Skills!H7&gt;0,Skills!I7/Skills!H7,1)+IF(Skills!H7&gt;0,MIN(Skills!I7,MAX(0,MAX(0,Inputs!$B$43-B380)-((R348-1)*IF(Inputs!$B$38="pvp",15,MAX(0.1,Skills!D7-IF(TRUE=TRUE,Inputs!$B$32,0))))))/Skills!H7,1)))/Inputs!$B$43),G348*Q348))/N348*IF(Inputs!$B$38="pvp",1,(1-Summary!$B$11)*1+Summary!$B$11*(MIN(Skills!R7,Inputs!$B$37))),0)</f>
        <v/>
      </c>
      <c r="T348">
        <f>IF(C348,(H348*N348*IF(AND(Inputs!$B$38&lt;&gt;"pvp",Inputs!$B$43&gt;0),((Skills!G7*((R348-1)*IF(Skills!H7&gt;0,Skills!I7/Skills!H7,1)+IF(Skills!H7&gt;0,MIN(Skills!I7,MAX(0,MAX(0,Inputs!$B$43-B380)-((R348-1)*IF(Inputs!$B$38="pvp",15,MAX(0.1,Skills!D7-IF(TRUE=TRUE,Inputs!$B$32,0)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380)-((R348-1)*IF(Inputs!$B$38="pvp",15,MAX(0.1,Skills!D7-IF(TRUE=TRUE,Inputs!$B$32,0))))))/Skills!H7,1)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Skills!G9*IF(Skills!H9&gt;0,IF(Inputs!$B$38="pvp",MIN(Skills!I9,15),Skills!I9)/Skills!H9,1)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IFERROR(1/IF(Inputs!$B$38="pvp",15,MAX(0.1,Skills!D9-IF(TRUE=TRUE,Inputs!$B$32,0))),0)</f>
        <v/>
      </c>
      <c r="R350">
        <f>IF(AND(Inputs!$B$38&lt;&gt;"pvp",Inputs!$B$43&gt;0),IF(MAX(0,Inputs!$B$43-B380)&lt;=0,0,(INT(MAX(0,Inputs!$B$43-B380)/IF(Inputs!$B$38="pvp",15,MAX(0.1,Skills!D9-IF(TRUE=TRUE,Inputs!$B$32,0))))+1)),0)</f>
        <v/>
      </c>
      <c r="S350">
        <f>IFERROR((H350*N350*IF(AND(Inputs!$B$38&lt;&gt;"pvp",Inputs!$B$43&gt;0),((Skills!G9*((R350-1)*IF(Skills!H9&gt;0,Skills!I9/Skills!H9,1)+IF(Skills!H9&gt;0,MIN(Skills!I9,MAX(0,MAX(0,Inputs!$B$43-B380)-((R350-1)*IF(Inputs!$B$38="pvp",15,MAX(0.1,Skills!D9-IF(TRUE=TRUE,Inputs!$B$32,0))))))/Skills!H9,1)))/Inputs!$B$43),G350*Q350))/N350*IF(Inputs!$B$38="pvp",1,(1-Summary!$B$11)*1+Summary!$B$11*(MIN(Skills!R9,Inputs!$B$37))),0)</f>
        <v/>
      </c>
      <c r="T350">
        <f>IF(C350,(H350*N350*IF(AND(Inputs!$B$38&lt;&gt;"pvp",Inputs!$B$43&gt;0),((Skills!G9*((R350-1)*IF(Skills!H9&gt;0,Skills!I9/Skills!H9,1)+IF(Skills!H9&gt;0,MIN(Skills!I9,MAX(0,MAX(0,Inputs!$B$43-B380)-((R350-1)*IF(Inputs!$B$38="pvp",15,MAX(0.1,Skills!D9-IF(TRUE=TRUE,Inputs!$B$32,0)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380)-((R350-1)*IF(Inputs!$B$38="pvp",15,MAX(0.1,Skills!D9-IF(TRUE=TRUE,Inputs!$B$32,0))))))/Skills!H9,1)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Skills!G10*IF(Skills!H10&gt;0,IF(Inputs!$B$38="pvp",MIN(Skills!I10,15),Skills!I10)/Skills!H10,1)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Skills!G11*IF(Skills!H11&gt;0,IF(Inputs!$B$38="pvp",MIN(Skills!I11,15),Skills!I11)/Skills!H11,1)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IFERROR(1/IF(Inputs!$B$38="pvp",15,MAX(0.1,Skills!D11-IF(TRUE=TRUE,Inputs!$B$32,0))),0)</f>
        <v/>
      </c>
      <c r="R352">
        <f>IF(AND(Inputs!$B$38&lt;&gt;"pvp",Inputs!$B$43&gt;0),IF(MAX(0,Inputs!$B$43-B380)&lt;=0,0,(INT(MAX(0,Inputs!$B$43-B380)/IF(Inputs!$B$38="pvp",15,MAX(0.1,Skills!D11-IF(TRUE=TRUE,Inputs!$B$32,0))))+1)),0)</f>
        <v/>
      </c>
      <c r="S352">
        <f>IFERROR((H352*N352*IF(AND(Inputs!$B$38&lt;&gt;"pvp",Inputs!$B$43&gt;0),((Skills!G11*((R352-1)*IF(Skills!H11&gt;0,Skills!I11/Skills!H11,1)+IF(Skills!H11&gt;0,MIN(Skills!I11,MAX(0,MAX(0,Inputs!$B$43-B380)-((R352-1)*IF(Inputs!$B$38="pvp",15,MAX(0.1,Skills!D11-IF(TRUE=TRUE,Inputs!$B$32,0))))))/Skills!H11,1)))/Inputs!$B$43),G352*Q352))/N352*IF(Inputs!$B$38="pvp",1,(1-Summary!$B$11)*1+Summary!$B$11*(MIN(Skills!R11,Inputs!$B$37))),0)</f>
        <v/>
      </c>
      <c r="T352">
        <f>IF(C352,(H352*N352*IF(AND(Inputs!$B$38&lt;&gt;"pvp",Inputs!$B$43&gt;0),((Skills!G11*((R352-1)*IF(Skills!H11&gt;0,Skills!I11/Skills!H11,1)+IF(Skills!H11&gt;0,MIN(Skills!I11,MAX(0,MAX(0,Inputs!$B$43-B380)-((R352-1)*IF(Inputs!$B$38="pvp",15,MAX(0.1,Skills!D11-IF(TRUE=TRUE,Inputs!$B$32,0))))))/Skills!H11,1)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Inputs!$B$38&lt;&gt;"pvp",Inputs!$B$43=0),1,IF(IF(Inputs!$B$38="pvp",15,Inputs!$B$43)-(B380)&lt;=0,1,MAX(0,IF(Inputs!$B$38="pvp",15,Inputs!$B$43)-MAX(5,B380))/(IF(Inputs!$B$38="pvp",15,Inputs!$B$43)-(B380)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Skills!I11/Skills!H11,1)+IF(Skills!H11&gt;0,MIN(Skills!I11,MAX(0,MAX(0,Inputs!$B$43-B380)-((R352-1)*IF(Inputs!$B$38="pvp",15,MAX(0.1,Skills!D11-IF(TRUE=TRUE,Inputs!$B$32,0))))))/Skills!H11,1)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Skills!G12*IF(Skills!H12&gt;0,IF(Inputs!$B$38="pvp",MIN(Skills!I12,15),Skills!I12)/Skills!H12,1)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Skills!G13*IF(Skills!H13&gt;0,IF(Inputs!$B$38="pvp",MIN(Skills!I13,15),Skills!I13)/Skills!H13,1)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Skills!G14*IF(Skills!H14&gt;0,IF(Inputs!$B$38="pvp",MIN(Skills!I14,15),Skills!I14)/Skills!H14,1)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Skills!G15*IF(Skills!H15&gt;0,IF(Inputs!$B$38="pvp",MIN(Skills!I15,15),Skills!I15)/Skills!H15,1)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IFERROR(1/IF(Inputs!$B$38="pvp",15,MAX(0.1,Skills!D15-IF(TRUE=TRUE,Inputs!$B$32,0))),0)</f>
        <v/>
      </c>
      <c r="R356">
        <f>IF(AND(Inputs!$B$38&lt;&gt;"pvp",Inputs!$B$43&gt;0),IF(Inputs!$B$43&lt;=0,0,(INT(Inputs!$B$43/IF(Inputs!$B$38="pvp",15,MAX(0.1,Skills!D15-IF(TRUE=TRUE,Inputs!$B$32,0))))+1)),0)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Skills!G16*IF(Skills!H16&gt;0,IF(Inputs!$B$38="pvp",MIN(Skills!I16,15),Skills!I16)/Skills!H16,1)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IFERROR(1/IF(Inputs!$B$38="pvp",15,MAX(0.1,Skills!D16-IF(TRUE=TRUE,Inputs!$B$32,0))),0)</f>
        <v/>
      </c>
      <c r="R357">
        <f>IF(AND(Inputs!$B$38&lt;&gt;"pvp",Inputs!$B$43&gt;0),IF(Inputs!$B$43&lt;=0,0,(INT(Inputs!$B$43/IF(Inputs!$B$38="pvp",15,MAX(0.1,Skills!D16-IF(TRUE=TRUE,Inputs!$B$32,0))))+1)),0)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Skills!G17*IF(Skills!H17&gt;0,IF(Inputs!$B$38="pvp",MIN(Skills!I17,15),Skills!I17)/Skills!H17,1)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Skills!G18*IF(Skills!H18&gt;0,IF(Inputs!$B$38="pvp",MIN(Skills!I18,15),Skills!I18)/Skills!H18,1)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IFERROR(1/IF(Inputs!$B$38="pvp",15,MAX(0.1,Skills!D18-IF(TRUE=TRUE,Inputs!$B$32,0))),0)</f>
        <v/>
      </c>
      <c r="R359">
        <f>IF(AND(Inputs!$B$38&lt;&gt;"pvp",Inputs!$B$43&gt;0),IF(Inputs!$B$43&lt;=0,0,(INT(Inputs!$B$43/IF(Inputs!$B$38="pvp",15,MAX(0.1,Skills!D18-IF(TRUE=TRUE,Inputs!$B$32,0))))+1)),0)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Skills!G19*IF(Skills!H19&gt;0,IF(Inputs!$B$38="pvp",MIN(Skills!I19,15),Skills!I19)/Skills!H19,1)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Skills!G20*IF(Skills!H20&gt;0,IF(Inputs!$B$38="pvp",MIN(Skills!I20,15),Skills!I20)/Skills!H20,1)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Skills!G21*IF(Skills!H21&gt;0,IF(Inputs!$B$38="pvp",MIN(Skills!I21,15),Skills!I21)/Skills!H21,1)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Skills!G22*IF(Skills!H22&gt;0,IF(Inputs!$B$38="pvp",MIN(Skills!I22,15),Skills!I22)/Skills!H22,1)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Skills!G23*IF(Skills!H23&gt;0,IF(Inputs!$B$38="pvp",MIN(Skills!I23,15),Skills!I23)/Skills!H23,1)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Skills!G24*IF(Skills!H24&gt;0,IF(Inputs!$B$38="pvp",MIN(Skills!I24,15),Skills!I24)/Skills!H24,1)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Skills!G25*IF(Skills!H25&gt;0,IF(Inputs!$B$38="pvp",MIN(Skills!I25,15),Skills!I25)/Skills!H25,1)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Skills!G26*IF(Skills!H26&gt;0,IF(Inputs!$B$38="pvp",MIN(Skills!I26,15),Skills!I26)/Skills!H26,1)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Skills!G27*IF(Skills!H27&gt;0,IF(Inputs!$B$38="pvp",MIN(Skills!I27,15),Skills!I27)/Skills!H27,1)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Skills!G28*IF(Skills!H28&gt;0,IF(Inputs!$B$38="pvp",MIN(Skills!I28,15),Skills!I28)/Skills!H28,1)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Skills!G29*IF(Skills!H29&gt;0,IF(Inputs!$B$38="pvp",MIN(Skills!I29,15),Skills!I29)/Skills!H29,1)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MIN((Skills!T15*(1+Inputs!$B$34/100)),(1/Q356))+MIN((Skills!T15*(1+Inputs!$B$34/100)),MAX(0,Inputs!$B$43-((R356-1)*(1/Q356)))))/Inputs!$B$43),IF(Inputs!$B$38="pvp",MIN((Skills!T15*(1+Inputs!$B$34/100)),15)/15,MIN(1,(Skills!T15*(1+Inputs!$B$34/100))/(1/Q356)))))+((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t="n">
        <v>0</v>
      </c>
    </row>
    <row r="374">
      <c r="A374" t="inlineStr">
        <is>
          <t>Attack Speed Buff Bonus %</t>
        </is>
      </c>
      <c r="B374">
        <f>((C359=TRUE)*F359*IF(AND(Inputs!$B$38&lt;&gt;"pvp",Inputs!$B$43&gt;0),(((R359-1)*MIN((Skills!T18*(1+Inputs!$B$34/100)),(1/Q359))+MIN((Skills!T18*(1+Inputs!$B$34/100)),MAX(0,Inputs!$B$43-((R359-1)*(1/Q359)))))/Inputs!$B$43),IF(Inputs!$B$38="pvp",MIN((Skills!T18*(1+Inputs!$B$34/100)),15)/15,MIN(1,(Skills!T18*(1+Inputs!$B$34/100))/(1/Q359)))))</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MIN((Skills!T16*(1+Inputs!$B$34/100)),(1/Q357))+MIN((Skills!T16*(1+Inputs!$B$34/100)),MAX(0,Inputs!$B$43-((R357-1)*(1/Q357)))))/Inputs!$B$43),IF(Inputs!$B$38="pvp",MIN((Skills!T16*(1+Inputs!$B$34/100)),15)/15,MIN(1,(Skills!T16*(1+Inputs!$B$34/100))/(1/Q357))))</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Skills!G2*IF(Skills!H2&gt;0,IF(Inputs!$B$38="pvp",MIN(Skills!I2,15),Skills!I2)/Skills!H2,1)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Skills!G5*IF(Skills!H5&gt;0,IF(Inputs!$B$38="pvp",MIN(Skills!I5,15),Skills!I5)/Skills!H5,1)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IFERROR(1/IF(Inputs!$B$38="pvp",15,MAX(0.1,Skills!D5-IF(TRUE=TRUE,Inputs!$B$32,0))),0)</f>
        <v/>
      </c>
      <c r="R391">
        <f>IF(AND(Inputs!$B$38&lt;&gt;"pvp",Inputs!$B$43&gt;0),IF(MAX(0,Inputs!$B$43-B425)&lt;=0,0,(INT(MAX(0,Inputs!$B$43-B425)/IF(Inputs!$B$38="pvp",15,MAX(0.1,Skills!D5-IF(TRUE=TRUE,Inputs!$B$32,0))))+1)),0)</f>
        <v/>
      </c>
      <c r="S391">
        <f>IFERROR((H391*N391*IF(AND(Inputs!$B$38&lt;&gt;"pvp",Inputs!$B$43&gt;0),((Skills!G5*((R391-1)*IF(Skills!H5&gt;0,Skills!I5/Skills!H5,1)+IF(Skills!H5&gt;0,MIN(Skills!I5,MAX(0,MAX(0,Inputs!$B$43-B425)-((R391-1)*IF(Inputs!$B$38="pvp",15,MAX(0.1,Skills!D5-IF(TRUE=TRUE,Inputs!$B$32,0))))))/Skills!H5,1)))/Inputs!$B$43),G391*Q391))/N391*IF(Inputs!$B$38="pvp",1,(1-Summary!$B$11)*1+Summary!$B$11*(MIN(Skills!R5,Inputs!$B$37))),0)</f>
        <v/>
      </c>
      <c r="T391">
        <f>IF(C391,(H391*N391*IF(AND(Inputs!$B$38&lt;&gt;"pvp",Inputs!$B$43&gt;0),((Skills!G5*((R391-1)*IF(Skills!H5&gt;0,Skills!I5/Skills!H5,1)+IF(Skills!H5&gt;0,MIN(Skills!I5,MAX(0,MAX(0,Inputs!$B$43-B425)-((R391-1)*IF(Inputs!$B$38="pvp",15,MAX(0.1,Skills!D5-IF(TRUE=TRUE,Inputs!$B$32,0))))))/Skills!H5,1)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Skills!I5/Skills!H5,1)+IF(Skills!H5&gt;0,MIN(Skills!I5,MAX(0,MAX(0,Inputs!$B$43-B425)-((R391-1)*IF(Inputs!$B$38="pvp",15,MAX(0.1,Skills!D5-IF(TRUE=TRUE,Inputs!$B$32,0))))))/Skills!H5,1)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Skills!G6*IF(Skills!H6&gt;0,IF(Inputs!$B$38="pvp",MIN(Skills!I6,15),Skills!I6)/Skills!H6,1)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IFERROR(1/IF(Inputs!$B$38="pvp",15,MAX(0.1,Skills!D6-IF(TRUE=TRUE,Inputs!$B$32,0))),0)</f>
        <v/>
      </c>
      <c r="R392">
        <f>IF(AND(Inputs!$B$38&lt;&gt;"pvp",Inputs!$B$43&gt;0),IF(MAX(0,Inputs!$B$43-B425)&lt;=0,0,(INT(MAX(0,Inputs!$B$43-B425)/IF(Inputs!$B$38="pvp",15,MAX(0.1,Skills!D6-IF(TRUE=TRUE,Inputs!$B$32,0))))+1)),0)</f>
        <v/>
      </c>
      <c r="S392">
        <f>IFERROR((H392*N392*IF(AND(Inputs!$B$38&lt;&gt;"pvp",Inputs!$B$43&gt;0),((Skills!G6*((R392-1)*IF(Skills!H6&gt;0,Skills!I6/Skills!H6,1)+IF(Skills!H6&gt;0,MIN(Skills!I6,MAX(0,MAX(0,Inputs!$B$43-B425)-((R392-1)*IF(Inputs!$B$38="pvp",15,MAX(0.1,Skills!D6-IF(TRUE=TRUE,Inputs!$B$32,0))))))/Skills!H6,1)))/Inputs!$B$43),G392*Q392))/N392*IF(Inputs!$B$38="pvp",1,(1-Summary!$B$11)*1+Summary!$B$11*(MIN(Skills!R6,Inputs!$B$37))),0)</f>
        <v/>
      </c>
      <c r="T392">
        <f>IF(C392,(H392*N392*IF(AND(Inputs!$B$38&lt;&gt;"pvp",Inputs!$B$43&gt;0),((Skills!G6*((R392-1)*IF(Skills!H6&gt;0,Skills!I6/Skills!H6,1)+IF(Skills!H6&gt;0,MIN(Skills!I6,MAX(0,MAX(0,Inputs!$B$43-B425)-((R392-1)*IF(Inputs!$B$38="pvp",15,MAX(0.1,Skills!D6-IF(TRUE=TRUE,Inputs!$B$32,0)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425)-((R392-1)*IF(Inputs!$B$38="pvp",15,MAX(0.1,Skills!D6-IF(TRUE=TRUE,Inputs!$B$32,0))))))/Skills!H6,1)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Skills!G7*IF(Skills!H7&gt;0,IF(Inputs!$B$38="pvp",MIN(Skills!I7,15),Skills!I7)/Skills!H7,1)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IFERROR(1/IF(Inputs!$B$38="pvp",15,MAX(0.1,Skills!D7-IF(TRUE=TRUE,Inputs!$B$32,0))),0)</f>
        <v/>
      </c>
      <c r="R393">
        <f>IF(AND(Inputs!$B$38&lt;&gt;"pvp",Inputs!$B$43&gt;0),IF(MAX(0,Inputs!$B$43-B425)&lt;=0,0,(INT(MAX(0,Inputs!$B$43-B425)/IF(Inputs!$B$38="pvp",15,MAX(0.1,Skills!D7-IF(TRUE=TRUE,Inputs!$B$32,0))))+1)),0)</f>
        <v/>
      </c>
      <c r="S393">
        <f>IFERROR((H393*N393*IF(AND(Inputs!$B$38&lt;&gt;"pvp",Inputs!$B$43&gt;0),((Skills!G7*((R393-1)*IF(Skills!H7&gt;0,Skills!I7/Skills!H7,1)+IF(Skills!H7&gt;0,MIN(Skills!I7,MAX(0,MAX(0,Inputs!$B$43-B425)-((R393-1)*IF(Inputs!$B$38="pvp",15,MAX(0.1,Skills!D7-IF(TRUE=TRUE,Inputs!$B$32,0))))))/Skills!H7,1)))/Inputs!$B$43),G393*Q393))/N393*IF(Inputs!$B$38="pvp",1,(1-Summary!$B$11)*1+Summary!$B$11*(MIN(Skills!R7,Inputs!$B$37))),0)</f>
        <v/>
      </c>
      <c r="T393">
        <f>IF(C393,(H393*N393*IF(AND(Inputs!$B$38&lt;&gt;"pvp",Inputs!$B$43&gt;0),((Skills!G7*((R393-1)*IF(Skills!H7&gt;0,Skills!I7/Skills!H7,1)+IF(Skills!H7&gt;0,MIN(Skills!I7,MAX(0,MAX(0,Inputs!$B$43-B425)-((R393-1)*IF(Inputs!$B$38="pvp",15,MAX(0.1,Skills!D7-IF(TRUE=TRUE,Inputs!$B$32,0)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425)-((R393-1)*IF(Inputs!$B$38="pvp",15,MAX(0.1,Skills!D7-IF(TRUE=TRUE,Inputs!$B$32,0))))))/Skills!H7,1)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Skills!G9*IF(Skills!H9&gt;0,IF(Inputs!$B$38="pvp",MIN(Skills!I9,15),Skills!I9)/Skills!H9,1)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IFERROR(1/IF(Inputs!$B$38="pvp",15,MAX(0.1,Skills!D9-IF(TRUE=TRUE,Inputs!$B$32,0))),0)</f>
        <v/>
      </c>
      <c r="R395">
        <f>IF(AND(Inputs!$B$38&lt;&gt;"pvp",Inputs!$B$43&gt;0),IF(MAX(0,Inputs!$B$43-B425)&lt;=0,0,(INT(MAX(0,Inputs!$B$43-B425)/IF(Inputs!$B$38="pvp",15,MAX(0.1,Skills!D9-IF(TRUE=TRUE,Inputs!$B$32,0))))+1)),0)</f>
        <v/>
      </c>
      <c r="S395">
        <f>IFERROR((H395*N395*IF(AND(Inputs!$B$38&lt;&gt;"pvp",Inputs!$B$43&gt;0),((Skills!G9*((R395-1)*IF(Skills!H9&gt;0,Skills!I9/Skills!H9,1)+IF(Skills!H9&gt;0,MIN(Skills!I9,MAX(0,MAX(0,Inputs!$B$43-B425)-((R395-1)*IF(Inputs!$B$38="pvp",15,MAX(0.1,Skills!D9-IF(TRUE=TRUE,Inputs!$B$32,0))))))/Skills!H9,1)))/Inputs!$B$43),G395*Q395))/N395*IF(Inputs!$B$38="pvp",1,(1-Summary!$B$11)*1+Summary!$B$11*(MIN(Skills!R9,Inputs!$B$37))),0)</f>
        <v/>
      </c>
      <c r="T395">
        <f>IF(C395,(H395*N395*IF(AND(Inputs!$B$38&lt;&gt;"pvp",Inputs!$B$43&gt;0),((Skills!G9*((R395-1)*IF(Skills!H9&gt;0,Skills!I9/Skills!H9,1)+IF(Skills!H9&gt;0,MIN(Skills!I9,MAX(0,MAX(0,Inputs!$B$43-B425)-((R395-1)*IF(Inputs!$B$38="pvp",15,MAX(0.1,Skills!D9-IF(TRUE=TRUE,Inputs!$B$32,0)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425)-((R395-1)*IF(Inputs!$B$38="pvp",15,MAX(0.1,Skills!D9-IF(TRUE=TRUE,Inputs!$B$32,0))))))/Skills!H9,1)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Skills!G10*IF(Skills!H10&gt;0,IF(Inputs!$B$38="pvp",MIN(Skills!I10,15),Skills!I10)/Skills!H10,1)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Skills!G11*IF(Skills!H11&gt;0,IF(Inputs!$B$38="pvp",MIN(Skills!I11,15),Skills!I11)/Skills!H11,1)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IFERROR(1/IF(Inputs!$B$38="pvp",15,MAX(0.1,Skills!D11-IF(TRUE=TRUE,Inputs!$B$32,0))),0)</f>
        <v/>
      </c>
      <c r="R397">
        <f>IF(AND(Inputs!$B$38&lt;&gt;"pvp",Inputs!$B$43&gt;0),IF(MAX(0,Inputs!$B$43-B425)&lt;=0,0,(INT(MAX(0,Inputs!$B$43-B425)/IF(Inputs!$B$38="pvp",15,MAX(0.1,Skills!D11-IF(TRUE=TRUE,Inputs!$B$32,0))))+1)),0)</f>
        <v/>
      </c>
      <c r="S397">
        <f>IFERROR((H397*N397*IF(AND(Inputs!$B$38&lt;&gt;"pvp",Inputs!$B$43&gt;0),((Skills!G11*((R397-1)*IF(Skills!H11&gt;0,Skills!I11/Skills!H11,1)+IF(Skills!H11&gt;0,MIN(Skills!I11,MAX(0,MAX(0,Inputs!$B$43-B425)-((R397-1)*IF(Inputs!$B$38="pvp",15,MAX(0.1,Skills!D11-IF(TRUE=TRUE,Inputs!$B$32,0))))))/Skills!H11,1)))/Inputs!$B$43),G397*Q397))/N397*IF(Inputs!$B$38="pvp",1,(1-Summary!$B$11)*1+Summary!$B$11*(MIN(Skills!R11,Inputs!$B$37))),0)</f>
        <v/>
      </c>
      <c r="T397">
        <f>IF(C397,(H397*N397*IF(AND(Inputs!$B$38&lt;&gt;"pvp",Inputs!$B$43&gt;0),((Skills!G11*((R397-1)*IF(Skills!H11&gt;0,Skills!I11/Skills!H11,1)+IF(Skills!H11&gt;0,MIN(Skills!I11,MAX(0,MAX(0,Inputs!$B$43-B425)-((R397-1)*IF(Inputs!$B$38="pvp",15,MAX(0.1,Skills!D11-IF(TRUE=TRUE,Inputs!$B$32,0))))))/Skills!H11,1)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Inputs!$B$38&lt;&gt;"pvp",Inputs!$B$43=0),1,IF(IF(Inputs!$B$38="pvp",15,Inputs!$B$43)-(B425)&lt;=0,1,MAX(0,IF(Inputs!$B$38="pvp",15,Inputs!$B$43)-MAX(5,B425))/(IF(Inputs!$B$38="pvp",15,Inputs!$B$43)-(B425))))*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Skills!I11/Skills!H11,1)+IF(Skills!H11&gt;0,MIN(Skills!I11,MAX(0,MAX(0,Inputs!$B$43-B425)-((R397-1)*IF(Inputs!$B$38="pvp",15,MAX(0.1,Skills!D11-IF(TRUE=TRUE,Inputs!$B$32,0))))))/Skills!H11,1)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Skills!G12*IF(Skills!H12&gt;0,IF(Inputs!$B$38="pvp",MIN(Skills!I12,15),Skills!I12)/Skills!H12,1)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Skills!G13*IF(Skills!H13&gt;0,IF(Inputs!$B$38="pvp",MIN(Skills!I13,15),Skills!I13)/Skills!H13,1)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Skills!G14*IF(Skills!H14&gt;0,IF(Inputs!$B$38="pvp",MIN(Skills!I14,15),Skills!I14)/Skills!H14,1)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Skills!G15*IF(Skills!H15&gt;0,IF(Inputs!$B$38="pvp",MIN(Skills!I15,15),Skills!I15)/Skills!H15,1)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IFERROR(1/IF(Inputs!$B$38="pvp",15,MAX(0.1,Skills!D15-IF(TRUE=TRUE,Inputs!$B$32,0))),0)</f>
        <v/>
      </c>
      <c r="R401">
        <f>IF(AND(Inputs!$B$38&lt;&gt;"pvp",Inputs!$B$43&gt;0),IF(Inputs!$B$43&lt;=0,0,(INT(Inputs!$B$43/IF(Inputs!$B$38="pvp",15,MAX(0.1,Skills!D15-IF(TRUE=TRUE,Inputs!$B$32,0))))+1)),0)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Skills!G16*IF(Skills!H16&gt;0,IF(Inputs!$B$38="pvp",MIN(Skills!I16,15),Skills!I16)/Skills!H16,1)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IFERROR(1/IF(Inputs!$B$38="pvp",15,MAX(0.1,Skills!D16-IF(TRUE=TRUE,Inputs!$B$32,0))),0)</f>
        <v/>
      </c>
      <c r="R402">
        <f>IF(AND(Inputs!$B$38&lt;&gt;"pvp",Inputs!$B$43&gt;0),IF(Inputs!$B$43&lt;=0,0,(INT(Inputs!$B$43/IF(Inputs!$B$38="pvp",15,MAX(0.1,Skills!D16-IF(TRUE=TRUE,Inputs!$B$32,0))))+1)),0)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Skills!G17*IF(Skills!H17&gt;0,IF(Inputs!$B$38="pvp",MIN(Skills!I17,15),Skills!I17)/Skills!H17,1)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Skills!G18*IF(Skills!H18&gt;0,IF(Inputs!$B$38="pvp",MIN(Skills!I18,15),Skills!I18)/Skills!H18,1)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IFERROR(1/IF(Inputs!$B$38="pvp",15,MAX(0.1,Skills!D18-IF(TRUE=TRUE,Inputs!$B$32,0))),0)</f>
        <v/>
      </c>
      <c r="R404">
        <f>IF(AND(Inputs!$B$38&lt;&gt;"pvp",Inputs!$B$43&gt;0),IF(Inputs!$B$43&lt;=0,0,(INT(Inputs!$B$43/IF(Inputs!$B$38="pvp",15,MAX(0.1,Skills!D18-IF(TRUE=TRUE,Inputs!$B$32,0))))+1)),0)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Skills!G19*IF(Skills!H19&gt;0,IF(Inputs!$B$38="pvp",MIN(Skills!I19,15),Skills!I19)/Skills!H19,1)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Skills!G20*IF(Skills!H20&gt;0,IF(Inputs!$B$38="pvp",MIN(Skills!I20,15),Skills!I20)/Skills!H20,1)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Skills!G21*IF(Skills!H21&gt;0,IF(Inputs!$B$38="pvp",MIN(Skills!I21,15),Skills!I21)/Skills!H21,1)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Skills!G22*IF(Skills!H22&gt;0,IF(Inputs!$B$38="pvp",MIN(Skills!I22,15),Skills!I22)/Skills!H22,1)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Skills!G23*IF(Skills!H23&gt;0,IF(Inputs!$B$38="pvp",MIN(Skills!I23,15),Skills!I23)/Skills!H23,1)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Skills!G24*IF(Skills!H24&gt;0,IF(Inputs!$B$38="pvp",MIN(Skills!I24,15),Skills!I24)/Skills!H24,1)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Skills!G25*IF(Skills!H25&gt;0,IF(Inputs!$B$38="pvp",MIN(Skills!I25,15),Skills!I25)/Skills!H25,1)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Skills!G26*IF(Skills!H26&gt;0,IF(Inputs!$B$38="pvp",MIN(Skills!I26,15),Skills!I26)/Skills!H26,1)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Skills!G27*IF(Skills!H27&gt;0,IF(Inputs!$B$38="pvp",MIN(Skills!I27,15),Skills!I27)/Skills!H27,1)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Skills!G28*IF(Skills!H28&gt;0,IF(Inputs!$B$38="pvp",MIN(Skills!I28,15),Skills!I28)/Skills!H28,1)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Skills!G29*IF(Skills!H29&gt;0,IF(Inputs!$B$38="pvp",MIN(Skills!I29,15),Skills!I29)/Skills!H29,1)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MIN((Skills!T15*(1+Inputs!$B$34/100)),(1/Q401))+MIN((Skills!T15*(1+Inputs!$B$34/100)),MAX(0,Inputs!$B$43-((R401-1)*(1/Q401)))))/Inputs!$B$43),IF(Inputs!$B$38="pvp",MIN((Skills!T15*(1+Inputs!$B$34/100)),15)/15,MIN(1,(Skills!T15*(1+Inputs!$B$34/100))/(1/Q401)))))+((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404=TRUE)*F404*IF(AND(Inputs!$B$38&lt;&gt;"pvp",Inputs!$B$43&gt;0),(((R404-1)*MIN((Skills!T18*(1+Inputs!$B$34/100)),(1/Q404))+MIN((Skills!T18*(1+Inputs!$B$34/100)),MAX(0,Inputs!$B$43-((R404-1)*(1/Q404)))))/Inputs!$B$43),IF(Inputs!$B$38="pvp",MIN((Skills!T18*(1+Inputs!$B$34/100)),15)/15,MIN(1,(Skills!T18*(1+Inputs!$B$34/100))/(1/Q404)))))</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MIN((Skills!T16*(1+Inputs!$B$34/100)),(1/Q402))+MIN((Skills!T16*(1+Inputs!$B$34/100)),MAX(0,Inputs!$B$43-((R402-1)*(1/Q402)))))/Inputs!$B$43),IF(Inputs!$B$38="pvp",MIN((Skills!T16*(1+Inputs!$B$34/100)),15)/15,MIN(1,(Skills!T16*(1+Inputs!$B$34/100))/(1/Q402))))</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Skills!G2*IF(Skills!H2&gt;0,IF(Inputs!$B$38="pvp",MIN(Skills!I2,15),Skills!I2)/Skills!H2,1)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Skills!G5*IF(Skills!H5&gt;0,IF(Inputs!$B$38="pvp",MIN(Skills!I5,15),Skills!I5)/Skills!H5,1)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IFERROR(1/IF(Inputs!$B$38="pvp",15,MAX(0.1,Skills!D5-IF(TRUE=TRUE,Inputs!$B$32,0))),0)</f>
        <v/>
      </c>
      <c r="R436">
        <f>IF(AND(Inputs!$B$38&lt;&gt;"pvp",Inputs!$B$43&gt;0),IF(MAX(0,Inputs!$B$43-B470)&lt;=0,0,(INT(MAX(0,Inputs!$B$43-B470)/IF(Inputs!$B$38="pvp",15,MAX(0.1,Skills!D5-IF(TRUE=TRUE,Inputs!$B$32,0))))+1)),0)</f>
        <v/>
      </c>
      <c r="S436">
        <f>IFERROR((H436*N436*IF(AND(Inputs!$B$38&lt;&gt;"pvp",Inputs!$B$43&gt;0),((Skills!G5*((R436-1)*IF(Skills!H5&gt;0,Skills!I5/Skills!H5,1)+IF(Skills!H5&gt;0,MIN(Skills!I5,MAX(0,MAX(0,Inputs!$B$43-B470)-((R436-1)*IF(Inputs!$B$38="pvp",15,MAX(0.1,Skills!D5-IF(TRUE=TRUE,Inputs!$B$32,0))))))/Skills!H5,1)))/Inputs!$B$43),G436*Q436))/N436*IF(Inputs!$B$38="pvp",1,(1-Summary!$B$11)*1+Summary!$B$11*(MIN(Skills!R5,Inputs!$B$37))),0)</f>
        <v/>
      </c>
      <c r="T436">
        <f>IF(C436,(H436*N436*IF(AND(Inputs!$B$38&lt;&gt;"pvp",Inputs!$B$43&gt;0),((Skills!G5*((R436-1)*IF(Skills!H5&gt;0,Skills!I5/Skills!H5,1)+IF(Skills!H5&gt;0,MIN(Skills!I5,MAX(0,MAX(0,Inputs!$B$43-B470)-((R436-1)*IF(Inputs!$B$38="pvp",15,MAX(0.1,Skills!D5-IF(TRUE=TRUE,Inputs!$B$32,0)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470)-((R436-1)*IF(Inputs!$B$38="pvp",15,MAX(0.1,Skills!D5-IF(TRUE=TRUE,Inputs!$B$32,0))))))/Skills!H5,1)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Skills!G6*IF(Skills!H6&gt;0,IF(Inputs!$B$38="pvp",MIN(Skills!I6,15),Skills!I6)/Skills!H6,1)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IFERROR(1/IF(Inputs!$B$38="pvp",15,MAX(0.1,Skills!D6-IF(TRUE=TRUE,Inputs!$B$32,0))),0)</f>
        <v/>
      </c>
      <c r="R437">
        <f>IF(AND(Inputs!$B$38&lt;&gt;"pvp",Inputs!$B$43&gt;0),IF(MAX(0,Inputs!$B$43-B470)&lt;=0,0,(INT(MAX(0,Inputs!$B$43-B470)/IF(Inputs!$B$38="pvp",15,MAX(0.1,Skills!D6-IF(TRUE=TRUE,Inputs!$B$32,0))))+1)),0)</f>
        <v/>
      </c>
      <c r="S437">
        <f>IFERROR((H437*N437*IF(AND(Inputs!$B$38&lt;&gt;"pvp",Inputs!$B$43&gt;0),((Skills!G6*((R437-1)*IF(Skills!H6&gt;0,Skills!I6/Skills!H6,1)+IF(Skills!H6&gt;0,MIN(Skills!I6,MAX(0,MAX(0,Inputs!$B$43-B470)-((R437-1)*IF(Inputs!$B$38="pvp",15,MAX(0.1,Skills!D6-IF(TRUE=TRUE,Inputs!$B$32,0))))))/Skills!H6,1)))/Inputs!$B$43),G437*Q437))/N437*IF(Inputs!$B$38="pvp",1,(1-Summary!$B$11)*1+Summary!$B$11*(MIN(Skills!R6,Inputs!$B$37))),0)</f>
        <v/>
      </c>
      <c r="T437">
        <f>IF(C437,(H437*N437*IF(AND(Inputs!$B$38&lt;&gt;"pvp",Inputs!$B$43&gt;0),((Skills!G6*((R437-1)*IF(Skills!H6&gt;0,Skills!I6/Skills!H6,1)+IF(Skills!H6&gt;0,MIN(Skills!I6,MAX(0,MAX(0,Inputs!$B$43-B470)-((R437-1)*IF(Inputs!$B$38="pvp",15,MAX(0.1,Skills!D6-IF(TRUE=TRUE,Inputs!$B$32,0)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470)-((R437-1)*IF(Inputs!$B$38="pvp",15,MAX(0.1,Skills!D6-IF(TRUE=TRUE,Inputs!$B$32,0))))))/Skills!H6,1)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Skills!G7*IF(Skills!H7&gt;0,IF(Inputs!$B$38="pvp",MIN(Skills!I7,15),Skills!I7)/Skills!H7,1)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IFERROR(1/IF(Inputs!$B$38="pvp",15,MAX(0.1,Skills!D7-IF(TRUE=TRUE,Inputs!$B$32,0))),0)</f>
        <v/>
      </c>
      <c r="R438">
        <f>IF(AND(Inputs!$B$38&lt;&gt;"pvp",Inputs!$B$43&gt;0),IF(MAX(0,Inputs!$B$43-B470)&lt;=0,0,(INT(MAX(0,Inputs!$B$43-B470)/IF(Inputs!$B$38="pvp",15,MAX(0.1,Skills!D7-IF(TRUE=TRUE,Inputs!$B$32,0))))+1)),0)</f>
        <v/>
      </c>
      <c r="S438">
        <f>IFERROR((H438*N438*IF(AND(Inputs!$B$38&lt;&gt;"pvp",Inputs!$B$43&gt;0),((Skills!G7*((R438-1)*IF(Skills!H7&gt;0,Skills!I7/Skills!H7,1)+IF(Skills!H7&gt;0,MIN(Skills!I7,MAX(0,MAX(0,Inputs!$B$43-B470)-((R438-1)*IF(Inputs!$B$38="pvp",15,MAX(0.1,Skills!D7-IF(TRUE=TRUE,Inputs!$B$32,0))))))/Skills!H7,1)))/Inputs!$B$43),G438*Q438))/N438*IF(Inputs!$B$38="pvp",1,(1-Summary!$B$11)*1+Summary!$B$11*(MIN(Skills!R7,Inputs!$B$37))),0)</f>
        <v/>
      </c>
      <c r="T438">
        <f>IF(C438,(H438*N438*IF(AND(Inputs!$B$38&lt;&gt;"pvp",Inputs!$B$43&gt;0),((Skills!G7*((R438-1)*IF(Skills!H7&gt;0,Skills!I7/Skills!H7,1)+IF(Skills!H7&gt;0,MIN(Skills!I7,MAX(0,MAX(0,Inputs!$B$43-B470)-((R438-1)*IF(Inputs!$B$38="pvp",15,MAX(0.1,Skills!D7-IF(TRUE=TRUE,Inputs!$B$32,0)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470)-((R438-1)*IF(Inputs!$B$38="pvp",15,MAX(0.1,Skills!D7-IF(TRUE=TRUE,Inputs!$B$32,0))))))/Skills!H7,1)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Skills!G9*IF(Skills!H9&gt;0,IF(Inputs!$B$38="pvp",MIN(Skills!I9,15),Skills!I9)/Skills!H9,1)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IFERROR(1/IF(Inputs!$B$38="pvp",15,MAX(0.1,Skills!D9-IF(TRUE=TRUE,Inputs!$B$32,0))),0)</f>
        <v/>
      </c>
      <c r="R440">
        <f>IF(AND(Inputs!$B$38&lt;&gt;"pvp",Inputs!$B$43&gt;0),IF(MAX(0,Inputs!$B$43-B470)&lt;=0,0,(INT(MAX(0,Inputs!$B$43-B470)/IF(Inputs!$B$38="pvp",15,MAX(0.1,Skills!D9-IF(TRUE=TRUE,Inputs!$B$32,0))))+1)),0)</f>
        <v/>
      </c>
      <c r="S440">
        <f>IFERROR((H440*N440*IF(AND(Inputs!$B$38&lt;&gt;"pvp",Inputs!$B$43&gt;0),((Skills!G9*((R440-1)*IF(Skills!H9&gt;0,Skills!I9/Skills!H9,1)+IF(Skills!H9&gt;0,MIN(Skills!I9,MAX(0,MAX(0,Inputs!$B$43-B470)-((R440-1)*IF(Inputs!$B$38="pvp",15,MAX(0.1,Skills!D9-IF(TRUE=TRUE,Inputs!$B$32,0))))))/Skills!H9,1)))/Inputs!$B$43),G440*Q440))/N440*IF(Inputs!$B$38="pvp",1,(1-Summary!$B$11)*1+Summary!$B$11*(MIN(Skills!R9,Inputs!$B$37))),0)</f>
        <v/>
      </c>
      <c r="T440">
        <f>IF(C440,(H440*N440*IF(AND(Inputs!$B$38&lt;&gt;"pvp",Inputs!$B$43&gt;0),((Skills!G9*((R440-1)*IF(Skills!H9&gt;0,Skills!I9/Skills!H9,1)+IF(Skills!H9&gt;0,MIN(Skills!I9,MAX(0,MAX(0,Inputs!$B$43-B470)-((R440-1)*IF(Inputs!$B$38="pvp",15,MAX(0.1,Skills!D9-IF(TRUE=TRUE,Inputs!$B$32,0)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470)-((R440-1)*IF(Inputs!$B$38="pvp",15,MAX(0.1,Skills!D9-IF(TRUE=TRUE,Inputs!$B$32,0))))))/Skills!H9,1)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Skills!G10*IF(Skills!H10&gt;0,IF(Inputs!$B$38="pvp",MIN(Skills!I10,15),Skills!I10)/Skills!H10,1)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Skills!G11*IF(Skills!H11&gt;0,IF(Inputs!$B$38="pvp",MIN(Skills!I11,15),Skills!I11)/Skills!H11,1)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IFERROR(1/IF(Inputs!$B$38="pvp",15,MAX(0.1,Skills!D11-IF(TRUE=TRUE,Inputs!$B$32,0))),0)</f>
        <v/>
      </c>
      <c r="R442">
        <f>IF(AND(Inputs!$B$38&lt;&gt;"pvp",Inputs!$B$43&gt;0),IF(MAX(0,Inputs!$B$43-B470)&lt;=0,0,(INT(MAX(0,Inputs!$B$43-B470)/IF(Inputs!$B$38="pvp",15,MAX(0.1,Skills!D11-IF(TRUE=TRUE,Inputs!$B$32,0))))+1)),0)</f>
        <v/>
      </c>
      <c r="S442">
        <f>IFERROR((H442*N442*IF(AND(Inputs!$B$38&lt;&gt;"pvp",Inputs!$B$43&gt;0),((Skills!G11*((R442-1)*IF(Skills!H11&gt;0,Skills!I11/Skills!H11,1)+IF(Skills!H11&gt;0,MIN(Skills!I11,MAX(0,MAX(0,Inputs!$B$43-B470)-((R442-1)*IF(Inputs!$B$38="pvp",15,MAX(0.1,Skills!D11-IF(TRUE=TRUE,Inputs!$B$32,0))))))/Skills!H11,1)))/Inputs!$B$43),G442*Q442))/N442*IF(Inputs!$B$38="pvp",1,(1-Summary!$B$11)*1+Summary!$B$11*(MIN(Skills!R11,Inputs!$B$37))),0)</f>
        <v/>
      </c>
      <c r="T442">
        <f>IF(C442,(H442*N442*IF(AND(Inputs!$B$38&lt;&gt;"pvp",Inputs!$B$43&gt;0),((Skills!G11*((R442-1)*IF(Skills!H11&gt;0,Skills!I11/Skills!H11,1)+IF(Skills!H11&gt;0,MIN(Skills!I11,MAX(0,MAX(0,Inputs!$B$43-B470)-((R442-1)*IF(Inputs!$B$38="pvp",15,MAX(0.1,Skills!D11-IF(TRUE=TRUE,Inputs!$B$32,0)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Inputs!$B$38&lt;&gt;"pvp",Inputs!$B$43=0),1,IF(IF(Inputs!$B$38="pvp",15,Inputs!$B$43)-(B470)&lt;=0,1,MAX(0,IF(Inputs!$B$38="pvp",15,Inputs!$B$43)-MAX(5,B470))/(IF(Inputs!$B$38="pvp",15,Inputs!$B$43)-(B470)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470)-((R442-1)*IF(Inputs!$B$38="pvp",15,MAX(0.1,Skills!D11-IF(TRUE=TRUE,Inputs!$B$32,0))))))/Skills!H11,1)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Skills!G12*IF(Skills!H12&gt;0,IF(Inputs!$B$38="pvp",MIN(Skills!I12,15),Skills!I12)/Skills!H12,1)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Skills!G13*IF(Skills!H13&gt;0,IF(Inputs!$B$38="pvp",MIN(Skills!I13,15),Skills!I13)/Skills!H13,1)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Skills!G14*IF(Skills!H14&gt;0,IF(Inputs!$B$38="pvp",MIN(Skills!I14,15),Skills!I14)/Skills!H14,1)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Skills!G15*IF(Skills!H15&gt;0,IF(Inputs!$B$38="pvp",MIN(Skills!I15,15),Skills!I15)/Skills!H15,1)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IFERROR(1/IF(Inputs!$B$38="pvp",15,MAX(0.1,Skills!D15-IF(TRUE=TRUE,Inputs!$B$32,0))),0)</f>
        <v/>
      </c>
      <c r="R446">
        <f>IF(AND(Inputs!$B$38&lt;&gt;"pvp",Inputs!$B$43&gt;0),IF(Inputs!$B$43&lt;=0,0,(INT(Inputs!$B$43/IF(Inputs!$B$38="pvp",15,MAX(0.1,Skills!D15-IF(TRUE=TRUE,Inputs!$B$32,0))))+1)),0)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Skills!G16*IF(Skills!H16&gt;0,IF(Inputs!$B$38="pvp",MIN(Skills!I16,15),Skills!I16)/Skills!H16,1)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IFERROR(1/IF(Inputs!$B$38="pvp",15,MAX(0.1,Skills!D16-IF(TRUE=TRUE,Inputs!$B$32,0))),0)</f>
        <v/>
      </c>
      <c r="R447">
        <f>IF(AND(Inputs!$B$38&lt;&gt;"pvp",Inputs!$B$43&gt;0),IF(Inputs!$B$43&lt;=0,0,(INT(Inputs!$B$43/IF(Inputs!$B$38="pvp",15,MAX(0.1,Skills!D16-IF(TRUE=TRUE,Inputs!$B$32,0))))+1)),0)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Skills!G17*IF(Skills!H17&gt;0,IF(Inputs!$B$38="pvp",MIN(Skills!I17,15),Skills!I17)/Skills!H17,1)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Skills!G18*IF(Skills!H18&gt;0,IF(Inputs!$B$38="pvp",MIN(Skills!I18,15),Skills!I18)/Skills!H18,1)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IFERROR(1/IF(Inputs!$B$38="pvp",15,MAX(0.1,Skills!D18-IF(TRUE=TRUE,Inputs!$B$32,0))),0)</f>
        <v/>
      </c>
      <c r="R449">
        <f>IF(AND(Inputs!$B$38&lt;&gt;"pvp",Inputs!$B$43&gt;0),IF(Inputs!$B$43&lt;=0,0,(INT(Inputs!$B$43/IF(Inputs!$B$38="pvp",15,MAX(0.1,Skills!D18-IF(TRUE=TRUE,Inputs!$B$32,0))))+1)),0)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Skills!G19*IF(Skills!H19&gt;0,IF(Inputs!$B$38="pvp",MIN(Skills!I19,15),Skills!I19)/Skills!H19,1)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Skills!G20*IF(Skills!H20&gt;0,IF(Inputs!$B$38="pvp",MIN(Skills!I20,15),Skills!I20)/Skills!H20,1)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Skills!G21*IF(Skills!H21&gt;0,IF(Inputs!$B$38="pvp",MIN(Skills!I21,15),Skills!I21)/Skills!H21,1)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Skills!G22*IF(Skills!H22&gt;0,IF(Inputs!$B$38="pvp",MIN(Skills!I22,15),Skills!I22)/Skills!H22,1)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Skills!G23*IF(Skills!H23&gt;0,IF(Inputs!$B$38="pvp",MIN(Skills!I23,15),Skills!I23)/Skills!H23,1)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Skills!G24*IF(Skills!H24&gt;0,IF(Inputs!$B$38="pvp",MIN(Skills!I24,15),Skills!I24)/Skills!H24,1)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Skills!G25*IF(Skills!H25&gt;0,IF(Inputs!$B$38="pvp",MIN(Skills!I25,15),Skills!I25)/Skills!H25,1)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Skills!G26*IF(Skills!H26&gt;0,IF(Inputs!$B$38="pvp",MIN(Skills!I26,15),Skills!I26)/Skills!H26,1)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Skills!G27*IF(Skills!H27&gt;0,IF(Inputs!$B$38="pvp",MIN(Skills!I27,15),Skills!I27)/Skills!H27,1)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Skills!G28*IF(Skills!H28&gt;0,IF(Inputs!$B$38="pvp",MIN(Skills!I28,15),Skills!I28)/Skills!H28,1)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Skills!G29*IF(Skills!H29&gt;0,IF(Inputs!$B$38="pvp",MIN(Skills!I29,15),Skills!I29)/Skills!H29,1)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MIN((Skills!T15*(1+Inputs!$B$34/100)),(1/Q446))+MIN((Skills!T15*(1+Inputs!$B$34/100)),MAX(0,Inputs!$B$43-((R446-1)*(1/Q446)))))/Inputs!$B$43),IF(Inputs!$B$38="pvp",MIN((Skills!T15*(1+Inputs!$B$34/100)),15)/15,MIN(1,(Skills!T15*(1+Inputs!$B$34/100))/(1/Q446)))))+((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t="n">
        <v>0</v>
      </c>
    </row>
    <row r="464">
      <c r="A464" t="inlineStr">
        <is>
          <t>Attack Speed Buff Bonus %</t>
        </is>
      </c>
      <c r="B464">
        <f>((C449=TRUE)*F449*IF(AND(Inputs!$B$38&lt;&gt;"pvp",Inputs!$B$43&gt;0),(((R449-1)*MIN((Skills!T18*(1+Inputs!$B$34/100)),(1/Q449))+MIN((Skills!T18*(1+Inputs!$B$34/100)),MAX(0,Inputs!$B$43-((R449-1)*(1/Q449)))))/Inputs!$B$43),IF(Inputs!$B$38="pvp",MIN((Skills!T18*(1+Inputs!$B$34/100)),15)/15,MIN(1,(Skills!T18*(1+Inputs!$B$34/100))/(1/Q449)))))</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MIN((Skills!T16*(1+Inputs!$B$34/100)),(1/Q447))+MIN((Skills!T16*(1+Inputs!$B$34/100)),MAX(0,Inputs!$B$43-((R447-1)*(1/Q447)))))/Inputs!$B$43),IF(Inputs!$B$38="pvp",MIN((Skills!T16*(1+Inputs!$B$34/100)),15)/15,MIN(1,(Skills!T16*(1+Inputs!$B$34/100))/(1/Q447))))</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Skills!G2*IF(Skills!H2&gt;0,IF(Inputs!$B$38="pvp",MIN(Skills!I2,15),Skills!I2)/Skills!H2,1)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Skills!G5*IF(Skills!H5&gt;0,IF(Inputs!$B$38="pvp",MIN(Skills!I5,15),Skills!I5)/Skills!H5,1)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IFERROR(1/IF(Inputs!$B$38="pvp",15,MAX(0.1,Skills!D5-IF(TRUE=TRUE,Inputs!$B$32,0))),0)</f>
        <v/>
      </c>
      <c r="R481">
        <f>IF(AND(Inputs!$B$38&lt;&gt;"pvp",Inputs!$B$43&gt;0),IF(MAX(0,Inputs!$B$43-B515)&lt;=0,0,(INT(MAX(0,Inputs!$B$43-B515)/IF(Inputs!$B$38="pvp",15,MAX(0.1,Skills!D5-IF(TRUE=TRUE,Inputs!$B$32,0))))+1)),0)</f>
        <v/>
      </c>
      <c r="S481">
        <f>IFERROR((H481*N481*IF(AND(Inputs!$B$38&lt;&gt;"pvp",Inputs!$B$43&gt;0),((Skills!G5*((R481-1)*IF(Skills!H5&gt;0,Skills!I5/Skills!H5,1)+IF(Skills!H5&gt;0,MIN(Skills!I5,MAX(0,MAX(0,Inputs!$B$43-B515)-((R481-1)*IF(Inputs!$B$38="pvp",15,MAX(0.1,Skills!D5-IF(TRUE=TRUE,Inputs!$B$32,0))))))/Skills!H5,1)))/Inputs!$B$43),G481*Q481))/N481*IF(Inputs!$B$38="pvp",1,(1-Summary!$B$11)*1+Summary!$B$11*(MIN(Skills!R5,Inputs!$B$37))),0)</f>
        <v/>
      </c>
      <c r="T481">
        <f>IF(C481,(H481*N481*IF(AND(Inputs!$B$38&lt;&gt;"pvp",Inputs!$B$43&gt;0),((Skills!G5*((R481-1)*IF(Skills!H5&gt;0,Skills!I5/Skills!H5,1)+IF(Skills!H5&gt;0,MIN(Skills!I5,MAX(0,MAX(0,Inputs!$B$43-B515)-((R481-1)*IF(Inputs!$B$38="pvp",15,MAX(0.1,Skills!D5-IF(TRUE=TRUE,Inputs!$B$32,0))))))/Skills!H5,1)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Skills!I5/Skills!H5,1)+IF(Skills!H5&gt;0,MIN(Skills!I5,MAX(0,MAX(0,Inputs!$B$43-B515)-((R481-1)*IF(Inputs!$B$38="pvp",15,MAX(0.1,Skills!D5-IF(TRUE=TRUE,Inputs!$B$32,0))))))/Skills!H5,1)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Skills!G6*IF(Skills!H6&gt;0,IF(Inputs!$B$38="pvp",MIN(Skills!I6,15),Skills!I6)/Skills!H6,1)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IFERROR(1/IF(Inputs!$B$38="pvp",15,MAX(0.1,Skills!D6-IF(TRUE=TRUE,Inputs!$B$32,0))),0)</f>
        <v/>
      </c>
      <c r="R482">
        <f>IF(AND(Inputs!$B$38&lt;&gt;"pvp",Inputs!$B$43&gt;0),IF(MAX(0,Inputs!$B$43-B515)&lt;=0,0,(INT(MAX(0,Inputs!$B$43-B515)/IF(Inputs!$B$38="pvp",15,MAX(0.1,Skills!D6-IF(TRUE=TRUE,Inputs!$B$32,0))))+1)),0)</f>
        <v/>
      </c>
      <c r="S482">
        <f>IFERROR((H482*N482*IF(AND(Inputs!$B$38&lt;&gt;"pvp",Inputs!$B$43&gt;0),((Skills!G6*((R482-1)*IF(Skills!H6&gt;0,Skills!I6/Skills!H6,1)+IF(Skills!H6&gt;0,MIN(Skills!I6,MAX(0,MAX(0,Inputs!$B$43-B515)-((R482-1)*IF(Inputs!$B$38="pvp",15,MAX(0.1,Skills!D6-IF(TRUE=TRUE,Inputs!$B$32,0))))))/Skills!H6,1)))/Inputs!$B$43),G482*Q482))/N482*IF(Inputs!$B$38="pvp",1,(1-Summary!$B$11)*1+Summary!$B$11*(MIN(Skills!R6,Inputs!$B$37))),0)</f>
        <v/>
      </c>
      <c r="T482">
        <f>IF(C482,(H482*N482*IF(AND(Inputs!$B$38&lt;&gt;"pvp",Inputs!$B$43&gt;0),((Skills!G6*((R482-1)*IF(Skills!H6&gt;0,Skills!I6/Skills!H6,1)+IF(Skills!H6&gt;0,MIN(Skills!I6,MAX(0,MAX(0,Inputs!$B$43-B515)-((R482-1)*IF(Inputs!$B$38="pvp",15,MAX(0.1,Skills!D6-IF(TRUE=TRUE,Inputs!$B$32,0)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515)-((R482-1)*IF(Inputs!$B$38="pvp",15,MAX(0.1,Skills!D6-IF(TRUE=TRUE,Inputs!$B$32,0))))))/Skills!H6,1)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Skills!G7*IF(Skills!H7&gt;0,IF(Inputs!$B$38="pvp",MIN(Skills!I7,15),Skills!I7)/Skills!H7,1)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IFERROR(1/IF(Inputs!$B$38="pvp",15,MAX(0.1,Skills!D7-IF(TRUE=TRUE,Inputs!$B$32,0))),0)</f>
        <v/>
      </c>
      <c r="R483">
        <f>IF(AND(Inputs!$B$38&lt;&gt;"pvp",Inputs!$B$43&gt;0),IF(MAX(0,Inputs!$B$43-B515)&lt;=0,0,(INT(MAX(0,Inputs!$B$43-B515)/IF(Inputs!$B$38="pvp",15,MAX(0.1,Skills!D7-IF(TRUE=TRUE,Inputs!$B$32,0))))+1)),0)</f>
        <v/>
      </c>
      <c r="S483">
        <f>IFERROR((H483*N483*IF(AND(Inputs!$B$38&lt;&gt;"pvp",Inputs!$B$43&gt;0),((Skills!G7*((R483-1)*IF(Skills!H7&gt;0,Skills!I7/Skills!H7,1)+IF(Skills!H7&gt;0,MIN(Skills!I7,MAX(0,MAX(0,Inputs!$B$43-B515)-((R483-1)*IF(Inputs!$B$38="pvp",15,MAX(0.1,Skills!D7-IF(TRUE=TRUE,Inputs!$B$32,0))))))/Skills!H7,1)))/Inputs!$B$43),G483*Q483))/N483*IF(Inputs!$B$38="pvp",1,(1-Summary!$B$11)*1+Summary!$B$11*(MIN(Skills!R7,Inputs!$B$37))),0)</f>
        <v/>
      </c>
      <c r="T483">
        <f>IF(C483,(H483*N483*IF(AND(Inputs!$B$38&lt;&gt;"pvp",Inputs!$B$43&gt;0),((Skills!G7*((R483-1)*IF(Skills!H7&gt;0,Skills!I7/Skills!H7,1)+IF(Skills!H7&gt;0,MIN(Skills!I7,MAX(0,MAX(0,Inputs!$B$43-B515)-((R483-1)*IF(Inputs!$B$38="pvp",15,MAX(0.1,Skills!D7-IF(TRUE=TRUE,Inputs!$B$32,0)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515)-((R483-1)*IF(Inputs!$B$38="pvp",15,MAX(0.1,Skills!D7-IF(TRUE=TRUE,Inputs!$B$32,0))))))/Skills!H7,1)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Skills!G9*IF(Skills!H9&gt;0,IF(Inputs!$B$38="pvp",MIN(Skills!I9,15),Skills!I9)/Skills!H9,1)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IFERROR(1/IF(Inputs!$B$38="pvp",15,MAX(0.1,Skills!D9-IF(TRUE=TRUE,Inputs!$B$32,0))),0)</f>
        <v/>
      </c>
      <c r="R485">
        <f>IF(AND(Inputs!$B$38&lt;&gt;"pvp",Inputs!$B$43&gt;0),IF(MAX(0,Inputs!$B$43-B515)&lt;=0,0,(INT(MAX(0,Inputs!$B$43-B515)/IF(Inputs!$B$38="pvp",15,MAX(0.1,Skills!D9-IF(TRUE=TRUE,Inputs!$B$32,0))))+1)),0)</f>
        <v/>
      </c>
      <c r="S485">
        <f>IFERROR((H485*N485*IF(AND(Inputs!$B$38&lt;&gt;"pvp",Inputs!$B$43&gt;0),((Skills!G9*((R485-1)*IF(Skills!H9&gt;0,Skills!I9/Skills!H9,1)+IF(Skills!H9&gt;0,MIN(Skills!I9,MAX(0,MAX(0,Inputs!$B$43-B515)-((R485-1)*IF(Inputs!$B$38="pvp",15,MAX(0.1,Skills!D9-IF(TRUE=TRUE,Inputs!$B$32,0))))))/Skills!H9,1)))/Inputs!$B$43),G485*Q485))/N485*IF(Inputs!$B$38="pvp",1,(1-Summary!$B$11)*1+Summary!$B$11*(MIN(Skills!R9,Inputs!$B$37))),0)</f>
        <v/>
      </c>
      <c r="T485">
        <f>IF(C485,(H485*N485*IF(AND(Inputs!$B$38&lt;&gt;"pvp",Inputs!$B$43&gt;0),((Skills!G9*((R485-1)*IF(Skills!H9&gt;0,Skills!I9/Skills!H9,1)+IF(Skills!H9&gt;0,MIN(Skills!I9,MAX(0,MAX(0,Inputs!$B$43-B515)-((R485-1)*IF(Inputs!$B$38="pvp",15,MAX(0.1,Skills!D9-IF(TRUE=TRUE,Inputs!$B$32,0)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515)-((R485-1)*IF(Inputs!$B$38="pvp",15,MAX(0.1,Skills!D9-IF(TRUE=TRUE,Inputs!$B$32,0))))))/Skills!H9,1)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Skills!G10*IF(Skills!H10&gt;0,IF(Inputs!$B$38="pvp",MIN(Skills!I10,15),Skills!I10)/Skills!H10,1)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Skills!G11*IF(Skills!H11&gt;0,IF(Inputs!$B$38="pvp",MIN(Skills!I11,15),Skills!I11)/Skills!H11,1)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IFERROR(1/IF(Inputs!$B$38="pvp",15,MAX(0.1,Skills!D11-IF(TRUE=TRUE,Inputs!$B$32,0))),0)</f>
        <v/>
      </c>
      <c r="R487">
        <f>IF(AND(Inputs!$B$38&lt;&gt;"pvp",Inputs!$B$43&gt;0),IF(MAX(0,Inputs!$B$43-B515)&lt;=0,0,(INT(MAX(0,Inputs!$B$43-B515)/IF(Inputs!$B$38="pvp",15,MAX(0.1,Skills!D11-IF(TRUE=TRUE,Inputs!$B$32,0))))+1)),0)</f>
        <v/>
      </c>
      <c r="S487">
        <f>IFERROR((H487*N487*IF(AND(Inputs!$B$38&lt;&gt;"pvp",Inputs!$B$43&gt;0),((Skills!G11*((R487-1)*IF(Skills!H11&gt;0,Skills!I11/Skills!H11,1)+IF(Skills!H11&gt;0,MIN(Skills!I11,MAX(0,MAX(0,Inputs!$B$43-B515)-((R487-1)*IF(Inputs!$B$38="pvp",15,MAX(0.1,Skills!D11-IF(TRUE=TRUE,Inputs!$B$32,0))))))/Skills!H11,1)))/Inputs!$B$43),G487*Q487))/N487*IF(Inputs!$B$38="pvp",1,(1-Summary!$B$11)*1+Summary!$B$11*(MIN(Skills!R11,Inputs!$B$37))),0)</f>
        <v/>
      </c>
      <c r="T487">
        <f>IF(C487,(H487*N487*IF(AND(Inputs!$B$38&lt;&gt;"pvp",Inputs!$B$43&gt;0),((Skills!G11*((R487-1)*IF(Skills!H11&gt;0,Skills!I11/Skills!H11,1)+IF(Skills!H11&gt;0,MIN(Skills!I11,MAX(0,MAX(0,Inputs!$B$43-B515)-((R487-1)*IF(Inputs!$B$38="pvp",15,MAX(0.1,Skills!D11-IF(TRUE=TRUE,Inputs!$B$32,0))))))/Skills!H11,1)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Inputs!$B$38&lt;&gt;"pvp",Inputs!$B$43=0),1,IF(IF(Inputs!$B$38="pvp",15,Inputs!$B$43)-(B515)&lt;=0,1,MAX(0,IF(Inputs!$B$38="pvp",15,Inputs!$B$43)-MAX(5,B515))/(IF(Inputs!$B$38="pvp",15,Inputs!$B$43)-(B515))))*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Skills!I11/Skills!H11,1)+IF(Skills!H11&gt;0,MIN(Skills!I11,MAX(0,MAX(0,Inputs!$B$43-B515)-((R487-1)*IF(Inputs!$B$38="pvp",15,MAX(0.1,Skills!D11-IF(TRUE=TRUE,Inputs!$B$32,0))))))/Skills!H11,1)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Skills!G12*IF(Skills!H12&gt;0,IF(Inputs!$B$38="pvp",MIN(Skills!I12,15),Skills!I12)/Skills!H12,1)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Skills!G13*IF(Skills!H13&gt;0,IF(Inputs!$B$38="pvp",MIN(Skills!I13,15),Skills!I13)/Skills!H13,1)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Skills!G14*IF(Skills!H14&gt;0,IF(Inputs!$B$38="pvp",MIN(Skills!I14,15),Skills!I14)/Skills!H14,1)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Skills!G15*IF(Skills!H15&gt;0,IF(Inputs!$B$38="pvp",MIN(Skills!I15,15),Skills!I15)/Skills!H15,1)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IFERROR(1/IF(Inputs!$B$38="pvp",15,MAX(0.1,Skills!D15-IF(TRUE=TRUE,Inputs!$B$32,0))),0)</f>
        <v/>
      </c>
      <c r="R491">
        <f>IF(AND(Inputs!$B$38&lt;&gt;"pvp",Inputs!$B$43&gt;0),IF(Inputs!$B$43&lt;=0,0,(INT(Inputs!$B$43/IF(Inputs!$B$38="pvp",15,MAX(0.1,Skills!D15-IF(TRUE=TRUE,Inputs!$B$32,0))))+1)),0)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Skills!G16*IF(Skills!H16&gt;0,IF(Inputs!$B$38="pvp",MIN(Skills!I16,15),Skills!I16)/Skills!H16,1)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IFERROR(1/IF(Inputs!$B$38="pvp",15,MAX(0.1,Skills!D16-IF(TRUE=TRUE,Inputs!$B$32,0))),0)</f>
        <v/>
      </c>
      <c r="R492">
        <f>IF(AND(Inputs!$B$38&lt;&gt;"pvp",Inputs!$B$43&gt;0),IF(Inputs!$B$43&lt;=0,0,(INT(Inputs!$B$43/IF(Inputs!$B$38="pvp",15,MAX(0.1,Skills!D16-IF(TRUE=TRUE,Inputs!$B$32,0))))+1)),0)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Skills!G17*IF(Skills!H17&gt;0,IF(Inputs!$B$38="pvp",MIN(Skills!I17,15),Skills!I17)/Skills!H17,1)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Skills!G18*IF(Skills!H18&gt;0,IF(Inputs!$B$38="pvp",MIN(Skills!I18,15),Skills!I18)/Skills!H18,1)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IFERROR(1/IF(Inputs!$B$38="pvp",15,MAX(0.1,Skills!D18-IF(TRUE=TRUE,Inputs!$B$32,0))),0)</f>
        <v/>
      </c>
      <c r="R494">
        <f>IF(AND(Inputs!$B$38&lt;&gt;"pvp",Inputs!$B$43&gt;0),IF(Inputs!$B$43&lt;=0,0,(INT(Inputs!$B$43/IF(Inputs!$B$38="pvp",15,MAX(0.1,Skills!D18-IF(TRUE=TRUE,Inputs!$B$32,0))))+1)),0)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Skills!G19*IF(Skills!H19&gt;0,IF(Inputs!$B$38="pvp",MIN(Skills!I19,15),Skills!I19)/Skills!H19,1)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Skills!G20*IF(Skills!H20&gt;0,IF(Inputs!$B$38="pvp",MIN(Skills!I20,15),Skills!I20)/Skills!H20,1)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Skills!G21*IF(Skills!H21&gt;0,IF(Inputs!$B$38="pvp",MIN(Skills!I21,15),Skills!I21)/Skills!H21,1)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Skills!G22*IF(Skills!H22&gt;0,IF(Inputs!$B$38="pvp",MIN(Skills!I22,15),Skills!I22)/Skills!H22,1)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Skills!G23*IF(Skills!H23&gt;0,IF(Inputs!$B$38="pvp",MIN(Skills!I23,15),Skills!I23)/Skills!H23,1)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Skills!G24*IF(Skills!H24&gt;0,IF(Inputs!$B$38="pvp",MIN(Skills!I24,15),Skills!I24)/Skills!H24,1)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Skills!G25*IF(Skills!H25&gt;0,IF(Inputs!$B$38="pvp",MIN(Skills!I25,15),Skills!I25)/Skills!H25,1)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Skills!G26*IF(Skills!H26&gt;0,IF(Inputs!$B$38="pvp",MIN(Skills!I26,15),Skills!I26)/Skills!H26,1)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Skills!G27*IF(Skills!H27&gt;0,IF(Inputs!$B$38="pvp",MIN(Skills!I27,15),Skills!I27)/Skills!H27,1)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Skills!G28*IF(Skills!H28&gt;0,IF(Inputs!$B$38="pvp",MIN(Skills!I28,15),Skills!I28)/Skills!H28,1)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Skills!G29*IF(Skills!H29&gt;0,IF(Inputs!$B$38="pvp",MIN(Skills!I29,15),Skills!I29)/Skills!H29,1)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MIN((Skills!T15*(1+Inputs!$B$34/100)),(1/Q491))+MIN((Skills!T15*(1+Inputs!$B$34/100)),MAX(0,Inputs!$B$43-((R491-1)*(1/Q491)))))/Inputs!$B$43),IF(Inputs!$B$38="pvp",MIN((Skills!T15*(1+Inputs!$B$34/100)),15)/15,MIN(1,(Skills!T15*(1+Inputs!$B$34/100))/(1/Q491)))))+((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t="n">
        <v>0</v>
      </c>
    </row>
    <row r="509">
      <c r="A509" t="inlineStr">
        <is>
          <t>Attack Speed Buff Bonus %</t>
        </is>
      </c>
      <c r="B509">
        <f>((C494=TRUE)*F494*IF(AND(Inputs!$B$38&lt;&gt;"pvp",Inputs!$B$43&gt;0),(((R494-1)*MIN((Skills!T18*(1+Inputs!$B$34/100)),(1/Q494))+MIN((Skills!T18*(1+Inputs!$B$34/100)),MAX(0,Inputs!$B$43-((R494-1)*(1/Q494)))))/Inputs!$B$43),IF(Inputs!$B$38="pvp",MIN((Skills!T18*(1+Inputs!$B$34/100)),15)/15,MIN(1,(Skills!T18*(1+Inputs!$B$34/100))/(1/Q494)))))</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MIN((Skills!T16*(1+Inputs!$B$34/100)),(1/Q492))+MIN((Skills!T16*(1+Inputs!$B$34/100)),MAX(0,Inputs!$B$43-((R492-1)*(1/Q492)))))/Inputs!$B$43),IF(Inputs!$B$38="pvp",MIN((Skills!T16*(1+Inputs!$B$34/100)),15)/15,MIN(1,(Skills!T16*(1+Inputs!$B$34/100))/(1/Q492))))</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Skills!G2*IF(Skills!H2&gt;0,IF(Inputs!$B$38="pvp",MIN(Skills!I2,15),Skills!I2)/Skills!H2,1)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Skills!G5*IF(Skills!H5&gt;0,IF(Inputs!$B$38="pvp",MIN(Skills!I5,15),Skills!I5)/Skills!H5,1)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IFERROR(1/IF(Inputs!$B$38="pvp",15,MAX(0.1,Skills!D5-IF(TRUE=TRUE,Inputs!$B$32,0))),0)</f>
        <v/>
      </c>
      <c r="R526">
        <f>IF(AND(Inputs!$B$38&lt;&gt;"pvp",Inputs!$B$43&gt;0),IF(MAX(0,Inputs!$B$43-B560)&lt;=0,0,(INT(MAX(0,Inputs!$B$43-B560)/IF(Inputs!$B$38="pvp",15,MAX(0.1,Skills!D5-IF(TRUE=TRUE,Inputs!$B$32,0))))+1)),0)</f>
        <v/>
      </c>
      <c r="S526">
        <f>IFERROR((H526*N526*IF(AND(Inputs!$B$38&lt;&gt;"pvp",Inputs!$B$43&gt;0),((Skills!G5*((R526-1)*IF(Skills!H5&gt;0,Skills!I5/Skills!H5,1)+IF(Skills!H5&gt;0,MIN(Skills!I5,MAX(0,MAX(0,Inputs!$B$43-B560)-((R526-1)*IF(Inputs!$B$38="pvp",15,MAX(0.1,Skills!D5-IF(TRUE=TRUE,Inputs!$B$32,0))))))/Skills!H5,1)))/Inputs!$B$43),G526*Q526))/N526*IF(Inputs!$B$38="pvp",1,(1-Summary!$B$11)*1+Summary!$B$11*(MIN(Skills!R5,Inputs!$B$37))),0)</f>
        <v/>
      </c>
      <c r="T526">
        <f>IF(C526,(H526*N526*IF(AND(Inputs!$B$38&lt;&gt;"pvp",Inputs!$B$43&gt;0),((Skills!G5*((R526-1)*IF(Skills!H5&gt;0,Skills!I5/Skills!H5,1)+IF(Skills!H5&gt;0,MIN(Skills!I5,MAX(0,MAX(0,Inputs!$B$43-B560)-((R526-1)*IF(Inputs!$B$38="pvp",15,MAX(0.1,Skills!D5-IF(TRUE=TRUE,Inputs!$B$32,0))))))/Skills!H5,1)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Skills!I5/Skills!H5,1)+IF(Skills!H5&gt;0,MIN(Skills!I5,MAX(0,MAX(0,Inputs!$B$43-B560)-((R526-1)*IF(Inputs!$B$38="pvp",15,MAX(0.1,Skills!D5-IF(TRUE=TRUE,Inputs!$B$32,0))))))/Skills!H5,1)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Skills!G6*IF(Skills!H6&gt;0,IF(Inputs!$B$38="pvp",MIN(Skills!I6,15),Skills!I6)/Skills!H6,1)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IFERROR(1/IF(Inputs!$B$38="pvp",15,MAX(0.1,Skills!D6-IF(TRUE=TRUE,Inputs!$B$32,0))),0)</f>
        <v/>
      </c>
      <c r="R527">
        <f>IF(AND(Inputs!$B$38&lt;&gt;"pvp",Inputs!$B$43&gt;0),IF(MAX(0,Inputs!$B$43-B560)&lt;=0,0,(INT(MAX(0,Inputs!$B$43-B560)/IF(Inputs!$B$38="pvp",15,MAX(0.1,Skills!D6-IF(TRUE=TRUE,Inputs!$B$32,0))))+1)),0)</f>
        <v/>
      </c>
      <c r="S527">
        <f>IFERROR((H527*N527*IF(AND(Inputs!$B$38&lt;&gt;"pvp",Inputs!$B$43&gt;0),((Skills!G6*((R527-1)*IF(Skills!H6&gt;0,Skills!I6/Skills!H6,1)+IF(Skills!H6&gt;0,MIN(Skills!I6,MAX(0,MAX(0,Inputs!$B$43-B560)-((R527-1)*IF(Inputs!$B$38="pvp",15,MAX(0.1,Skills!D6-IF(TRUE=TRUE,Inputs!$B$32,0))))))/Skills!H6,1)))/Inputs!$B$43),G527*Q527))/N527*IF(Inputs!$B$38="pvp",1,(1-Summary!$B$11)*1+Summary!$B$11*(MIN(Skills!R6,Inputs!$B$37))),0)</f>
        <v/>
      </c>
      <c r="T527">
        <f>IF(C527,(H527*N527*IF(AND(Inputs!$B$38&lt;&gt;"pvp",Inputs!$B$43&gt;0),((Skills!G6*((R527-1)*IF(Skills!H6&gt;0,Skills!I6/Skills!H6,1)+IF(Skills!H6&gt;0,MIN(Skills!I6,MAX(0,MAX(0,Inputs!$B$43-B560)-((R527-1)*IF(Inputs!$B$38="pvp",15,MAX(0.1,Skills!D6-IF(TRUE=TRUE,Inputs!$B$32,0)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560)-((R527-1)*IF(Inputs!$B$38="pvp",15,MAX(0.1,Skills!D6-IF(TRUE=TRUE,Inputs!$B$32,0))))))/Skills!H6,1)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Skills!G7*IF(Skills!H7&gt;0,IF(Inputs!$B$38="pvp",MIN(Skills!I7,15),Skills!I7)/Skills!H7,1)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IFERROR(1/IF(Inputs!$B$38="pvp",15,MAX(0.1,Skills!D7-IF(TRUE=TRUE,Inputs!$B$32,0))),0)</f>
        <v/>
      </c>
      <c r="R528">
        <f>IF(AND(Inputs!$B$38&lt;&gt;"pvp",Inputs!$B$43&gt;0),IF(MAX(0,Inputs!$B$43-B560)&lt;=0,0,(INT(MAX(0,Inputs!$B$43-B560)/IF(Inputs!$B$38="pvp",15,MAX(0.1,Skills!D7-IF(TRUE=TRUE,Inputs!$B$32,0))))+1)),0)</f>
        <v/>
      </c>
      <c r="S528">
        <f>IFERROR((H528*N528*IF(AND(Inputs!$B$38&lt;&gt;"pvp",Inputs!$B$43&gt;0),((Skills!G7*((R528-1)*IF(Skills!H7&gt;0,Skills!I7/Skills!H7,1)+IF(Skills!H7&gt;0,MIN(Skills!I7,MAX(0,MAX(0,Inputs!$B$43-B560)-((R528-1)*IF(Inputs!$B$38="pvp",15,MAX(0.1,Skills!D7-IF(TRUE=TRUE,Inputs!$B$32,0))))))/Skills!H7,1)))/Inputs!$B$43),G528*Q528))/N528*IF(Inputs!$B$38="pvp",1,(1-Summary!$B$11)*1+Summary!$B$11*(MIN(Skills!R7,Inputs!$B$37))),0)</f>
        <v/>
      </c>
      <c r="T528">
        <f>IF(C528,(H528*N528*IF(AND(Inputs!$B$38&lt;&gt;"pvp",Inputs!$B$43&gt;0),((Skills!G7*((R528-1)*IF(Skills!H7&gt;0,Skills!I7/Skills!H7,1)+IF(Skills!H7&gt;0,MIN(Skills!I7,MAX(0,MAX(0,Inputs!$B$43-B560)-((R528-1)*IF(Inputs!$B$38="pvp",15,MAX(0.1,Skills!D7-IF(TRUE=TRUE,Inputs!$B$32,0)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560)-((R528-1)*IF(Inputs!$B$38="pvp",15,MAX(0.1,Skills!D7-IF(TRUE=TRUE,Inputs!$B$32,0))))))/Skills!H7,1)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Skills!G9*IF(Skills!H9&gt;0,IF(Inputs!$B$38="pvp",MIN(Skills!I9,15),Skills!I9)/Skills!H9,1)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IFERROR(1/IF(Inputs!$B$38="pvp",15,MAX(0.1,Skills!D9-IF(TRUE=TRUE,Inputs!$B$32,0))),0)</f>
        <v/>
      </c>
      <c r="R530">
        <f>IF(AND(Inputs!$B$38&lt;&gt;"pvp",Inputs!$B$43&gt;0),IF(MAX(0,Inputs!$B$43-B560)&lt;=0,0,(INT(MAX(0,Inputs!$B$43-B560)/IF(Inputs!$B$38="pvp",15,MAX(0.1,Skills!D9-IF(TRUE=TRUE,Inputs!$B$32,0))))+1)),0)</f>
        <v/>
      </c>
      <c r="S530">
        <f>IFERROR((H530*N530*IF(AND(Inputs!$B$38&lt;&gt;"pvp",Inputs!$B$43&gt;0),((Skills!G9*((R530-1)*IF(Skills!H9&gt;0,Skills!I9/Skills!H9,1)+IF(Skills!H9&gt;0,MIN(Skills!I9,MAX(0,MAX(0,Inputs!$B$43-B560)-((R530-1)*IF(Inputs!$B$38="pvp",15,MAX(0.1,Skills!D9-IF(TRUE=TRUE,Inputs!$B$32,0))))))/Skills!H9,1)))/Inputs!$B$43),G530*Q530))/N530*IF(Inputs!$B$38="pvp",1,(1-Summary!$B$11)*1+Summary!$B$11*(MIN(Skills!R9,Inputs!$B$37))),0)</f>
        <v/>
      </c>
      <c r="T530">
        <f>IF(C530,(H530*N530*IF(AND(Inputs!$B$38&lt;&gt;"pvp",Inputs!$B$43&gt;0),((Skills!G9*((R530-1)*IF(Skills!H9&gt;0,Skills!I9/Skills!H9,1)+IF(Skills!H9&gt;0,MIN(Skills!I9,MAX(0,MAX(0,Inputs!$B$43-B560)-((R530-1)*IF(Inputs!$B$38="pvp",15,MAX(0.1,Skills!D9-IF(TRUE=TRUE,Inputs!$B$32,0)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560)-((R530-1)*IF(Inputs!$B$38="pvp",15,MAX(0.1,Skills!D9-IF(TRUE=TRUE,Inputs!$B$32,0))))))/Skills!H9,1)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Skills!G10*IF(Skills!H10&gt;0,IF(Inputs!$B$38="pvp",MIN(Skills!I10,15),Skills!I10)/Skills!H10,1)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Skills!G11*IF(Skills!H11&gt;0,IF(Inputs!$B$38="pvp",MIN(Skills!I11,15),Skills!I11)/Skills!H11,1)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IFERROR(1/IF(Inputs!$B$38="pvp",15,MAX(0.1,Skills!D11-IF(TRUE=TRUE,Inputs!$B$32,0))),0)</f>
        <v/>
      </c>
      <c r="R532">
        <f>IF(AND(Inputs!$B$38&lt;&gt;"pvp",Inputs!$B$43&gt;0),IF(MAX(0,Inputs!$B$43-B560)&lt;=0,0,(INT(MAX(0,Inputs!$B$43-B560)/IF(Inputs!$B$38="pvp",15,MAX(0.1,Skills!D11-IF(TRUE=TRUE,Inputs!$B$32,0))))+1)),0)</f>
        <v/>
      </c>
      <c r="S532">
        <f>IFERROR((H532*N532*IF(AND(Inputs!$B$38&lt;&gt;"pvp",Inputs!$B$43&gt;0),((Skills!G11*((R532-1)*IF(Skills!H11&gt;0,Skills!I11/Skills!H11,1)+IF(Skills!H11&gt;0,MIN(Skills!I11,MAX(0,MAX(0,Inputs!$B$43-B560)-((R532-1)*IF(Inputs!$B$38="pvp",15,MAX(0.1,Skills!D11-IF(TRUE=TRUE,Inputs!$B$32,0))))))/Skills!H11,1)))/Inputs!$B$43),G532*Q532))/N532*IF(Inputs!$B$38="pvp",1,(1-Summary!$B$11)*1+Summary!$B$11*(MIN(Skills!R11,Inputs!$B$37))),0)</f>
        <v/>
      </c>
      <c r="T532">
        <f>IF(C532,(H532*N532*IF(AND(Inputs!$B$38&lt;&gt;"pvp",Inputs!$B$43&gt;0),((Skills!G11*((R532-1)*IF(Skills!H11&gt;0,Skills!I11/Skills!H11,1)+IF(Skills!H11&gt;0,MIN(Skills!I11,MAX(0,MAX(0,Inputs!$B$43-B560)-((R532-1)*IF(Inputs!$B$38="pvp",15,MAX(0.1,Skills!D11-IF(TRUE=TRUE,Inputs!$B$32,0))))))/Skills!H11,1)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Inputs!$B$38&lt;&gt;"pvp",Inputs!$B$43=0),1,IF(IF(Inputs!$B$38="pvp",15,Inputs!$B$43)-(B560)&lt;=0,1,MAX(0,IF(Inputs!$B$38="pvp",15,Inputs!$B$43)-MAX(5,B560))/(IF(Inputs!$B$38="pvp",15,Inputs!$B$43)-(B560)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Skills!I11/Skills!H11,1)+IF(Skills!H11&gt;0,MIN(Skills!I11,MAX(0,MAX(0,Inputs!$B$43-B560)-((R532-1)*IF(Inputs!$B$38="pvp",15,MAX(0.1,Skills!D11-IF(TRUE=TRUE,Inputs!$B$32,0))))))/Skills!H11,1)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Skills!G12*IF(Skills!H12&gt;0,IF(Inputs!$B$38="pvp",MIN(Skills!I12,15),Skills!I12)/Skills!H12,1)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Skills!G13*IF(Skills!H13&gt;0,IF(Inputs!$B$38="pvp",MIN(Skills!I13,15),Skills!I13)/Skills!H13,1)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Skills!G14*IF(Skills!H14&gt;0,IF(Inputs!$B$38="pvp",MIN(Skills!I14,15),Skills!I14)/Skills!H14,1)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Skills!G15*IF(Skills!H15&gt;0,IF(Inputs!$B$38="pvp",MIN(Skills!I15,15),Skills!I15)/Skills!H15,1)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IFERROR(1/IF(Inputs!$B$38="pvp",15,MAX(0.1,Skills!D15-IF(TRUE=TRUE,Inputs!$B$32,0))),0)</f>
        <v/>
      </c>
      <c r="R536">
        <f>IF(AND(Inputs!$B$38&lt;&gt;"pvp",Inputs!$B$43&gt;0),IF(Inputs!$B$43&lt;=0,0,(INT(Inputs!$B$43/IF(Inputs!$B$38="pvp",15,MAX(0.1,Skills!D15-IF(TRUE=TRUE,Inputs!$B$32,0))))+1)),0)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Skills!G16*IF(Skills!H16&gt;0,IF(Inputs!$B$38="pvp",MIN(Skills!I16,15),Skills!I16)/Skills!H16,1)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IFERROR(1/IF(Inputs!$B$38="pvp",15,MAX(0.1,Skills!D16-IF(TRUE=TRUE,Inputs!$B$32,0))),0)</f>
        <v/>
      </c>
      <c r="R537">
        <f>IF(AND(Inputs!$B$38&lt;&gt;"pvp",Inputs!$B$43&gt;0),IF(Inputs!$B$43&lt;=0,0,(INT(Inputs!$B$43/IF(Inputs!$B$38="pvp",15,MAX(0.1,Skills!D16-IF(TRUE=TRUE,Inputs!$B$32,0))))+1)),0)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Skills!G17*IF(Skills!H17&gt;0,IF(Inputs!$B$38="pvp",MIN(Skills!I17,15),Skills!I17)/Skills!H17,1)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Skills!G18*IF(Skills!H18&gt;0,IF(Inputs!$B$38="pvp",MIN(Skills!I18,15),Skills!I18)/Skills!H18,1)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IFERROR(1/IF(Inputs!$B$38="pvp",15,MAX(0.1,Skills!D18-IF(TRUE=TRUE,Inputs!$B$32,0))),0)</f>
        <v/>
      </c>
      <c r="R539">
        <f>IF(AND(Inputs!$B$38&lt;&gt;"pvp",Inputs!$B$43&gt;0),IF(Inputs!$B$43&lt;=0,0,(INT(Inputs!$B$43/IF(Inputs!$B$38="pvp",15,MAX(0.1,Skills!D18-IF(TRUE=TRUE,Inputs!$B$32,0))))+1)),0)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Skills!G19*IF(Skills!H19&gt;0,IF(Inputs!$B$38="pvp",MIN(Skills!I19,15),Skills!I19)/Skills!H19,1)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Skills!G20*IF(Skills!H20&gt;0,IF(Inputs!$B$38="pvp",MIN(Skills!I20,15),Skills!I20)/Skills!H20,1)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Skills!G21*IF(Skills!H21&gt;0,IF(Inputs!$B$38="pvp",MIN(Skills!I21,15),Skills!I21)/Skills!H21,1)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Skills!G22*IF(Skills!H22&gt;0,IF(Inputs!$B$38="pvp",MIN(Skills!I22,15),Skills!I22)/Skills!H22,1)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Skills!G23*IF(Skills!H23&gt;0,IF(Inputs!$B$38="pvp",MIN(Skills!I23,15),Skills!I23)/Skills!H23,1)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Skills!G24*IF(Skills!H24&gt;0,IF(Inputs!$B$38="pvp",MIN(Skills!I24,15),Skills!I24)/Skills!H24,1)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Skills!G25*IF(Skills!H25&gt;0,IF(Inputs!$B$38="pvp",MIN(Skills!I25,15),Skills!I25)/Skills!H25,1)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Skills!G26*IF(Skills!H26&gt;0,IF(Inputs!$B$38="pvp",MIN(Skills!I26,15),Skills!I26)/Skills!H26,1)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Skills!G27*IF(Skills!H27&gt;0,IF(Inputs!$B$38="pvp",MIN(Skills!I27,15),Skills!I27)/Skills!H27,1)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Skills!G28*IF(Skills!H28&gt;0,IF(Inputs!$B$38="pvp",MIN(Skills!I28,15),Skills!I28)/Skills!H28,1)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Skills!G29*IF(Skills!H29&gt;0,IF(Inputs!$B$38="pvp",MIN(Skills!I29,15),Skills!I29)/Skills!H29,1)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MIN((Skills!T15*(1+Inputs!$B$34/100)),(1/Q536))+MIN((Skills!T15*(1+Inputs!$B$34/100)),MAX(0,Inputs!$B$43-((R536-1)*(1/Q536)))))/Inputs!$B$43),IF(Inputs!$B$38="pvp",MIN((Skills!T15*(1+Inputs!$B$34/100)),15)/15,MIN(1,(Skills!T15*(1+Inputs!$B$34/100))/(1/Q536)))))+((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t="n">
        <v>0</v>
      </c>
    </row>
    <row r="554">
      <c r="A554" t="inlineStr">
        <is>
          <t>Attack Speed Buff Bonus %</t>
        </is>
      </c>
      <c r="B554">
        <f>((C539=TRUE)*F539*IF(AND(Inputs!$B$38&lt;&gt;"pvp",Inputs!$B$43&gt;0),(((R539-1)*MIN((Skills!T18*(1+Inputs!$B$34/100)),(1/Q539))+MIN((Skills!T18*(1+Inputs!$B$34/100)),MAX(0,Inputs!$B$43-((R539-1)*(1/Q539)))))/Inputs!$B$43),IF(Inputs!$B$38="pvp",MIN((Skills!T18*(1+Inputs!$B$34/100)),15)/15,MIN(1,(Skills!T18*(1+Inputs!$B$34/100))/(1/Q539)))))</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MIN((Skills!T16*(1+Inputs!$B$34/100)),(1/Q537))+MIN((Skills!T16*(1+Inputs!$B$34/100)),MAX(0,Inputs!$B$43-((R537-1)*(1/Q537)))))/Inputs!$B$43),IF(Inputs!$B$38="pvp",MIN((Skills!T16*(1+Inputs!$B$34/100)),15)/15,MIN(1,(Skills!T16*(1+Inputs!$B$34/100))/(1/Q537))))</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Skills!G2*IF(Skills!H2&gt;0,IF(Inputs!$B$38="pvp",MIN(Skills!I2,15),Skills!I2)/Skills!H2,1)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Skills!G5*IF(Skills!H5&gt;0,IF(Inputs!$B$38="pvp",MIN(Skills!I5,15),Skills!I5)/Skills!H5,1)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IFERROR(1/IF(Inputs!$B$38="pvp",15,MAX(0.1,Skills!D5-IF(TRUE=TRUE,Inputs!$B$32,0))),0)</f>
        <v/>
      </c>
      <c r="R571">
        <f>IF(AND(Inputs!$B$38&lt;&gt;"pvp",Inputs!$B$43&gt;0),IF(MAX(0,Inputs!$B$43-B605)&lt;=0,0,(INT(MAX(0,Inputs!$B$43-B605)/IF(Inputs!$B$38="pvp",15,MAX(0.1,Skills!D5-IF(TRUE=TRUE,Inputs!$B$32,0))))+1)),0)</f>
        <v/>
      </c>
      <c r="S571">
        <f>IFERROR((H571*N571*IF(AND(Inputs!$B$38&lt;&gt;"pvp",Inputs!$B$43&gt;0),((Skills!G5*((R571-1)*IF(Skills!H5&gt;0,Skills!I5/Skills!H5,1)+IF(Skills!H5&gt;0,MIN(Skills!I5,MAX(0,MAX(0,Inputs!$B$43-B605)-((R571-1)*IF(Inputs!$B$38="pvp",15,MAX(0.1,Skills!D5-IF(TRUE=TRUE,Inputs!$B$32,0))))))/Skills!H5,1)))/Inputs!$B$43),G571*Q571))/N571*IF(Inputs!$B$38="pvp",1,(1-Summary!$B$11)*1+Summary!$B$11*(MIN(Skills!R5,Inputs!$B$37))),0)</f>
        <v/>
      </c>
      <c r="T571">
        <f>IF(C571,(H571*N571*IF(AND(Inputs!$B$38&lt;&gt;"pvp",Inputs!$B$43&gt;0),((Skills!G5*((R571-1)*IF(Skills!H5&gt;0,Skills!I5/Skills!H5,1)+IF(Skills!H5&gt;0,MIN(Skills!I5,MAX(0,MAX(0,Inputs!$B$43-B605)-((R571-1)*IF(Inputs!$B$38="pvp",15,MAX(0.1,Skills!D5-IF(TRUE=TRUE,Inputs!$B$32,0))))))/Skills!H5,1)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Skills!I5/Skills!H5,1)+IF(Skills!H5&gt;0,MIN(Skills!I5,MAX(0,MAX(0,Inputs!$B$43-B605)-((R571-1)*IF(Inputs!$B$38="pvp",15,MAX(0.1,Skills!D5-IF(TRUE=TRUE,Inputs!$B$32,0))))))/Skills!H5,1)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Skills!G6*IF(Skills!H6&gt;0,IF(Inputs!$B$38="pvp",MIN(Skills!I6,15),Skills!I6)/Skills!H6,1)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IFERROR(1/IF(Inputs!$B$38="pvp",15,MAX(0.1,Skills!D6-IF(TRUE=TRUE,Inputs!$B$32,0))),0)</f>
        <v/>
      </c>
      <c r="R572">
        <f>IF(AND(Inputs!$B$38&lt;&gt;"pvp",Inputs!$B$43&gt;0),IF(MAX(0,Inputs!$B$43-B605)&lt;=0,0,(INT(MAX(0,Inputs!$B$43-B605)/IF(Inputs!$B$38="pvp",15,MAX(0.1,Skills!D6-IF(TRUE=TRUE,Inputs!$B$32,0))))+1)),0)</f>
        <v/>
      </c>
      <c r="S572">
        <f>IFERROR((H572*N572*IF(AND(Inputs!$B$38&lt;&gt;"pvp",Inputs!$B$43&gt;0),((Skills!G6*((R572-1)*IF(Skills!H6&gt;0,Skills!I6/Skills!H6,1)+IF(Skills!H6&gt;0,MIN(Skills!I6,MAX(0,MAX(0,Inputs!$B$43-B605)-((R572-1)*IF(Inputs!$B$38="pvp",15,MAX(0.1,Skills!D6-IF(TRUE=TRUE,Inputs!$B$32,0))))))/Skills!H6,1)))/Inputs!$B$43),G572*Q572))/N572*IF(Inputs!$B$38="pvp",1,(1-Summary!$B$11)*1+Summary!$B$11*(MIN(Skills!R6,Inputs!$B$37))),0)</f>
        <v/>
      </c>
      <c r="T572">
        <f>IF(C572,(H572*N572*IF(AND(Inputs!$B$38&lt;&gt;"pvp",Inputs!$B$43&gt;0),((Skills!G6*((R572-1)*IF(Skills!H6&gt;0,Skills!I6/Skills!H6,1)+IF(Skills!H6&gt;0,MIN(Skills!I6,MAX(0,MAX(0,Inputs!$B$43-B605)-((R572-1)*IF(Inputs!$B$38="pvp",15,MAX(0.1,Skills!D6-IF(TRUE=TRUE,Inputs!$B$32,0)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605)-((R572-1)*IF(Inputs!$B$38="pvp",15,MAX(0.1,Skills!D6-IF(TRUE=TRUE,Inputs!$B$32,0))))))/Skills!H6,1)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Skills!G7*IF(Skills!H7&gt;0,IF(Inputs!$B$38="pvp",MIN(Skills!I7,15),Skills!I7)/Skills!H7,1)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IFERROR(1/IF(Inputs!$B$38="pvp",15,MAX(0.1,Skills!D7-IF(TRUE=TRUE,Inputs!$B$32,0))),0)</f>
        <v/>
      </c>
      <c r="R573">
        <f>IF(AND(Inputs!$B$38&lt;&gt;"pvp",Inputs!$B$43&gt;0),IF(MAX(0,Inputs!$B$43-B605)&lt;=0,0,(INT(MAX(0,Inputs!$B$43-B605)/IF(Inputs!$B$38="pvp",15,MAX(0.1,Skills!D7-IF(TRUE=TRUE,Inputs!$B$32,0))))+1)),0)</f>
        <v/>
      </c>
      <c r="S573">
        <f>IFERROR((H573*N573*IF(AND(Inputs!$B$38&lt;&gt;"pvp",Inputs!$B$43&gt;0),((Skills!G7*((R573-1)*IF(Skills!H7&gt;0,Skills!I7/Skills!H7,1)+IF(Skills!H7&gt;0,MIN(Skills!I7,MAX(0,MAX(0,Inputs!$B$43-B605)-((R573-1)*IF(Inputs!$B$38="pvp",15,MAX(0.1,Skills!D7-IF(TRUE=TRUE,Inputs!$B$32,0))))))/Skills!H7,1)))/Inputs!$B$43),G573*Q573))/N573*IF(Inputs!$B$38="pvp",1,(1-Summary!$B$11)*1+Summary!$B$11*(MIN(Skills!R7,Inputs!$B$37))),0)</f>
        <v/>
      </c>
      <c r="T573">
        <f>IF(C573,(H573*N573*IF(AND(Inputs!$B$38&lt;&gt;"pvp",Inputs!$B$43&gt;0),((Skills!G7*((R573-1)*IF(Skills!H7&gt;0,Skills!I7/Skills!H7,1)+IF(Skills!H7&gt;0,MIN(Skills!I7,MAX(0,MAX(0,Inputs!$B$43-B605)-((R573-1)*IF(Inputs!$B$38="pvp",15,MAX(0.1,Skills!D7-IF(TRUE=TRUE,Inputs!$B$32,0)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605)-((R573-1)*IF(Inputs!$B$38="pvp",15,MAX(0.1,Skills!D7-IF(TRUE=TRUE,Inputs!$B$32,0))))))/Skills!H7,1)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Skills!G9*IF(Skills!H9&gt;0,IF(Inputs!$B$38="pvp",MIN(Skills!I9,15),Skills!I9)/Skills!H9,1)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IFERROR(1/IF(Inputs!$B$38="pvp",15,MAX(0.1,Skills!D9-IF(TRUE=TRUE,Inputs!$B$32,0))),0)</f>
        <v/>
      </c>
      <c r="R575">
        <f>IF(AND(Inputs!$B$38&lt;&gt;"pvp",Inputs!$B$43&gt;0),IF(MAX(0,Inputs!$B$43-B605)&lt;=0,0,(INT(MAX(0,Inputs!$B$43-B605)/IF(Inputs!$B$38="pvp",15,MAX(0.1,Skills!D9-IF(TRUE=TRUE,Inputs!$B$32,0))))+1)),0)</f>
        <v/>
      </c>
      <c r="S575">
        <f>IFERROR((H575*N575*IF(AND(Inputs!$B$38&lt;&gt;"pvp",Inputs!$B$43&gt;0),((Skills!G9*((R575-1)*IF(Skills!H9&gt;0,Skills!I9/Skills!H9,1)+IF(Skills!H9&gt;0,MIN(Skills!I9,MAX(0,MAX(0,Inputs!$B$43-B605)-((R575-1)*IF(Inputs!$B$38="pvp",15,MAX(0.1,Skills!D9-IF(TRUE=TRUE,Inputs!$B$32,0))))))/Skills!H9,1)))/Inputs!$B$43),G575*Q575))/N575*IF(Inputs!$B$38="pvp",1,(1-Summary!$B$11)*1+Summary!$B$11*(MIN(Skills!R9,Inputs!$B$37))),0)</f>
        <v/>
      </c>
      <c r="T575">
        <f>IF(C575,(H575*N575*IF(AND(Inputs!$B$38&lt;&gt;"pvp",Inputs!$B$43&gt;0),((Skills!G9*((R575-1)*IF(Skills!H9&gt;0,Skills!I9/Skills!H9,1)+IF(Skills!H9&gt;0,MIN(Skills!I9,MAX(0,MAX(0,Inputs!$B$43-B605)-((R575-1)*IF(Inputs!$B$38="pvp",15,MAX(0.1,Skills!D9-IF(TRUE=TRUE,Inputs!$B$32,0)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605)-((R575-1)*IF(Inputs!$B$38="pvp",15,MAX(0.1,Skills!D9-IF(TRUE=TRUE,Inputs!$B$32,0))))))/Skills!H9,1)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Skills!G10*IF(Skills!H10&gt;0,IF(Inputs!$B$38="pvp",MIN(Skills!I10,15),Skills!I10)/Skills!H10,1)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Skills!G11*IF(Skills!H11&gt;0,IF(Inputs!$B$38="pvp",MIN(Skills!I11,15),Skills!I11)/Skills!H11,1)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IFERROR(1/IF(Inputs!$B$38="pvp",15,MAX(0.1,Skills!D11-IF(TRUE=TRUE,Inputs!$B$32,0))),0)</f>
        <v/>
      </c>
      <c r="R577">
        <f>IF(AND(Inputs!$B$38&lt;&gt;"pvp",Inputs!$B$43&gt;0),IF(MAX(0,Inputs!$B$43-B605)&lt;=0,0,(INT(MAX(0,Inputs!$B$43-B605)/IF(Inputs!$B$38="pvp",15,MAX(0.1,Skills!D11-IF(TRUE=TRUE,Inputs!$B$32,0))))+1)),0)</f>
        <v/>
      </c>
      <c r="S577">
        <f>IFERROR((H577*N577*IF(AND(Inputs!$B$38&lt;&gt;"pvp",Inputs!$B$43&gt;0),((Skills!G11*((R577-1)*IF(Skills!H11&gt;0,Skills!I11/Skills!H11,1)+IF(Skills!H11&gt;0,MIN(Skills!I11,MAX(0,MAX(0,Inputs!$B$43-B605)-((R577-1)*IF(Inputs!$B$38="pvp",15,MAX(0.1,Skills!D11-IF(TRUE=TRUE,Inputs!$B$32,0))))))/Skills!H11,1)))/Inputs!$B$43),G577*Q577))/N577*IF(Inputs!$B$38="pvp",1,(1-Summary!$B$11)*1+Summary!$B$11*(MIN(Skills!R11,Inputs!$B$37))),0)</f>
        <v/>
      </c>
      <c r="T577">
        <f>IF(C577,(H577*N577*IF(AND(Inputs!$B$38&lt;&gt;"pvp",Inputs!$B$43&gt;0),((Skills!G11*((R577-1)*IF(Skills!H11&gt;0,Skills!I11/Skills!H11,1)+IF(Skills!H11&gt;0,MIN(Skills!I11,MAX(0,MAX(0,Inputs!$B$43-B605)-((R577-1)*IF(Inputs!$B$38="pvp",15,MAX(0.1,Skills!D11-IF(TRUE=TRUE,Inputs!$B$32,0))))))/Skills!H11,1)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Inputs!$B$38&lt;&gt;"pvp",Inputs!$B$43=0),1,IF(IF(Inputs!$B$38="pvp",15,Inputs!$B$43)-(B605)&lt;=0,1,MAX(0,IF(Inputs!$B$38="pvp",15,Inputs!$B$43)-MAX(5,B605))/(IF(Inputs!$B$38="pvp",15,Inputs!$B$43)-(B605))))*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Skills!I11/Skills!H11,1)+IF(Skills!H11&gt;0,MIN(Skills!I11,MAX(0,MAX(0,Inputs!$B$43-B605)-((R577-1)*IF(Inputs!$B$38="pvp",15,MAX(0.1,Skills!D11-IF(TRUE=TRUE,Inputs!$B$32,0))))))/Skills!H11,1)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Skills!G12*IF(Skills!H12&gt;0,IF(Inputs!$B$38="pvp",MIN(Skills!I12,15),Skills!I12)/Skills!H12,1)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Skills!G13*IF(Skills!H13&gt;0,IF(Inputs!$B$38="pvp",MIN(Skills!I13,15),Skills!I13)/Skills!H13,1)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Skills!G14*IF(Skills!H14&gt;0,IF(Inputs!$B$38="pvp",MIN(Skills!I14,15),Skills!I14)/Skills!H14,1)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Skills!G15*IF(Skills!H15&gt;0,IF(Inputs!$B$38="pvp",MIN(Skills!I15,15),Skills!I15)/Skills!H15,1)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IFERROR(1/IF(Inputs!$B$38="pvp",15,MAX(0.1,Skills!D15-IF(TRUE=TRUE,Inputs!$B$32,0))),0)</f>
        <v/>
      </c>
      <c r="R581">
        <f>IF(AND(Inputs!$B$38&lt;&gt;"pvp",Inputs!$B$43&gt;0),IF(Inputs!$B$43&lt;=0,0,(INT(Inputs!$B$43/IF(Inputs!$B$38="pvp",15,MAX(0.1,Skills!D15-IF(TRUE=TRUE,Inputs!$B$32,0))))+1)),0)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Skills!G16*IF(Skills!H16&gt;0,IF(Inputs!$B$38="pvp",MIN(Skills!I16,15),Skills!I16)/Skills!H16,1)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IFERROR(1/IF(Inputs!$B$38="pvp",15,MAX(0.1,Skills!D16-IF(TRUE=TRUE,Inputs!$B$32,0))),0)</f>
        <v/>
      </c>
      <c r="R582">
        <f>IF(AND(Inputs!$B$38&lt;&gt;"pvp",Inputs!$B$43&gt;0),IF(Inputs!$B$43&lt;=0,0,(INT(Inputs!$B$43/IF(Inputs!$B$38="pvp",15,MAX(0.1,Skills!D16-IF(TRUE=TRUE,Inputs!$B$32,0))))+1)),0)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Skills!G17*IF(Skills!H17&gt;0,IF(Inputs!$B$38="pvp",MIN(Skills!I17,15),Skills!I17)/Skills!H17,1)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Skills!G18*IF(Skills!H18&gt;0,IF(Inputs!$B$38="pvp",MIN(Skills!I18,15),Skills!I18)/Skills!H18,1)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IFERROR(1/IF(Inputs!$B$38="pvp",15,MAX(0.1,Skills!D18-IF(TRUE=TRUE,Inputs!$B$32,0))),0)</f>
        <v/>
      </c>
      <c r="R584">
        <f>IF(AND(Inputs!$B$38&lt;&gt;"pvp",Inputs!$B$43&gt;0),IF(Inputs!$B$43&lt;=0,0,(INT(Inputs!$B$43/IF(Inputs!$B$38="pvp",15,MAX(0.1,Skills!D18-IF(TRUE=TRUE,Inputs!$B$32,0))))+1)),0)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Skills!G19*IF(Skills!H19&gt;0,IF(Inputs!$B$38="pvp",MIN(Skills!I19,15),Skills!I19)/Skills!H19,1)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Skills!G20*IF(Skills!H20&gt;0,IF(Inputs!$B$38="pvp",MIN(Skills!I20,15),Skills!I20)/Skills!H20,1)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Skills!G21*IF(Skills!H21&gt;0,IF(Inputs!$B$38="pvp",MIN(Skills!I21,15),Skills!I21)/Skills!H21,1)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Skills!G22*IF(Skills!H22&gt;0,IF(Inputs!$B$38="pvp",MIN(Skills!I22,15),Skills!I22)/Skills!H22,1)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Skills!G23*IF(Skills!H23&gt;0,IF(Inputs!$B$38="pvp",MIN(Skills!I23,15),Skills!I23)/Skills!H23,1)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Skills!G24*IF(Skills!H24&gt;0,IF(Inputs!$B$38="pvp",MIN(Skills!I24,15),Skills!I24)/Skills!H24,1)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Skills!G25*IF(Skills!H25&gt;0,IF(Inputs!$B$38="pvp",MIN(Skills!I25,15),Skills!I25)/Skills!H25,1)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Skills!G26*IF(Skills!H26&gt;0,IF(Inputs!$B$38="pvp",MIN(Skills!I26,15),Skills!I26)/Skills!H26,1)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Skills!G27*IF(Skills!H27&gt;0,IF(Inputs!$B$38="pvp",MIN(Skills!I27,15),Skills!I27)/Skills!H27,1)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Skills!G28*IF(Skills!H28&gt;0,IF(Inputs!$B$38="pvp",MIN(Skills!I28,15),Skills!I28)/Skills!H28,1)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Skills!G29*IF(Skills!H29&gt;0,IF(Inputs!$B$38="pvp",MIN(Skills!I29,15),Skills!I29)/Skills!H29,1)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MIN((Skills!T15*(1+Inputs!$B$34/100)),(1/Q581))+MIN((Skills!T15*(1+Inputs!$B$34/100)),MAX(0,Inputs!$B$43-((R581-1)*(1/Q581)))))/Inputs!$B$43),IF(Inputs!$B$38="pvp",MIN((Skills!T15*(1+Inputs!$B$34/100)),15)/15,MIN(1,(Skills!T15*(1+Inputs!$B$34/100))/(1/Q581)))))+((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t="n">
        <v>0</v>
      </c>
    </row>
    <row r="599">
      <c r="A599" t="inlineStr">
        <is>
          <t>Attack Speed Buff Bonus %</t>
        </is>
      </c>
      <c r="B599">
        <f>((C584=TRUE)*F584*IF(AND(Inputs!$B$38&lt;&gt;"pvp",Inputs!$B$43&gt;0),(((R584-1)*MIN((Skills!T18*(1+Inputs!$B$34/100)),(1/Q584))+MIN((Skills!T18*(1+Inputs!$B$34/100)),MAX(0,Inputs!$B$43-((R584-1)*(1/Q584)))))/Inputs!$B$43),IF(Inputs!$B$38="pvp",MIN((Skills!T18*(1+Inputs!$B$34/100)),15)/15,MIN(1,(Skills!T18*(1+Inputs!$B$34/100))/(1/Q584)))))</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MIN((Skills!T16*(1+Inputs!$B$34/100)),(1/Q582))+MIN((Skills!T16*(1+Inputs!$B$34/100)),MAX(0,Inputs!$B$43-((R582-1)*(1/Q582)))))/Inputs!$B$43),IF(Inputs!$B$38="pvp",MIN((Skills!T16*(1+Inputs!$B$34/100)),15)/15,MIN(1,(Skills!T16*(1+Inputs!$B$34/100))/(1/Q582))))</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Skills!G2*IF(Skills!H2&gt;0,IF(Inputs!$B$38="pvp",MIN(Skills!I2,15),Skills!I2)/Skills!H2,1)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Skills!G5*IF(Skills!H5&gt;0,IF(Inputs!$B$38="pvp",MIN(Skills!I5,15),Skills!I5)/Skills!H5,1)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IFERROR(1/IF(Inputs!$B$38="pvp",15,MAX(0.1,Skills!D5-IF(TRUE=TRUE,Inputs!$B$32,0))),0)</f>
        <v/>
      </c>
      <c r="R616">
        <f>IF(AND(Inputs!$B$38&lt;&gt;"pvp",Inputs!$B$43&gt;0),IF(MAX(0,Inputs!$B$43-B650)&lt;=0,0,(INT(MAX(0,Inputs!$B$43-B650)/IF(Inputs!$B$38="pvp",15,MAX(0.1,Skills!D5-IF(TRUE=TRUE,Inputs!$B$32,0))))+1)),0)</f>
        <v/>
      </c>
      <c r="S616">
        <f>IFERROR((H616*N616*IF(AND(Inputs!$B$38&lt;&gt;"pvp",Inputs!$B$43&gt;0),((Skills!G5*((R616-1)*IF(Skills!H5&gt;0,Skills!I5/Skills!H5,1)+IF(Skills!H5&gt;0,MIN(Skills!I5,MAX(0,MAX(0,Inputs!$B$43-B650)-((R616-1)*IF(Inputs!$B$38="pvp",15,MAX(0.1,Skills!D5-IF(TRUE=TRUE,Inputs!$B$32,0))))))/Skills!H5,1)))/Inputs!$B$43),G616*Q616))/N616*IF(Inputs!$B$38="pvp",1,(1-Summary!$B$11)*1+Summary!$B$11*(MIN(Skills!R5,Inputs!$B$37))),0)</f>
        <v/>
      </c>
      <c r="T616">
        <f>IF(C616,(H616*N616*IF(AND(Inputs!$B$38&lt;&gt;"pvp",Inputs!$B$43&gt;0),((Skills!G5*((R616-1)*IF(Skills!H5&gt;0,Skills!I5/Skills!H5,1)+IF(Skills!H5&gt;0,MIN(Skills!I5,MAX(0,MAX(0,Inputs!$B$43-B650)-((R616-1)*IF(Inputs!$B$38="pvp",15,MAX(0.1,Skills!D5-IF(TRUE=TRUE,Inputs!$B$32,0))))))/Skills!H5,1)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Skills!I5/Skills!H5,1)+IF(Skills!H5&gt;0,MIN(Skills!I5,MAX(0,MAX(0,Inputs!$B$43-B650)-((R616-1)*IF(Inputs!$B$38="pvp",15,MAX(0.1,Skills!D5-IF(TRUE=TRUE,Inputs!$B$32,0))))))/Skills!H5,1)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Skills!G6*IF(Skills!H6&gt;0,IF(Inputs!$B$38="pvp",MIN(Skills!I6,15),Skills!I6)/Skills!H6,1)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IFERROR(1/IF(Inputs!$B$38="pvp",15,MAX(0.1,Skills!D6-IF(TRUE=TRUE,Inputs!$B$32,0))),0)</f>
        <v/>
      </c>
      <c r="R617">
        <f>IF(AND(Inputs!$B$38&lt;&gt;"pvp",Inputs!$B$43&gt;0),IF(MAX(0,Inputs!$B$43-B650)&lt;=0,0,(INT(MAX(0,Inputs!$B$43-B650)/IF(Inputs!$B$38="pvp",15,MAX(0.1,Skills!D6-IF(TRUE=TRUE,Inputs!$B$32,0))))+1)),0)</f>
        <v/>
      </c>
      <c r="S617">
        <f>IFERROR((H617*N617*IF(AND(Inputs!$B$38&lt;&gt;"pvp",Inputs!$B$43&gt;0),((Skills!G6*((R617-1)*IF(Skills!H6&gt;0,Skills!I6/Skills!H6,1)+IF(Skills!H6&gt;0,MIN(Skills!I6,MAX(0,MAX(0,Inputs!$B$43-B650)-((R617-1)*IF(Inputs!$B$38="pvp",15,MAX(0.1,Skills!D6-IF(TRUE=TRUE,Inputs!$B$32,0))))))/Skills!H6,1)))/Inputs!$B$43),G617*Q617))/N617*IF(Inputs!$B$38="pvp",1,(1-Summary!$B$11)*1+Summary!$B$11*(MIN(Skills!R6,Inputs!$B$37))),0)</f>
        <v/>
      </c>
      <c r="T617">
        <f>IF(C617,(H617*N617*IF(AND(Inputs!$B$38&lt;&gt;"pvp",Inputs!$B$43&gt;0),((Skills!G6*((R617-1)*IF(Skills!H6&gt;0,Skills!I6/Skills!H6,1)+IF(Skills!H6&gt;0,MIN(Skills!I6,MAX(0,MAX(0,Inputs!$B$43-B650)-((R617-1)*IF(Inputs!$B$38="pvp",15,MAX(0.1,Skills!D6-IF(TRUE=TRUE,Inputs!$B$32,0)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650)-((R617-1)*IF(Inputs!$B$38="pvp",15,MAX(0.1,Skills!D6-IF(TRUE=TRUE,Inputs!$B$32,0))))))/Skills!H6,1)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Skills!G7*IF(Skills!H7&gt;0,IF(Inputs!$B$38="pvp",MIN(Skills!I7,15),Skills!I7)/Skills!H7,1)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IFERROR(1/IF(Inputs!$B$38="pvp",15,MAX(0.1,Skills!D7-IF(TRUE=TRUE,Inputs!$B$32,0))),0)</f>
        <v/>
      </c>
      <c r="R618">
        <f>IF(AND(Inputs!$B$38&lt;&gt;"pvp",Inputs!$B$43&gt;0),IF(MAX(0,Inputs!$B$43-B650)&lt;=0,0,(INT(MAX(0,Inputs!$B$43-B650)/IF(Inputs!$B$38="pvp",15,MAX(0.1,Skills!D7-IF(TRUE=TRUE,Inputs!$B$32,0))))+1)),0)</f>
        <v/>
      </c>
      <c r="S618">
        <f>IFERROR((H618*N618*IF(AND(Inputs!$B$38&lt;&gt;"pvp",Inputs!$B$43&gt;0),((Skills!G7*((R618-1)*IF(Skills!H7&gt;0,Skills!I7/Skills!H7,1)+IF(Skills!H7&gt;0,MIN(Skills!I7,MAX(0,MAX(0,Inputs!$B$43-B650)-((R618-1)*IF(Inputs!$B$38="pvp",15,MAX(0.1,Skills!D7-IF(TRUE=TRUE,Inputs!$B$32,0))))))/Skills!H7,1)))/Inputs!$B$43),G618*Q618))/N618*IF(Inputs!$B$38="pvp",1,(1-Summary!$B$11)*1+Summary!$B$11*(MIN(Skills!R7,Inputs!$B$37))),0)</f>
        <v/>
      </c>
      <c r="T618">
        <f>IF(C618,(H618*N618*IF(AND(Inputs!$B$38&lt;&gt;"pvp",Inputs!$B$43&gt;0),((Skills!G7*((R618-1)*IF(Skills!H7&gt;0,Skills!I7/Skills!H7,1)+IF(Skills!H7&gt;0,MIN(Skills!I7,MAX(0,MAX(0,Inputs!$B$43-B650)-((R618-1)*IF(Inputs!$B$38="pvp",15,MAX(0.1,Skills!D7-IF(TRUE=TRUE,Inputs!$B$32,0)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650)-((R618-1)*IF(Inputs!$B$38="pvp",15,MAX(0.1,Skills!D7-IF(TRUE=TRUE,Inputs!$B$32,0))))))/Skills!H7,1)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Skills!G9*IF(Skills!H9&gt;0,IF(Inputs!$B$38="pvp",MIN(Skills!I9,15),Skills!I9)/Skills!H9,1)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IFERROR(1/IF(Inputs!$B$38="pvp",15,MAX(0.1,Skills!D9-IF(TRUE=TRUE,Inputs!$B$32,0))),0)</f>
        <v/>
      </c>
      <c r="R620">
        <f>IF(AND(Inputs!$B$38&lt;&gt;"pvp",Inputs!$B$43&gt;0),IF(MAX(0,Inputs!$B$43-B650)&lt;=0,0,(INT(MAX(0,Inputs!$B$43-B650)/IF(Inputs!$B$38="pvp",15,MAX(0.1,Skills!D9-IF(TRUE=TRUE,Inputs!$B$32,0))))+1)),0)</f>
        <v/>
      </c>
      <c r="S620">
        <f>IFERROR((H620*N620*IF(AND(Inputs!$B$38&lt;&gt;"pvp",Inputs!$B$43&gt;0),((Skills!G9*((R620-1)*IF(Skills!H9&gt;0,Skills!I9/Skills!H9,1)+IF(Skills!H9&gt;0,MIN(Skills!I9,MAX(0,MAX(0,Inputs!$B$43-B650)-((R620-1)*IF(Inputs!$B$38="pvp",15,MAX(0.1,Skills!D9-IF(TRUE=TRUE,Inputs!$B$32,0))))))/Skills!H9,1)))/Inputs!$B$43),G620*Q620))/N620*IF(Inputs!$B$38="pvp",1,(1-Summary!$B$11)*1+Summary!$B$11*(MIN(Skills!R9,Inputs!$B$37))),0)</f>
        <v/>
      </c>
      <c r="T620">
        <f>IF(C620,(H620*N620*IF(AND(Inputs!$B$38&lt;&gt;"pvp",Inputs!$B$43&gt;0),((Skills!G9*((R620-1)*IF(Skills!H9&gt;0,Skills!I9/Skills!H9,1)+IF(Skills!H9&gt;0,MIN(Skills!I9,MAX(0,MAX(0,Inputs!$B$43-B650)-((R620-1)*IF(Inputs!$B$38="pvp",15,MAX(0.1,Skills!D9-IF(TRUE=TRUE,Inputs!$B$32,0)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650)-((R620-1)*IF(Inputs!$B$38="pvp",15,MAX(0.1,Skills!D9-IF(TRUE=TRUE,Inputs!$B$32,0))))))/Skills!H9,1)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Skills!G10*IF(Skills!H10&gt;0,IF(Inputs!$B$38="pvp",MIN(Skills!I10,15),Skills!I10)/Skills!H10,1)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Skills!G11*IF(Skills!H11&gt;0,IF(Inputs!$B$38="pvp",MIN(Skills!I11,15),Skills!I11)/Skills!H11,1)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IFERROR(1/IF(Inputs!$B$38="pvp",15,MAX(0.1,Skills!D11-IF(TRUE=TRUE,Inputs!$B$32,0))),0)</f>
        <v/>
      </c>
      <c r="R622">
        <f>IF(AND(Inputs!$B$38&lt;&gt;"pvp",Inputs!$B$43&gt;0),IF(MAX(0,Inputs!$B$43-B650)&lt;=0,0,(INT(MAX(0,Inputs!$B$43-B650)/IF(Inputs!$B$38="pvp",15,MAX(0.1,Skills!D11-IF(TRUE=TRUE,Inputs!$B$32,0))))+1)),0)</f>
        <v/>
      </c>
      <c r="S622">
        <f>IFERROR((H622*N622*IF(AND(Inputs!$B$38&lt;&gt;"pvp",Inputs!$B$43&gt;0),((Skills!G11*((R622-1)*IF(Skills!H11&gt;0,Skills!I11/Skills!H11,1)+IF(Skills!H11&gt;0,MIN(Skills!I11,MAX(0,MAX(0,Inputs!$B$43-B650)-((R622-1)*IF(Inputs!$B$38="pvp",15,MAX(0.1,Skills!D11-IF(TRUE=TRUE,Inputs!$B$32,0))))))/Skills!H11,1)))/Inputs!$B$43),G622*Q622))/N622*IF(Inputs!$B$38="pvp",1,(1-Summary!$B$11)*1+Summary!$B$11*(MIN(Skills!R11,Inputs!$B$37))),0)</f>
        <v/>
      </c>
      <c r="T622">
        <f>IF(C622,(H622*N622*IF(AND(Inputs!$B$38&lt;&gt;"pvp",Inputs!$B$43&gt;0),((Skills!G11*((R622-1)*IF(Skills!H11&gt;0,Skills!I11/Skills!H11,1)+IF(Skills!H11&gt;0,MIN(Skills!I11,MAX(0,MAX(0,Inputs!$B$43-B650)-((R622-1)*IF(Inputs!$B$38="pvp",15,MAX(0.1,Skills!D11-IF(TRUE=TRUE,Inputs!$B$32,0))))))/Skills!H11,1)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Inputs!$B$38&lt;&gt;"pvp",Inputs!$B$43=0),1,IF(IF(Inputs!$B$38="pvp",15,Inputs!$B$43)-(B650)&lt;=0,1,MAX(0,IF(Inputs!$B$38="pvp",15,Inputs!$B$43)-MAX(5,B650))/(IF(Inputs!$B$38="pvp",15,Inputs!$B$43)-(B650)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Skills!I11/Skills!H11,1)+IF(Skills!H11&gt;0,MIN(Skills!I11,MAX(0,MAX(0,Inputs!$B$43-B650)-((R622-1)*IF(Inputs!$B$38="pvp",15,MAX(0.1,Skills!D11-IF(TRUE=TRUE,Inputs!$B$32,0))))))/Skills!H11,1)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Skills!G12*IF(Skills!H12&gt;0,IF(Inputs!$B$38="pvp",MIN(Skills!I12,15),Skills!I12)/Skills!H12,1)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Skills!G13*IF(Skills!H13&gt;0,IF(Inputs!$B$38="pvp",MIN(Skills!I13,15),Skills!I13)/Skills!H13,1)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Skills!G14*IF(Skills!H14&gt;0,IF(Inputs!$B$38="pvp",MIN(Skills!I14,15),Skills!I14)/Skills!H14,1)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Skills!G15*IF(Skills!H15&gt;0,IF(Inputs!$B$38="pvp",MIN(Skills!I15,15),Skills!I15)/Skills!H15,1)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IFERROR(1/IF(Inputs!$B$38="pvp",15,MAX(0.1,Skills!D15-IF(TRUE=TRUE,Inputs!$B$32,0))),0)</f>
        <v/>
      </c>
      <c r="R626">
        <f>IF(AND(Inputs!$B$38&lt;&gt;"pvp",Inputs!$B$43&gt;0),IF(Inputs!$B$43&lt;=0,0,(INT(Inputs!$B$43/IF(Inputs!$B$38="pvp",15,MAX(0.1,Skills!D15-IF(TRUE=TRUE,Inputs!$B$32,0))))+1)),0)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Skills!G16*IF(Skills!H16&gt;0,IF(Inputs!$B$38="pvp",MIN(Skills!I16,15),Skills!I16)/Skills!H16,1)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IFERROR(1/IF(Inputs!$B$38="pvp",15,MAX(0.1,Skills!D16-IF(TRUE=TRUE,Inputs!$B$32,0))),0)</f>
        <v/>
      </c>
      <c r="R627">
        <f>IF(AND(Inputs!$B$38&lt;&gt;"pvp",Inputs!$B$43&gt;0),IF(Inputs!$B$43&lt;=0,0,(INT(Inputs!$B$43/IF(Inputs!$B$38="pvp",15,MAX(0.1,Skills!D16-IF(TRUE=TRUE,Inputs!$B$32,0))))+1)),0)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Skills!G17*IF(Skills!H17&gt;0,IF(Inputs!$B$38="pvp",MIN(Skills!I17,15),Skills!I17)/Skills!H17,1)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Skills!G18*IF(Skills!H18&gt;0,IF(Inputs!$B$38="pvp",MIN(Skills!I18,15),Skills!I18)/Skills!H18,1)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IFERROR(1/IF(Inputs!$B$38="pvp",15,MAX(0.1,Skills!D18-IF(TRUE=TRUE,Inputs!$B$32,0))),0)</f>
        <v/>
      </c>
      <c r="R629">
        <f>IF(AND(Inputs!$B$38&lt;&gt;"pvp",Inputs!$B$43&gt;0),IF(Inputs!$B$43&lt;=0,0,(INT(Inputs!$B$43/IF(Inputs!$B$38="pvp",15,MAX(0.1,Skills!D18-IF(TRUE=TRUE,Inputs!$B$32,0))))+1)),0)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Skills!G19*IF(Skills!H19&gt;0,IF(Inputs!$B$38="pvp",MIN(Skills!I19,15),Skills!I19)/Skills!H19,1)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Skills!G20*IF(Skills!H20&gt;0,IF(Inputs!$B$38="pvp",MIN(Skills!I20,15),Skills!I20)/Skills!H20,1)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Skills!G21*IF(Skills!H21&gt;0,IF(Inputs!$B$38="pvp",MIN(Skills!I21,15),Skills!I21)/Skills!H21,1)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Skills!G22*IF(Skills!H22&gt;0,IF(Inputs!$B$38="pvp",MIN(Skills!I22,15),Skills!I22)/Skills!H22,1)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Skills!G23*IF(Skills!H23&gt;0,IF(Inputs!$B$38="pvp",MIN(Skills!I23,15),Skills!I23)/Skills!H23,1)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Skills!G24*IF(Skills!H24&gt;0,IF(Inputs!$B$38="pvp",MIN(Skills!I24,15),Skills!I24)/Skills!H24,1)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Skills!G25*IF(Skills!H25&gt;0,IF(Inputs!$B$38="pvp",MIN(Skills!I25,15),Skills!I25)/Skills!H25,1)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Skills!G26*IF(Skills!H26&gt;0,IF(Inputs!$B$38="pvp",MIN(Skills!I26,15),Skills!I26)/Skills!H26,1)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Skills!G27*IF(Skills!H27&gt;0,IF(Inputs!$B$38="pvp",MIN(Skills!I27,15),Skills!I27)/Skills!H27,1)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Skills!G28*IF(Skills!H28&gt;0,IF(Inputs!$B$38="pvp",MIN(Skills!I28,15),Skills!I28)/Skills!H28,1)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Skills!G29*IF(Skills!H29&gt;0,IF(Inputs!$B$38="pvp",MIN(Skills!I29,15),Skills!I29)/Skills!H29,1)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MIN((Skills!T15*(1+Inputs!$B$34/100)),(1/Q626))+MIN((Skills!T15*(1+Inputs!$B$34/100)),MAX(0,Inputs!$B$43-((R626-1)*(1/Q626)))))/Inputs!$B$43),IF(Inputs!$B$38="pvp",MIN((Skills!T15*(1+Inputs!$B$34/100)),15)/15,MIN(1,(Skills!T15*(1+Inputs!$B$34/100))/(1/Q626)))))+((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t>
        </is>
      </c>
      <c r="B644">
        <f>((C629=TRUE)*F629*IF(AND(Inputs!$B$38&lt;&gt;"pvp",Inputs!$B$43&gt;0),(((R629-1)*MIN((Skills!T18*(1+Inputs!$B$34/100)),(1/Q629))+MIN((Skills!T18*(1+Inputs!$B$34/100)),MAX(0,Inputs!$B$43-((R629-1)*(1/Q629)))))/Inputs!$B$43),IF(Inputs!$B$38="pvp",MIN((Skills!T18*(1+Inputs!$B$34/100)),15)/15,MIN(1,(Skills!T18*(1+Inputs!$B$34/100))/(1/Q629)))))</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MIN((Skills!T16*(1+Inputs!$B$34/100)),(1/Q627))+MIN((Skills!T16*(1+Inputs!$B$34/100)),MAX(0,Inputs!$B$43-((R627-1)*(1/Q627)))))/Inputs!$B$43),IF(Inputs!$B$38="pvp",MIN((Skills!T16*(1+Inputs!$B$34/100)),15)/15,MIN(1,(Skills!T16*(1+Inputs!$B$34/100))/(1/Q627))))</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Skills!G2*IF(Skills!H2&gt;0,IF(Inputs!$B$38="pvp",MIN(Skills!I2,15),Skills!I2)/Skills!H2,1)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Skills!G5*IF(Skills!H5&gt;0,IF(Inputs!$B$38="pvp",MIN(Skills!I5,15),Skills!I5)/Skills!H5,1)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IFERROR(1/IF(Inputs!$B$38="pvp",15,MAX(0.1,Skills!D5-IF(TRUE=TRUE,Inputs!$B$32,0))),0)</f>
        <v/>
      </c>
      <c r="R661">
        <f>IF(AND(Inputs!$B$38&lt;&gt;"pvp",Inputs!$B$43&gt;0),IF(MAX(0,Inputs!$B$43-B695)&lt;=0,0,(INT(MAX(0,Inputs!$B$43-B695)/IF(Inputs!$B$38="pvp",15,MAX(0.1,Skills!D5-IF(TRUE=TRUE,Inputs!$B$32,0))))+1)),0)</f>
        <v/>
      </c>
      <c r="S661">
        <f>IFERROR((H661*N661*IF(AND(Inputs!$B$38&lt;&gt;"pvp",Inputs!$B$43&gt;0),((Skills!G5*((R661-1)*IF(Skills!H5&gt;0,Skills!I5/Skills!H5,1)+IF(Skills!H5&gt;0,MIN(Skills!I5,MAX(0,MAX(0,Inputs!$B$43-B695)-((R661-1)*IF(Inputs!$B$38="pvp",15,MAX(0.1,Skills!D5-IF(TRUE=TRUE,Inputs!$B$32,0))))))/Skills!H5,1)))/Inputs!$B$43),G661*Q661))/N661*IF(Inputs!$B$38="pvp",1,(1-Summary!$B$11)*1+Summary!$B$11*(MIN(Skills!R5,Inputs!$B$37))),0)</f>
        <v/>
      </c>
      <c r="T661">
        <f>IF(C661,(H661*N661*IF(AND(Inputs!$B$38&lt;&gt;"pvp",Inputs!$B$43&gt;0),((Skills!G5*((R661-1)*IF(Skills!H5&gt;0,Skills!I5/Skills!H5,1)+IF(Skills!H5&gt;0,MIN(Skills!I5,MAX(0,MAX(0,Inputs!$B$43-B695)-((R661-1)*IF(Inputs!$B$38="pvp",15,MAX(0.1,Skills!D5-IF(TRUE=TRUE,Inputs!$B$32,0))))))/Skills!H5,1)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Skills!I5/Skills!H5,1)+IF(Skills!H5&gt;0,MIN(Skills!I5,MAX(0,MAX(0,Inputs!$B$43-B695)-((R661-1)*IF(Inputs!$B$38="pvp",15,MAX(0.1,Skills!D5-IF(TRUE=TRUE,Inputs!$B$32,0))))))/Skills!H5,1)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Skills!G6*IF(Skills!H6&gt;0,IF(Inputs!$B$38="pvp",MIN(Skills!I6,15),Skills!I6)/Skills!H6,1)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IFERROR(1/IF(Inputs!$B$38="pvp",15,MAX(0.1,Skills!D6-IF(TRUE=TRUE,Inputs!$B$32,0))),0)</f>
        <v/>
      </c>
      <c r="R662">
        <f>IF(AND(Inputs!$B$38&lt;&gt;"pvp",Inputs!$B$43&gt;0),IF(MAX(0,Inputs!$B$43-B695)&lt;=0,0,(INT(MAX(0,Inputs!$B$43-B695)/IF(Inputs!$B$38="pvp",15,MAX(0.1,Skills!D6-IF(TRUE=TRUE,Inputs!$B$32,0))))+1)),0)</f>
        <v/>
      </c>
      <c r="S662">
        <f>IFERROR((H662*N662*IF(AND(Inputs!$B$38&lt;&gt;"pvp",Inputs!$B$43&gt;0),((Skills!G6*((R662-1)*IF(Skills!H6&gt;0,Skills!I6/Skills!H6,1)+IF(Skills!H6&gt;0,MIN(Skills!I6,MAX(0,MAX(0,Inputs!$B$43-B695)-((R662-1)*IF(Inputs!$B$38="pvp",15,MAX(0.1,Skills!D6-IF(TRUE=TRUE,Inputs!$B$32,0))))))/Skills!H6,1)))/Inputs!$B$43),G662*Q662))/N662*IF(Inputs!$B$38="pvp",1,(1-Summary!$B$11)*1+Summary!$B$11*(MIN(Skills!R6,Inputs!$B$37))),0)</f>
        <v/>
      </c>
      <c r="T662">
        <f>IF(C662,(H662*N662*IF(AND(Inputs!$B$38&lt;&gt;"pvp",Inputs!$B$43&gt;0),((Skills!G6*((R662-1)*IF(Skills!H6&gt;0,Skills!I6/Skills!H6,1)+IF(Skills!H6&gt;0,MIN(Skills!I6,MAX(0,MAX(0,Inputs!$B$43-B695)-((R662-1)*IF(Inputs!$B$38="pvp",15,MAX(0.1,Skills!D6-IF(TRUE=TRUE,Inputs!$B$32,0)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695)-((R662-1)*IF(Inputs!$B$38="pvp",15,MAX(0.1,Skills!D6-IF(TRUE=TRUE,Inputs!$B$32,0))))))/Skills!H6,1)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Skills!G7*IF(Skills!H7&gt;0,IF(Inputs!$B$38="pvp",MIN(Skills!I7,15),Skills!I7)/Skills!H7,1)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IFERROR(1/IF(Inputs!$B$38="pvp",15,MAX(0.1,Skills!D7-IF(TRUE=TRUE,Inputs!$B$32,0))),0)</f>
        <v/>
      </c>
      <c r="R663">
        <f>IF(AND(Inputs!$B$38&lt;&gt;"pvp",Inputs!$B$43&gt;0),IF(MAX(0,Inputs!$B$43-B695)&lt;=0,0,(INT(MAX(0,Inputs!$B$43-B695)/IF(Inputs!$B$38="pvp",15,MAX(0.1,Skills!D7-IF(TRUE=TRUE,Inputs!$B$32,0))))+1)),0)</f>
        <v/>
      </c>
      <c r="S663">
        <f>IFERROR((H663*N663*IF(AND(Inputs!$B$38&lt;&gt;"pvp",Inputs!$B$43&gt;0),((Skills!G7*((R663-1)*IF(Skills!H7&gt;0,Skills!I7/Skills!H7,1)+IF(Skills!H7&gt;0,MIN(Skills!I7,MAX(0,MAX(0,Inputs!$B$43-B695)-((R663-1)*IF(Inputs!$B$38="pvp",15,MAX(0.1,Skills!D7-IF(TRUE=TRUE,Inputs!$B$32,0))))))/Skills!H7,1)))/Inputs!$B$43),G663*Q663))/N663*IF(Inputs!$B$38="pvp",1,(1-Summary!$B$11)*1+Summary!$B$11*(MIN(Skills!R7,Inputs!$B$37))),0)</f>
        <v/>
      </c>
      <c r="T663">
        <f>IF(C663,(H663*N663*IF(AND(Inputs!$B$38&lt;&gt;"pvp",Inputs!$B$43&gt;0),((Skills!G7*((R663-1)*IF(Skills!H7&gt;0,Skills!I7/Skills!H7,1)+IF(Skills!H7&gt;0,MIN(Skills!I7,MAX(0,MAX(0,Inputs!$B$43-B695)-((R663-1)*IF(Inputs!$B$38="pvp",15,MAX(0.1,Skills!D7-IF(TRUE=TRUE,Inputs!$B$32,0)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695)-((R663-1)*IF(Inputs!$B$38="pvp",15,MAX(0.1,Skills!D7-IF(TRUE=TRUE,Inputs!$B$32,0))))))/Skills!H7,1)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Skills!G9*IF(Skills!H9&gt;0,IF(Inputs!$B$38="pvp",MIN(Skills!I9,15),Skills!I9)/Skills!H9,1)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IFERROR(1/IF(Inputs!$B$38="pvp",15,MAX(0.1,Skills!D9-IF(TRUE=TRUE,Inputs!$B$32,0))),0)</f>
        <v/>
      </c>
      <c r="R665">
        <f>IF(AND(Inputs!$B$38&lt;&gt;"pvp",Inputs!$B$43&gt;0),IF(MAX(0,Inputs!$B$43-B695)&lt;=0,0,(INT(MAX(0,Inputs!$B$43-B695)/IF(Inputs!$B$38="pvp",15,MAX(0.1,Skills!D9-IF(TRUE=TRUE,Inputs!$B$32,0))))+1)),0)</f>
        <v/>
      </c>
      <c r="S665">
        <f>IFERROR((H665*N665*IF(AND(Inputs!$B$38&lt;&gt;"pvp",Inputs!$B$43&gt;0),((Skills!G9*((R665-1)*IF(Skills!H9&gt;0,Skills!I9/Skills!H9,1)+IF(Skills!H9&gt;0,MIN(Skills!I9,MAX(0,MAX(0,Inputs!$B$43-B695)-((R665-1)*IF(Inputs!$B$38="pvp",15,MAX(0.1,Skills!D9-IF(TRUE=TRUE,Inputs!$B$32,0))))))/Skills!H9,1)))/Inputs!$B$43),G665*Q665))/N665*IF(Inputs!$B$38="pvp",1,(1-Summary!$B$11)*1+Summary!$B$11*(MIN(Skills!R9,Inputs!$B$37))),0)</f>
        <v/>
      </c>
      <c r="T665">
        <f>IF(C665,(H665*N665*IF(AND(Inputs!$B$38&lt;&gt;"pvp",Inputs!$B$43&gt;0),((Skills!G9*((R665-1)*IF(Skills!H9&gt;0,Skills!I9/Skills!H9,1)+IF(Skills!H9&gt;0,MIN(Skills!I9,MAX(0,MAX(0,Inputs!$B$43-B695)-((R665-1)*IF(Inputs!$B$38="pvp",15,MAX(0.1,Skills!D9-IF(TRUE=TRUE,Inputs!$B$32,0)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695)-((R665-1)*IF(Inputs!$B$38="pvp",15,MAX(0.1,Skills!D9-IF(TRUE=TRUE,Inputs!$B$32,0))))))/Skills!H9,1)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Skills!G10*IF(Skills!H10&gt;0,IF(Inputs!$B$38="pvp",MIN(Skills!I10,15),Skills!I10)/Skills!H10,1)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Skills!G11*IF(Skills!H11&gt;0,IF(Inputs!$B$38="pvp",MIN(Skills!I11,15),Skills!I11)/Skills!H11,1)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IFERROR(1/IF(Inputs!$B$38="pvp",15,MAX(0.1,Skills!D11-IF(TRUE=TRUE,Inputs!$B$32,0))),0)</f>
        <v/>
      </c>
      <c r="R667">
        <f>IF(AND(Inputs!$B$38&lt;&gt;"pvp",Inputs!$B$43&gt;0),IF(MAX(0,Inputs!$B$43-B695)&lt;=0,0,(INT(MAX(0,Inputs!$B$43-B695)/IF(Inputs!$B$38="pvp",15,MAX(0.1,Skills!D11-IF(TRUE=TRUE,Inputs!$B$32,0))))+1)),0)</f>
        <v/>
      </c>
      <c r="S667">
        <f>IFERROR((H667*N667*IF(AND(Inputs!$B$38&lt;&gt;"pvp",Inputs!$B$43&gt;0),((Skills!G11*((R667-1)*IF(Skills!H11&gt;0,Skills!I11/Skills!H11,1)+IF(Skills!H11&gt;0,MIN(Skills!I11,MAX(0,MAX(0,Inputs!$B$43-B695)-((R667-1)*IF(Inputs!$B$38="pvp",15,MAX(0.1,Skills!D11-IF(TRUE=TRUE,Inputs!$B$32,0))))))/Skills!H11,1)))/Inputs!$B$43),G667*Q667))/N667*IF(Inputs!$B$38="pvp",1,(1-Summary!$B$11)*1+Summary!$B$11*(MIN(Skills!R11,Inputs!$B$37))),0)</f>
        <v/>
      </c>
      <c r="T667">
        <f>IF(C667,(H667*N667*IF(AND(Inputs!$B$38&lt;&gt;"pvp",Inputs!$B$43&gt;0),((Skills!G11*((R667-1)*IF(Skills!H11&gt;0,Skills!I11/Skills!H11,1)+IF(Skills!H11&gt;0,MIN(Skills!I11,MAX(0,MAX(0,Inputs!$B$43-B695)-((R667-1)*IF(Inputs!$B$38="pvp",15,MAX(0.1,Skills!D11-IF(TRUE=TRUE,Inputs!$B$32,0)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Inputs!$B$38&lt;&gt;"pvp",Inputs!$B$43=0),1,IF(IF(Inputs!$B$38="pvp",15,Inputs!$B$43)-(B695)&lt;=0,1,MAX(0,IF(Inputs!$B$38="pvp",15,Inputs!$B$43)-MAX(5,B695))/(IF(Inputs!$B$38="pvp",15,Inputs!$B$43)-(B695))))*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695)-((R667-1)*IF(Inputs!$B$38="pvp",15,MAX(0.1,Skills!D11-IF(TRUE=TRUE,Inputs!$B$32,0))))))/Skills!H11,1)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Skills!G12*IF(Skills!H12&gt;0,IF(Inputs!$B$38="pvp",MIN(Skills!I12,15),Skills!I12)/Skills!H12,1)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Skills!G13*IF(Skills!H13&gt;0,IF(Inputs!$B$38="pvp",MIN(Skills!I13,15),Skills!I13)/Skills!H13,1)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Skills!G14*IF(Skills!H14&gt;0,IF(Inputs!$B$38="pvp",MIN(Skills!I14,15),Skills!I14)/Skills!H14,1)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Skills!G15*IF(Skills!H15&gt;0,IF(Inputs!$B$38="pvp",MIN(Skills!I15,15),Skills!I15)/Skills!H15,1)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IFERROR(1/IF(Inputs!$B$38="pvp",15,MAX(0.1,Skills!D15-IF(TRUE=TRUE,Inputs!$B$32,0))),0)</f>
        <v/>
      </c>
      <c r="R671">
        <f>IF(AND(Inputs!$B$38&lt;&gt;"pvp",Inputs!$B$43&gt;0),IF(Inputs!$B$43&lt;=0,0,(INT(Inputs!$B$43/IF(Inputs!$B$38="pvp",15,MAX(0.1,Skills!D15-IF(TRUE=TRUE,Inputs!$B$32,0))))+1)),0)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Skills!G16*IF(Skills!H16&gt;0,IF(Inputs!$B$38="pvp",MIN(Skills!I16,15),Skills!I16)/Skills!H16,1)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IFERROR(1/IF(Inputs!$B$38="pvp",15,MAX(0.1,Skills!D16-IF(TRUE=TRUE,Inputs!$B$32,0))),0)</f>
        <v/>
      </c>
      <c r="R672">
        <f>IF(AND(Inputs!$B$38&lt;&gt;"pvp",Inputs!$B$43&gt;0),IF(Inputs!$B$43&lt;=0,0,(INT(Inputs!$B$43/IF(Inputs!$B$38="pvp",15,MAX(0.1,Skills!D16-IF(TRUE=TRUE,Inputs!$B$32,0))))+1)),0)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Skills!G17*IF(Skills!H17&gt;0,IF(Inputs!$B$38="pvp",MIN(Skills!I17,15),Skills!I17)/Skills!H17,1)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Skills!G18*IF(Skills!H18&gt;0,IF(Inputs!$B$38="pvp",MIN(Skills!I18,15),Skills!I18)/Skills!H18,1)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IFERROR(1/IF(Inputs!$B$38="pvp",15,MAX(0.1,Skills!D18-IF(TRUE=TRUE,Inputs!$B$32,0))),0)</f>
        <v/>
      </c>
      <c r="R674">
        <f>IF(AND(Inputs!$B$38&lt;&gt;"pvp",Inputs!$B$43&gt;0),IF(Inputs!$B$43&lt;=0,0,(INT(Inputs!$B$43/IF(Inputs!$B$38="pvp",15,MAX(0.1,Skills!D18-IF(TRUE=TRUE,Inputs!$B$32,0))))+1)),0)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Skills!G19*IF(Skills!H19&gt;0,IF(Inputs!$B$38="pvp",MIN(Skills!I19,15),Skills!I19)/Skills!H19,1)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Skills!G20*IF(Skills!H20&gt;0,IF(Inputs!$B$38="pvp",MIN(Skills!I20,15),Skills!I20)/Skills!H20,1)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Skills!G21*IF(Skills!H21&gt;0,IF(Inputs!$B$38="pvp",MIN(Skills!I21,15),Skills!I21)/Skills!H21,1)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Skills!G22*IF(Skills!H22&gt;0,IF(Inputs!$B$38="pvp",MIN(Skills!I22,15),Skills!I22)/Skills!H22,1)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Skills!G23*IF(Skills!H23&gt;0,IF(Inputs!$B$38="pvp",MIN(Skills!I23,15),Skills!I23)/Skills!H23,1)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Skills!G24*IF(Skills!H24&gt;0,IF(Inputs!$B$38="pvp",MIN(Skills!I24,15),Skills!I24)/Skills!H24,1)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Skills!G25*IF(Skills!H25&gt;0,IF(Inputs!$B$38="pvp",MIN(Skills!I25,15),Skills!I25)/Skills!H25,1)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Skills!G26*IF(Skills!H26&gt;0,IF(Inputs!$B$38="pvp",MIN(Skills!I26,15),Skills!I26)/Skills!H26,1)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Skills!G27*IF(Skills!H27&gt;0,IF(Inputs!$B$38="pvp",MIN(Skills!I27,15),Skills!I27)/Skills!H27,1)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Skills!G28*IF(Skills!H28&gt;0,IF(Inputs!$B$38="pvp",MIN(Skills!I28,15),Skills!I28)/Skills!H28,1)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Skills!G29*IF(Skills!H29&gt;0,IF(Inputs!$B$38="pvp",MIN(Skills!I29,15),Skills!I29)/Skills!H29,1)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MIN((Skills!T15*(1+Inputs!$B$34/100)),(1/Q671))+MIN((Skills!T15*(1+Inputs!$B$34/100)),MAX(0,Inputs!$B$43-((R671-1)*(1/Q671)))))/Inputs!$B$43),IF(Inputs!$B$38="pvp",MIN((Skills!T15*(1+Inputs!$B$34/100)),15)/15,MIN(1,(Skills!T15*(1+Inputs!$B$34/100))/(1/Q671)))))+((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674=TRUE)*F674*IF(AND(Inputs!$B$38&lt;&gt;"pvp",Inputs!$B$43&gt;0),(((R674-1)*MIN((Skills!T18*(1+Inputs!$B$34/100)),(1/Q674))+MIN((Skills!T18*(1+Inputs!$B$34/100)),MAX(0,Inputs!$B$43-((R674-1)*(1/Q674)))))/Inputs!$B$43),IF(Inputs!$B$38="pvp",MIN((Skills!T18*(1+Inputs!$B$34/100)),15)/15,MIN(1,(Skills!T18*(1+Inputs!$B$34/100))/(1/Q674)))))</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MIN((Skills!T16*(1+Inputs!$B$34/100)),(1/Q672))+MIN((Skills!T16*(1+Inputs!$B$34/100)),MAX(0,Inputs!$B$43-((R672-1)*(1/Q672)))))/Inputs!$B$43),IF(Inputs!$B$38="pvp",MIN((Skills!T16*(1+Inputs!$B$34/100)),15)/15,MIN(1,(Skills!T16*(1+Inputs!$B$34/100))/(1/Q672))))</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Skills!G2*IF(Skills!H2&gt;0,IF(Inputs!$B$38="pvp",MIN(Skills!I2,15),Skills!I2)/Skills!H2,1)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Skills!G5*IF(Skills!H5&gt;0,IF(Inputs!$B$38="pvp",MIN(Skills!I5,15),Skills!I5)/Skills!H5,1)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IFERROR(1/IF(Inputs!$B$38="pvp",15,MAX(0.1,Skills!D5-IF(TRUE=TRUE,Inputs!$B$32,0))),0)</f>
        <v/>
      </c>
      <c r="R706">
        <f>IF(AND(Inputs!$B$38&lt;&gt;"pvp",Inputs!$B$43&gt;0),IF(MAX(0,Inputs!$B$43-B740)&lt;=0,0,(INT(MAX(0,Inputs!$B$43-B740)/IF(Inputs!$B$38="pvp",15,MAX(0.1,Skills!D5-IF(TRUE=TRUE,Inputs!$B$32,0))))+1)),0)</f>
        <v/>
      </c>
      <c r="S706">
        <f>IFERROR((H706*N706*IF(AND(Inputs!$B$38&lt;&gt;"pvp",Inputs!$B$43&gt;0),((Skills!G5*((R706-1)*IF(Skills!H5&gt;0,Skills!I5/Skills!H5,1)+IF(Skills!H5&gt;0,MIN(Skills!I5,MAX(0,MAX(0,Inputs!$B$43-B740)-((R706-1)*IF(Inputs!$B$38="pvp",15,MAX(0.1,Skills!D5-IF(TRUE=TRUE,Inputs!$B$32,0))))))/Skills!H5,1)))/Inputs!$B$43),G706*Q706))/N706*IF(Inputs!$B$38="pvp",1,(1-Summary!$B$11)*1+Summary!$B$11*(MIN(Skills!R5,Inputs!$B$37))),0)</f>
        <v/>
      </c>
      <c r="T706">
        <f>IF(C706,(H706*N706*IF(AND(Inputs!$B$38&lt;&gt;"pvp",Inputs!$B$43&gt;0),((Skills!G5*((R706-1)*IF(Skills!H5&gt;0,Skills!I5/Skills!H5,1)+IF(Skills!H5&gt;0,MIN(Skills!I5,MAX(0,MAX(0,Inputs!$B$43-B740)-((R706-1)*IF(Inputs!$B$38="pvp",15,MAX(0.1,Skills!D5-IF(TRUE=TRUE,Inputs!$B$32,0)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740)-((R706-1)*IF(Inputs!$B$38="pvp",15,MAX(0.1,Skills!D5-IF(TRUE=TRUE,Inputs!$B$32,0))))))/Skills!H5,1)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Skills!G6*IF(Skills!H6&gt;0,IF(Inputs!$B$38="pvp",MIN(Skills!I6,15),Skills!I6)/Skills!H6,1)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IFERROR(1/IF(Inputs!$B$38="pvp",15,MAX(0.1,Skills!D6-IF(TRUE=TRUE,Inputs!$B$32,0))),0)</f>
        <v/>
      </c>
      <c r="R707">
        <f>IF(AND(Inputs!$B$38&lt;&gt;"pvp",Inputs!$B$43&gt;0),IF(MAX(0,Inputs!$B$43-B740)&lt;=0,0,(INT(MAX(0,Inputs!$B$43-B740)/IF(Inputs!$B$38="pvp",15,MAX(0.1,Skills!D6-IF(TRUE=TRUE,Inputs!$B$32,0))))+1)),0)</f>
        <v/>
      </c>
      <c r="S707">
        <f>IFERROR((H707*N707*IF(AND(Inputs!$B$38&lt;&gt;"pvp",Inputs!$B$43&gt;0),((Skills!G6*((R707-1)*IF(Skills!H6&gt;0,Skills!I6/Skills!H6,1)+IF(Skills!H6&gt;0,MIN(Skills!I6,MAX(0,MAX(0,Inputs!$B$43-B740)-((R707-1)*IF(Inputs!$B$38="pvp",15,MAX(0.1,Skills!D6-IF(TRUE=TRUE,Inputs!$B$32,0))))))/Skills!H6,1)))/Inputs!$B$43),G707*Q707))/N707*IF(Inputs!$B$38="pvp",1,(1-Summary!$B$11)*1+Summary!$B$11*(MIN(Skills!R6,Inputs!$B$37))),0)</f>
        <v/>
      </c>
      <c r="T707">
        <f>IF(C707,(H707*N707*IF(AND(Inputs!$B$38&lt;&gt;"pvp",Inputs!$B$43&gt;0),((Skills!G6*((R707-1)*IF(Skills!H6&gt;0,Skills!I6/Skills!H6,1)+IF(Skills!H6&gt;0,MIN(Skills!I6,MAX(0,MAX(0,Inputs!$B$43-B740)-((R707-1)*IF(Inputs!$B$38="pvp",15,MAX(0.1,Skills!D6-IF(TRUE=TRUE,Inputs!$B$32,0)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740)-((R707-1)*IF(Inputs!$B$38="pvp",15,MAX(0.1,Skills!D6-IF(TRUE=TRUE,Inputs!$B$32,0))))))/Skills!H6,1)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Skills!G7*IF(Skills!H7&gt;0,IF(Inputs!$B$38="pvp",MIN(Skills!I7,15),Skills!I7)/Skills!H7,1)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IFERROR(1/IF(Inputs!$B$38="pvp",15,MAX(0.1,Skills!D7-IF(TRUE=TRUE,Inputs!$B$32,0))),0)</f>
        <v/>
      </c>
      <c r="R708">
        <f>IF(AND(Inputs!$B$38&lt;&gt;"pvp",Inputs!$B$43&gt;0),IF(MAX(0,Inputs!$B$43-B740)&lt;=0,0,(INT(MAX(0,Inputs!$B$43-B740)/IF(Inputs!$B$38="pvp",15,MAX(0.1,Skills!D7-IF(TRUE=TRUE,Inputs!$B$32,0))))+1)),0)</f>
        <v/>
      </c>
      <c r="S708">
        <f>IFERROR((H708*N708*IF(AND(Inputs!$B$38&lt;&gt;"pvp",Inputs!$B$43&gt;0),((Skills!G7*((R708-1)*IF(Skills!H7&gt;0,Skills!I7/Skills!H7,1)+IF(Skills!H7&gt;0,MIN(Skills!I7,MAX(0,MAX(0,Inputs!$B$43-B740)-((R708-1)*IF(Inputs!$B$38="pvp",15,MAX(0.1,Skills!D7-IF(TRUE=TRUE,Inputs!$B$32,0))))))/Skills!H7,1)))/Inputs!$B$43),G708*Q708))/N708*IF(Inputs!$B$38="pvp",1,(1-Summary!$B$11)*1+Summary!$B$11*(MIN(Skills!R7,Inputs!$B$37))),0)</f>
        <v/>
      </c>
      <c r="T708">
        <f>IF(C708,(H708*N708*IF(AND(Inputs!$B$38&lt;&gt;"pvp",Inputs!$B$43&gt;0),((Skills!G7*((R708-1)*IF(Skills!H7&gt;0,Skills!I7/Skills!H7,1)+IF(Skills!H7&gt;0,MIN(Skills!I7,MAX(0,MAX(0,Inputs!$B$43-B740)-((R708-1)*IF(Inputs!$B$38="pvp",15,MAX(0.1,Skills!D7-IF(TRUE=TRUE,Inputs!$B$32,0)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740)-((R708-1)*IF(Inputs!$B$38="pvp",15,MAX(0.1,Skills!D7-IF(TRUE=TRUE,Inputs!$B$32,0))))))/Skills!H7,1)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Skills!G9*IF(Skills!H9&gt;0,IF(Inputs!$B$38="pvp",MIN(Skills!I9,15),Skills!I9)/Skills!H9,1)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IFERROR(1/IF(Inputs!$B$38="pvp",15,MAX(0.1,Skills!D9-IF(TRUE=TRUE,Inputs!$B$32,0))),0)</f>
        <v/>
      </c>
      <c r="R710">
        <f>IF(AND(Inputs!$B$38&lt;&gt;"pvp",Inputs!$B$43&gt;0),IF(MAX(0,Inputs!$B$43-B740)&lt;=0,0,(INT(MAX(0,Inputs!$B$43-B740)/IF(Inputs!$B$38="pvp",15,MAX(0.1,Skills!D9-IF(TRUE=TRUE,Inputs!$B$32,0))))+1)),0)</f>
        <v/>
      </c>
      <c r="S710">
        <f>IFERROR((H710*N710*IF(AND(Inputs!$B$38&lt;&gt;"pvp",Inputs!$B$43&gt;0),((Skills!G9*((R710-1)*IF(Skills!H9&gt;0,Skills!I9/Skills!H9,1)+IF(Skills!H9&gt;0,MIN(Skills!I9,MAX(0,MAX(0,Inputs!$B$43-B740)-((R710-1)*IF(Inputs!$B$38="pvp",15,MAX(0.1,Skills!D9-IF(TRUE=TRUE,Inputs!$B$32,0))))))/Skills!H9,1)))/Inputs!$B$43),G710*Q710))/N710*IF(Inputs!$B$38="pvp",1,(1-Summary!$B$11)*1+Summary!$B$11*(MIN(Skills!R9,Inputs!$B$37))),0)</f>
        <v/>
      </c>
      <c r="T710">
        <f>IF(C710,(H710*N710*IF(AND(Inputs!$B$38&lt;&gt;"pvp",Inputs!$B$43&gt;0),((Skills!G9*((R710-1)*IF(Skills!H9&gt;0,Skills!I9/Skills!H9,1)+IF(Skills!H9&gt;0,MIN(Skills!I9,MAX(0,MAX(0,Inputs!$B$43-B740)-((R710-1)*IF(Inputs!$B$38="pvp",15,MAX(0.1,Skills!D9-IF(TRUE=TRUE,Inputs!$B$32,0)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740)-((R710-1)*IF(Inputs!$B$38="pvp",15,MAX(0.1,Skills!D9-IF(TRUE=TRUE,Inputs!$B$32,0))))))/Skills!H9,1)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Skills!G10*IF(Skills!H10&gt;0,IF(Inputs!$B$38="pvp",MIN(Skills!I10,15),Skills!I10)/Skills!H10,1)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Skills!G11*IF(Skills!H11&gt;0,IF(Inputs!$B$38="pvp",MIN(Skills!I11,15),Skills!I11)/Skills!H11,1)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IFERROR(1/IF(Inputs!$B$38="pvp",15,MAX(0.1,Skills!D11-IF(TRUE=TRUE,Inputs!$B$32,0))),0)</f>
        <v/>
      </c>
      <c r="R712">
        <f>IF(AND(Inputs!$B$38&lt;&gt;"pvp",Inputs!$B$43&gt;0),IF(MAX(0,Inputs!$B$43-B740)&lt;=0,0,(INT(MAX(0,Inputs!$B$43-B740)/IF(Inputs!$B$38="pvp",15,MAX(0.1,Skills!D11-IF(TRUE=TRUE,Inputs!$B$32,0))))+1)),0)</f>
        <v/>
      </c>
      <c r="S712">
        <f>IFERROR((H712*N712*IF(AND(Inputs!$B$38&lt;&gt;"pvp",Inputs!$B$43&gt;0),((Skills!G11*((R712-1)*IF(Skills!H11&gt;0,Skills!I11/Skills!H11,1)+IF(Skills!H11&gt;0,MIN(Skills!I11,MAX(0,MAX(0,Inputs!$B$43-B740)-((R712-1)*IF(Inputs!$B$38="pvp",15,MAX(0.1,Skills!D11-IF(TRUE=TRUE,Inputs!$B$32,0))))))/Skills!H11,1)))/Inputs!$B$43),G712*Q712))/N712*IF(Inputs!$B$38="pvp",1,(1-Summary!$B$11)*1+Summary!$B$11*(MIN(Skills!R11,Inputs!$B$37))),0)</f>
        <v/>
      </c>
      <c r="T712">
        <f>IF(C712,(H712*N712*IF(AND(Inputs!$B$38&lt;&gt;"pvp",Inputs!$B$43&gt;0),((Skills!G11*((R712-1)*IF(Skills!H11&gt;0,Skills!I11/Skills!H11,1)+IF(Skills!H11&gt;0,MIN(Skills!I11,MAX(0,MAX(0,Inputs!$B$43-B740)-((R712-1)*IF(Inputs!$B$38="pvp",15,MAX(0.1,Skills!D11-IF(TRUE=TRUE,Inputs!$B$32,0)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Inputs!$B$38&lt;&gt;"pvp",Inputs!$B$43=0),1,IF(IF(Inputs!$B$38="pvp",15,Inputs!$B$43)-(B740)&lt;=0,1,MAX(0,IF(Inputs!$B$38="pvp",15,Inputs!$B$43)-MAX(5,B740))/(IF(Inputs!$B$38="pvp",15,Inputs!$B$43)-(B740)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740)-((R712-1)*IF(Inputs!$B$38="pvp",15,MAX(0.1,Skills!D11-IF(TRUE=TRUE,Inputs!$B$32,0))))))/Skills!H11,1)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Skills!G12*IF(Skills!H12&gt;0,IF(Inputs!$B$38="pvp",MIN(Skills!I12,15),Skills!I12)/Skills!H12,1)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Skills!G13*IF(Skills!H13&gt;0,IF(Inputs!$B$38="pvp",MIN(Skills!I13,15),Skills!I13)/Skills!H13,1)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Skills!G14*IF(Skills!H14&gt;0,IF(Inputs!$B$38="pvp",MIN(Skills!I14,15),Skills!I14)/Skills!H14,1)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Skills!G15*IF(Skills!H15&gt;0,IF(Inputs!$B$38="pvp",MIN(Skills!I15,15),Skills!I15)/Skills!H15,1)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IFERROR(1/IF(Inputs!$B$38="pvp",15,MAX(0.1,Skills!D15-IF(TRUE=TRUE,Inputs!$B$32,0))),0)</f>
        <v/>
      </c>
      <c r="R716">
        <f>IF(AND(Inputs!$B$38&lt;&gt;"pvp",Inputs!$B$43&gt;0),IF(Inputs!$B$43&lt;=0,0,(INT(Inputs!$B$43/IF(Inputs!$B$38="pvp",15,MAX(0.1,Skills!D15-IF(TRUE=TRUE,Inputs!$B$32,0))))+1)),0)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Skills!G16*IF(Skills!H16&gt;0,IF(Inputs!$B$38="pvp",MIN(Skills!I16,15),Skills!I16)/Skills!H16,1)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IFERROR(1/IF(Inputs!$B$38="pvp",15,MAX(0.1,Skills!D16-IF(TRUE=TRUE,Inputs!$B$32,0))),0)</f>
        <v/>
      </c>
      <c r="R717">
        <f>IF(AND(Inputs!$B$38&lt;&gt;"pvp",Inputs!$B$43&gt;0),IF(Inputs!$B$43&lt;=0,0,(INT(Inputs!$B$43/IF(Inputs!$B$38="pvp",15,MAX(0.1,Skills!D16-IF(TRUE=TRUE,Inputs!$B$32,0))))+1)),0)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Skills!G17*IF(Skills!H17&gt;0,IF(Inputs!$B$38="pvp",MIN(Skills!I17,15),Skills!I17)/Skills!H17,1)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Skills!G18*IF(Skills!H18&gt;0,IF(Inputs!$B$38="pvp",MIN(Skills!I18,15),Skills!I18)/Skills!H18,1)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IFERROR(1/IF(Inputs!$B$38="pvp",15,MAX(0.1,Skills!D18-IF(TRUE=TRUE,Inputs!$B$32,0))),0)</f>
        <v/>
      </c>
      <c r="R719">
        <f>IF(AND(Inputs!$B$38&lt;&gt;"pvp",Inputs!$B$43&gt;0),IF(Inputs!$B$43&lt;=0,0,(INT(Inputs!$B$43/IF(Inputs!$B$38="pvp",15,MAX(0.1,Skills!D18-IF(TRUE=TRUE,Inputs!$B$32,0))))+1)),0)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Skills!G19*IF(Skills!H19&gt;0,IF(Inputs!$B$38="pvp",MIN(Skills!I19,15),Skills!I19)/Skills!H19,1)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Skills!G20*IF(Skills!H20&gt;0,IF(Inputs!$B$38="pvp",MIN(Skills!I20,15),Skills!I20)/Skills!H20,1)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Skills!G21*IF(Skills!H21&gt;0,IF(Inputs!$B$38="pvp",MIN(Skills!I21,15),Skills!I21)/Skills!H21,1)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Skills!G22*IF(Skills!H22&gt;0,IF(Inputs!$B$38="pvp",MIN(Skills!I22,15),Skills!I22)/Skills!H22,1)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Skills!G23*IF(Skills!H23&gt;0,IF(Inputs!$B$38="pvp",MIN(Skills!I23,15),Skills!I23)/Skills!H23,1)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Skills!G24*IF(Skills!H24&gt;0,IF(Inputs!$B$38="pvp",MIN(Skills!I24,15),Skills!I24)/Skills!H24,1)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Skills!G25*IF(Skills!H25&gt;0,IF(Inputs!$B$38="pvp",MIN(Skills!I25,15),Skills!I25)/Skills!H25,1)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Skills!G26*IF(Skills!H26&gt;0,IF(Inputs!$B$38="pvp",MIN(Skills!I26,15),Skills!I26)/Skills!H26,1)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Skills!G27*IF(Skills!H27&gt;0,IF(Inputs!$B$38="pvp",MIN(Skills!I27,15),Skills!I27)/Skills!H27,1)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Skills!G28*IF(Skills!H28&gt;0,IF(Inputs!$B$38="pvp",MIN(Skills!I28,15),Skills!I28)/Skills!H28,1)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Skills!G29*IF(Skills!H29&gt;0,IF(Inputs!$B$38="pvp",MIN(Skills!I29,15),Skills!I29)/Skills!H29,1)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MIN((Skills!T15*(1+Inputs!$B$34/100)),(1/Q716))+MIN((Skills!T15*(1+Inputs!$B$34/100)),MAX(0,Inputs!$B$43-((R716-1)*(1/Q716)))))/Inputs!$B$43),IF(Inputs!$B$38="pvp",MIN((Skills!T15*(1+Inputs!$B$34/100)),15)/15,MIN(1,(Skills!T15*(1+Inputs!$B$34/100))/(1/Q716)))))+((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t="n">
        <v>0</v>
      </c>
    </row>
    <row r="734">
      <c r="A734" t="inlineStr">
        <is>
          <t>Attack Speed Buff Bonus %</t>
        </is>
      </c>
      <c r="B734">
        <f>((C719=TRUE)*F719*IF(AND(Inputs!$B$38&lt;&gt;"pvp",Inputs!$B$43&gt;0),(((R719-1)*MIN((Skills!T18*(1+Inputs!$B$34/100)),(1/Q719))+MIN((Skills!T18*(1+Inputs!$B$34/100)),MAX(0,Inputs!$B$43-((R719-1)*(1/Q719)))))/Inputs!$B$43),IF(Inputs!$B$38="pvp",MIN((Skills!T18*(1+Inputs!$B$34/100)),15)/15,MIN(1,(Skills!T18*(1+Inputs!$B$34/100))/(1/Q719)))))</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MIN((Skills!T16*(1+Inputs!$B$34/100)),(1/Q717))+MIN((Skills!T16*(1+Inputs!$B$34/100)),MAX(0,Inputs!$B$43-((R717-1)*(1/Q717)))))/Inputs!$B$43),IF(Inputs!$B$38="pvp",MIN((Skills!T16*(1+Inputs!$B$34/100)),15)/15,MIN(1,(Skills!T16*(1+Inputs!$B$34/100))/(1/Q717))))</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Skills!G2*IF(Skills!H2&gt;0,IF(Inputs!$B$38="pvp",MIN(Skills!I2,15),Skills!I2)/Skills!H2,1)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Skills!G5*IF(Skills!H5&gt;0,IF(Inputs!$B$38="pvp",MIN(Skills!I5,15),Skills!I5)/Skills!H5,1)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IFERROR(1/IF(Inputs!$B$38="pvp",15,MAX(0.1,Skills!D5-IF(TRUE=TRUE,Inputs!$B$32,0))),0)</f>
        <v/>
      </c>
      <c r="R751">
        <f>IF(AND(Inputs!$B$38&lt;&gt;"pvp",Inputs!$B$43&gt;0),IF(MAX(0,Inputs!$B$43-B785)&lt;=0,0,(INT(MAX(0,Inputs!$B$43-B785)/IF(Inputs!$B$38="pvp",15,MAX(0.1,Skills!D5-IF(TRUE=TRUE,Inputs!$B$32,0))))+1)),0)</f>
        <v/>
      </c>
      <c r="S751">
        <f>IFERROR((H751*N751*IF(AND(Inputs!$B$38&lt;&gt;"pvp",Inputs!$B$43&gt;0),((Skills!G5*((R751-1)*IF(Skills!H5&gt;0,Skills!I5/Skills!H5,1)+IF(Skills!H5&gt;0,MIN(Skills!I5,MAX(0,MAX(0,Inputs!$B$43-B785)-((R751-1)*IF(Inputs!$B$38="pvp",15,MAX(0.1,Skills!D5-IF(TRUE=TRUE,Inputs!$B$32,0))))))/Skills!H5,1)))/Inputs!$B$43),G751*Q751))/N751*IF(Inputs!$B$38="pvp",1,(1-Summary!$B$11)*1+Summary!$B$11*(MIN(Skills!R5,Inputs!$B$37))),0)</f>
        <v/>
      </c>
      <c r="T751">
        <f>IF(C751,(H751*N751*IF(AND(Inputs!$B$38&lt;&gt;"pvp",Inputs!$B$43&gt;0),((Skills!G5*((R751-1)*IF(Skills!H5&gt;0,Skills!I5/Skills!H5,1)+IF(Skills!H5&gt;0,MIN(Skills!I5,MAX(0,MAX(0,Inputs!$B$43-B785)-((R751-1)*IF(Inputs!$B$38="pvp",15,MAX(0.1,Skills!D5-IF(TRUE=TRUE,Inputs!$B$32,0))))))/Skills!H5,1)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Skills!I5/Skills!H5,1)+IF(Skills!H5&gt;0,MIN(Skills!I5,MAX(0,MAX(0,Inputs!$B$43-B785)-((R751-1)*IF(Inputs!$B$38="pvp",15,MAX(0.1,Skills!D5-IF(TRUE=TRUE,Inputs!$B$32,0))))))/Skills!H5,1)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Skills!G6*IF(Skills!H6&gt;0,IF(Inputs!$B$38="pvp",MIN(Skills!I6,15),Skills!I6)/Skills!H6,1)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IFERROR(1/IF(Inputs!$B$38="pvp",15,MAX(0.1,Skills!D6-IF(TRUE=TRUE,Inputs!$B$32,0))),0)</f>
        <v/>
      </c>
      <c r="R752">
        <f>IF(AND(Inputs!$B$38&lt;&gt;"pvp",Inputs!$B$43&gt;0),IF(MAX(0,Inputs!$B$43-B785)&lt;=0,0,(INT(MAX(0,Inputs!$B$43-B785)/IF(Inputs!$B$38="pvp",15,MAX(0.1,Skills!D6-IF(TRUE=TRUE,Inputs!$B$32,0))))+1)),0)</f>
        <v/>
      </c>
      <c r="S752">
        <f>IFERROR((H752*N752*IF(AND(Inputs!$B$38&lt;&gt;"pvp",Inputs!$B$43&gt;0),((Skills!G6*((R752-1)*IF(Skills!H6&gt;0,Skills!I6/Skills!H6,1)+IF(Skills!H6&gt;0,MIN(Skills!I6,MAX(0,MAX(0,Inputs!$B$43-B785)-((R752-1)*IF(Inputs!$B$38="pvp",15,MAX(0.1,Skills!D6-IF(TRUE=TRUE,Inputs!$B$32,0))))))/Skills!H6,1)))/Inputs!$B$43),G752*Q752))/N752*IF(Inputs!$B$38="pvp",1,(1-Summary!$B$11)*1+Summary!$B$11*(MIN(Skills!R6,Inputs!$B$37))),0)</f>
        <v/>
      </c>
      <c r="T752">
        <f>IF(C752,(H752*N752*IF(AND(Inputs!$B$38&lt;&gt;"pvp",Inputs!$B$43&gt;0),((Skills!G6*((R752-1)*IF(Skills!H6&gt;0,Skills!I6/Skills!H6,1)+IF(Skills!H6&gt;0,MIN(Skills!I6,MAX(0,MAX(0,Inputs!$B$43-B785)-((R752-1)*IF(Inputs!$B$38="pvp",15,MAX(0.1,Skills!D6-IF(TRUE=TRUE,Inputs!$B$32,0)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785)-((R752-1)*IF(Inputs!$B$38="pvp",15,MAX(0.1,Skills!D6-IF(TRUE=TRUE,Inputs!$B$32,0))))))/Skills!H6,1)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Skills!G7*IF(Skills!H7&gt;0,IF(Inputs!$B$38="pvp",MIN(Skills!I7,15),Skills!I7)/Skills!H7,1)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IFERROR(1/IF(Inputs!$B$38="pvp",15,MAX(0.1,Skills!D7-IF(TRUE=TRUE,Inputs!$B$32,0))),0)</f>
        <v/>
      </c>
      <c r="R753">
        <f>IF(AND(Inputs!$B$38&lt;&gt;"pvp",Inputs!$B$43&gt;0),IF(MAX(0,Inputs!$B$43-B785)&lt;=0,0,(INT(MAX(0,Inputs!$B$43-B785)/IF(Inputs!$B$38="pvp",15,MAX(0.1,Skills!D7-IF(TRUE=TRUE,Inputs!$B$32,0))))+1)),0)</f>
        <v/>
      </c>
      <c r="S753">
        <f>IFERROR((H753*N753*IF(AND(Inputs!$B$38&lt;&gt;"pvp",Inputs!$B$43&gt;0),((Skills!G7*((R753-1)*IF(Skills!H7&gt;0,Skills!I7/Skills!H7,1)+IF(Skills!H7&gt;0,MIN(Skills!I7,MAX(0,MAX(0,Inputs!$B$43-B785)-((R753-1)*IF(Inputs!$B$38="pvp",15,MAX(0.1,Skills!D7-IF(TRUE=TRUE,Inputs!$B$32,0))))))/Skills!H7,1)))/Inputs!$B$43),G753*Q753))/N753*IF(Inputs!$B$38="pvp",1,(1-Summary!$B$11)*1+Summary!$B$11*(MIN(Skills!R7,Inputs!$B$37))),0)</f>
        <v/>
      </c>
      <c r="T753">
        <f>IF(C753,(H753*N753*IF(AND(Inputs!$B$38&lt;&gt;"pvp",Inputs!$B$43&gt;0),((Skills!G7*((R753-1)*IF(Skills!H7&gt;0,Skills!I7/Skills!H7,1)+IF(Skills!H7&gt;0,MIN(Skills!I7,MAX(0,MAX(0,Inputs!$B$43-B785)-((R753-1)*IF(Inputs!$B$38="pvp",15,MAX(0.1,Skills!D7-IF(TRUE=TRUE,Inputs!$B$32,0)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785)-((R753-1)*IF(Inputs!$B$38="pvp",15,MAX(0.1,Skills!D7-IF(TRUE=TRUE,Inputs!$B$32,0))))))/Skills!H7,1)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Skills!G9*IF(Skills!H9&gt;0,IF(Inputs!$B$38="pvp",MIN(Skills!I9,15),Skills!I9)/Skills!H9,1)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IFERROR(1/IF(Inputs!$B$38="pvp",15,MAX(0.1,Skills!D9-IF(TRUE=TRUE,Inputs!$B$32,0))),0)</f>
        <v/>
      </c>
      <c r="R755">
        <f>IF(AND(Inputs!$B$38&lt;&gt;"pvp",Inputs!$B$43&gt;0),IF(MAX(0,Inputs!$B$43-B785)&lt;=0,0,(INT(MAX(0,Inputs!$B$43-B785)/IF(Inputs!$B$38="pvp",15,MAX(0.1,Skills!D9-IF(TRUE=TRUE,Inputs!$B$32,0))))+1)),0)</f>
        <v/>
      </c>
      <c r="S755">
        <f>IFERROR((H755*N755*IF(AND(Inputs!$B$38&lt;&gt;"pvp",Inputs!$B$43&gt;0),((Skills!G9*((R755-1)*IF(Skills!H9&gt;0,Skills!I9/Skills!H9,1)+IF(Skills!H9&gt;0,MIN(Skills!I9,MAX(0,MAX(0,Inputs!$B$43-B785)-((R755-1)*IF(Inputs!$B$38="pvp",15,MAX(0.1,Skills!D9-IF(TRUE=TRUE,Inputs!$B$32,0))))))/Skills!H9,1)))/Inputs!$B$43),G755*Q755))/N755*IF(Inputs!$B$38="pvp",1,(1-Summary!$B$11)*1+Summary!$B$11*(MIN(Skills!R9,Inputs!$B$37))),0)</f>
        <v/>
      </c>
      <c r="T755">
        <f>IF(C755,(H755*N755*IF(AND(Inputs!$B$38&lt;&gt;"pvp",Inputs!$B$43&gt;0),((Skills!G9*((R755-1)*IF(Skills!H9&gt;0,Skills!I9/Skills!H9,1)+IF(Skills!H9&gt;0,MIN(Skills!I9,MAX(0,MAX(0,Inputs!$B$43-B785)-((R755-1)*IF(Inputs!$B$38="pvp",15,MAX(0.1,Skills!D9-IF(TRUE=TRUE,Inputs!$B$32,0)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785)-((R755-1)*IF(Inputs!$B$38="pvp",15,MAX(0.1,Skills!D9-IF(TRUE=TRUE,Inputs!$B$32,0))))))/Skills!H9,1)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Skills!G10*IF(Skills!H10&gt;0,IF(Inputs!$B$38="pvp",MIN(Skills!I10,15),Skills!I10)/Skills!H10,1)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Skills!G11*IF(Skills!H11&gt;0,IF(Inputs!$B$38="pvp",MIN(Skills!I11,15),Skills!I11)/Skills!H11,1)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IFERROR(1/IF(Inputs!$B$38="pvp",15,MAX(0.1,Skills!D11-IF(TRUE=TRUE,Inputs!$B$32,0))),0)</f>
        <v/>
      </c>
      <c r="R757">
        <f>IF(AND(Inputs!$B$38&lt;&gt;"pvp",Inputs!$B$43&gt;0),IF(MAX(0,Inputs!$B$43-B785)&lt;=0,0,(INT(MAX(0,Inputs!$B$43-B785)/IF(Inputs!$B$38="pvp",15,MAX(0.1,Skills!D11-IF(TRUE=TRUE,Inputs!$B$32,0))))+1)),0)</f>
        <v/>
      </c>
      <c r="S757">
        <f>IFERROR((H757*N757*IF(AND(Inputs!$B$38&lt;&gt;"pvp",Inputs!$B$43&gt;0),((Skills!G11*((R757-1)*IF(Skills!H11&gt;0,Skills!I11/Skills!H11,1)+IF(Skills!H11&gt;0,MIN(Skills!I11,MAX(0,MAX(0,Inputs!$B$43-B785)-((R757-1)*IF(Inputs!$B$38="pvp",15,MAX(0.1,Skills!D11-IF(TRUE=TRUE,Inputs!$B$32,0))))))/Skills!H11,1)))/Inputs!$B$43),G757*Q757))/N757*IF(Inputs!$B$38="pvp",1,(1-Summary!$B$11)*1+Summary!$B$11*(MIN(Skills!R11,Inputs!$B$37))),0)</f>
        <v/>
      </c>
      <c r="T757">
        <f>IF(C757,(H757*N757*IF(AND(Inputs!$B$38&lt;&gt;"pvp",Inputs!$B$43&gt;0),((Skills!G11*((R757-1)*IF(Skills!H11&gt;0,Skills!I11/Skills!H11,1)+IF(Skills!H11&gt;0,MIN(Skills!I11,MAX(0,MAX(0,Inputs!$B$43-B785)-((R757-1)*IF(Inputs!$B$38="pvp",15,MAX(0.1,Skills!D11-IF(TRUE=TRUE,Inputs!$B$32,0))))))/Skills!H11,1)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Inputs!$B$38&lt;&gt;"pvp",Inputs!$B$43=0),1,IF(IF(Inputs!$B$38="pvp",15,Inputs!$B$43)-(B785)&lt;=0,1,MAX(0,IF(Inputs!$B$38="pvp",15,Inputs!$B$43)-MAX(5,B785))/(IF(Inputs!$B$38="pvp",15,Inputs!$B$43)-(B785))))*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Skills!I11/Skills!H11,1)+IF(Skills!H11&gt;0,MIN(Skills!I11,MAX(0,MAX(0,Inputs!$B$43-B785)-((R757-1)*IF(Inputs!$B$38="pvp",15,MAX(0.1,Skills!D11-IF(TRUE=TRUE,Inputs!$B$32,0))))))/Skills!H11,1)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Skills!G12*IF(Skills!H12&gt;0,IF(Inputs!$B$38="pvp",MIN(Skills!I12,15),Skills!I12)/Skills!H12,1)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Skills!G13*IF(Skills!H13&gt;0,IF(Inputs!$B$38="pvp",MIN(Skills!I13,15),Skills!I13)/Skills!H13,1)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Skills!G14*IF(Skills!H14&gt;0,IF(Inputs!$B$38="pvp",MIN(Skills!I14,15),Skills!I14)/Skills!H14,1)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Skills!G15*IF(Skills!H15&gt;0,IF(Inputs!$B$38="pvp",MIN(Skills!I15,15),Skills!I15)/Skills!H15,1)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IFERROR(1/IF(Inputs!$B$38="pvp",15,MAX(0.1,Skills!D15-IF(TRUE=TRUE,Inputs!$B$32,0))),0)</f>
        <v/>
      </c>
      <c r="R761">
        <f>IF(AND(Inputs!$B$38&lt;&gt;"pvp",Inputs!$B$43&gt;0),IF(Inputs!$B$43&lt;=0,0,(INT(Inputs!$B$43/IF(Inputs!$B$38="pvp",15,MAX(0.1,Skills!D15-IF(TRUE=TRUE,Inputs!$B$32,0))))+1)),0)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Skills!G16*IF(Skills!H16&gt;0,IF(Inputs!$B$38="pvp",MIN(Skills!I16,15),Skills!I16)/Skills!H16,1)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IFERROR(1/IF(Inputs!$B$38="pvp",15,MAX(0.1,Skills!D16-IF(TRUE=TRUE,Inputs!$B$32,0))),0)</f>
        <v/>
      </c>
      <c r="R762">
        <f>IF(AND(Inputs!$B$38&lt;&gt;"pvp",Inputs!$B$43&gt;0),IF(Inputs!$B$43&lt;=0,0,(INT(Inputs!$B$43/IF(Inputs!$B$38="pvp",15,MAX(0.1,Skills!D16-IF(TRUE=TRUE,Inputs!$B$32,0))))+1)),0)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Skills!G17*IF(Skills!H17&gt;0,IF(Inputs!$B$38="pvp",MIN(Skills!I17,15),Skills!I17)/Skills!H17,1)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Skills!G18*IF(Skills!H18&gt;0,IF(Inputs!$B$38="pvp",MIN(Skills!I18,15),Skills!I18)/Skills!H18,1)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IFERROR(1/IF(Inputs!$B$38="pvp",15,MAX(0.1,Skills!D18-IF(TRUE=TRUE,Inputs!$B$32,0))),0)</f>
        <v/>
      </c>
      <c r="R764">
        <f>IF(AND(Inputs!$B$38&lt;&gt;"pvp",Inputs!$B$43&gt;0),IF(Inputs!$B$43&lt;=0,0,(INT(Inputs!$B$43/IF(Inputs!$B$38="pvp",15,MAX(0.1,Skills!D18-IF(TRUE=TRUE,Inputs!$B$32,0))))+1)),0)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Skills!G19*IF(Skills!H19&gt;0,IF(Inputs!$B$38="pvp",MIN(Skills!I19,15),Skills!I19)/Skills!H19,1)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Skills!G20*IF(Skills!H20&gt;0,IF(Inputs!$B$38="pvp",MIN(Skills!I20,15),Skills!I20)/Skills!H20,1)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Skills!G21*IF(Skills!H21&gt;0,IF(Inputs!$B$38="pvp",MIN(Skills!I21,15),Skills!I21)/Skills!H21,1)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Skills!G22*IF(Skills!H22&gt;0,IF(Inputs!$B$38="pvp",MIN(Skills!I22,15),Skills!I22)/Skills!H22,1)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Skills!G23*IF(Skills!H23&gt;0,IF(Inputs!$B$38="pvp",MIN(Skills!I23,15),Skills!I23)/Skills!H23,1)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Skills!G24*IF(Skills!H24&gt;0,IF(Inputs!$B$38="pvp",MIN(Skills!I24,15),Skills!I24)/Skills!H24,1)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Skills!G25*IF(Skills!H25&gt;0,IF(Inputs!$B$38="pvp",MIN(Skills!I25,15),Skills!I25)/Skills!H25,1)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Skills!G26*IF(Skills!H26&gt;0,IF(Inputs!$B$38="pvp",MIN(Skills!I26,15),Skills!I26)/Skills!H26,1)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Skills!G27*IF(Skills!H27&gt;0,IF(Inputs!$B$38="pvp",MIN(Skills!I27,15),Skills!I27)/Skills!H27,1)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Skills!G28*IF(Skills!H28&gt;0,IF(Inputs!$B$38="pvp",MIN(Skills!I28,15),Skills!I28)/Skills!H28,1)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Skills!G29*IF(Skills!H29&gt;0,IF(Inputs!$B$38="pvp",MIN(Skills!I29,15),Skills!I29)/Skills!H29,1)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MIN((Skills!T15*(1+Inputs!$B$34/100)),(1/Q761))+MIN((Skills!T15*(1+Inputs!$B$34/100)),MAX(0,Inputs!$B$43-((R761-1)*(1/Q761)))))/Inputs!$B$43),IF(Inputs!$B$38="pvp",MIN((Skills!T15*(1+Inputs!$B$34/100)),15)/15,MIN(1,(Skills!T15*(1+Inputs!$B$34/100))/(1/Q761)))))+((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764=TRUE)*F764*IF(AND(Inputs!$B$38&lt;&gt;"pvp",Inputs!$B$43&gt;0),(((R764-1)*MIN((Skills!T18*(1+Inputs!$B$34/100)),(1/Q764))+MIN((Skills!T18*(1+Inputs!$B$34/100)),MAX(0,Inputs!$B$43-((R764-1)*(1/Q764)))))/Inputs!$B$43),IF(Inputs!$B$38="pvp",MIN((Skills!T18*(1+Inputs!$B$34/100)),15)/15,MIN(1,(Skills!T18*(1+Inputs!$B$34/100))/(1/Q764)))))</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MIN((Skills!T16*(1+Inputs!$B$34/100)),(1/Q762))+MIN((Skills!T16*(1+Inputs!$B$34/100)),MAX(0,Inputs!$B$43-((R762-1)*(1/Q762)))))/Inputs!$B$43),IF(Inputs!$B$38="pvp",MIN((Skills!T16*(1+Inputs!$B$34/100)),15)/15,MIN(1,(Skills!T16*(1+Inputs!$B$34/100))/(1/Q762))))</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Skills!G2*IF(Skills!H2&gt;0,IF(Inputs!$B$38="pvp",MIN(Skills!I2,15),Skills!I2)/Skills!H2,1)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Skills!G5*IF(Skills!H5&gt;0,IF(Inputs!$B$38="pvp",MIN(Skills!I5,15),Skills!I5)/Skills!H5,1)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IFERROR(1/IF(Inputs!$B$38="pvp",15,MAX(0.1,Skills!D5-IF(TRUE=TRUE,Inputs!$B$32,0))),0)</f>
        <v/>
      </c>
      <c r="R796">
        <f>IF(AND(Inputs!$B$38&lt;&gt;"pvp",Inputs!$B$43&gt;0),IF(MAX(0,Inputs!$B$43-B830)&lt;=0,0,(INT(MAX(0,Inputs!$B$43-B830)/IF(Inputs!$B$38="pvp",15,MAX(0.1,Skills!D5-IF(TRUE=TRUE,Inputs!$B$32,0))))+1)),0)</f>
        <v/>
      </c>
      <c r="S796">
        <f>IFERROR((H796*N796*IF(AND(Inputs!$B$38&lt;&gt;"pvp",Inputs!$B$43&gt;0),((Skills!G5*((R796-1)*IF(Skills!H5&gt;0,Skills!I5/Skills!H5,1)+IF(Skills!H5&gt;0,MIN(Skills!I5,MAX(0,MAX(0,Inputs!$B$43-B830)-((R796-1)*IF(Inputs!$B$38="pvp",15,MAX(0.1,Skills!D5-IF(TRUE=TRUE,Inputs!$B$32,0))))))/Skills!H5,1)))/Inputs!$B$43),G796*Q796))/N796*IF(Inputs!$B$38="pvp",1,(1-Summary!$B$11)*1+Summary!$B$11*(MIN(Skills!R5,Inputs!$B$37))),0)</f>
        <v/>
      </c>
      <c r="T796">
        <f>IF(C796,(H796*N796*IF(AND(Inputs!$B$38&lt;&gt;"pvp",Inputs!$B$43&gt;0),((Skills!G5*((R796-1)*IF(Skills!H5&gt;0,Skills!I5/Skills!H5,1)+IF(Skills!H5&gt;0,MIN(Skills!I5,MAX(0,MAX(0,Inputs!$B$43-B830)-((R796-1)*IF(Inputs!$B$38="pvp",15,MAX(0.1,Skills!D5-IF(TRUE=TRUE,Inputs!$B$32,0)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830)-((R796-1)*IF(Inputs!$B$38="pvp",15,MAX(0.1,Skills!D5-IF(TRUE=TRUE,Inputs!$B$32,0))))))/Skills!H5,1)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Skills!G6*IF(Skills!H6&gt;0,IF(Inputs!$B$38="pvp",MIN(Skills!I6,15),Skills!I6)/Skills!H6,1)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IFERROR(1/IF(Inputs!$B$38="pvp",15,MAX(0.1,Skills!D6-IF(TRUE=TRUE,Inputs!$B$32,0))),0)</f>
        <v/>
      </c>
      <c r="R797">
        <f>IF(AND(Inputs!$B$38&lt;&gt;"pvp",Inputs!$B$43&gt;0),IF(MAX(0,Inputs!$B$43-B830)&lt;=0,0,(INT(MAX(0,Inputs!$B$43-B830)/IF(Inputs!$B$38="pvp",15,MAX(0.1,Skills!D6-IF(TRUE=TRUE,Inputs!$B$32,0))))+1)),0)</f>
        <v/>
      </c>
      <c r="S797">
        <f>IFERROR((H797*N797*IF(AND(Inputs!$B$38&lt;&gt;"pvp",Inputs!$B$43&gt;0),((Skills!G6*((R797-1)*IF(Skills!H6&gt;0,Skills!I6/Skills!H6,1)+IF(Skills!H6&gt;0,MIN(Skills!I6,MAX(0,MAX(0,Inputs!$B$43-B830)-((R797-1)*IF(Inputs!$B$38="pvp",15,MAX(0.1,Skills!D6-IF(TRUE=TRUE,Inputs!$B$32,0))))))/Skills!H6,1)))/Inputs!$B$43),G797*Q797))/N797*IF(Inputs!$B$38="pvp",1,(1-Summary!$B$11)*1+Summary!$B$11*(MIN(Skills!R6,Inputs!$B$37))),0)</f>
        <v/>
      </c>
      <c r="T797">
        <f>IF(C797,(H797*N797*IF(AND(Inputs!$B$38&lt;&gt;"pvp",Inputs!$B$43&gt;0),((Skills!G6*((R797-1)*IF(Skills!H6&gt;0,Skills!I6/Skills!H6,1)+IF(Skills!H6&gt;0,MIN(Skills!I6,MAX(0,MAX(0,Inputs!$B$43-B830)-((R797-1)*IF(Inputs!$B$38="pvp",15,MAX(0.1,Skills!D6-IF(TRUE=TRUE,Inputs!$B$32,0)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830)-((R797-1)*IF(Inputs!$B$38="pvp",15,MAX(0.1,Skills!D6-IF(TRUE=TRUE,Inputs!$B$32,0))))))/Skills!H6,1)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Skills!G7*IF(Skills!H7&gt;0,IF(Inputs!$B$38="pvp",MIN(Skills!I7,15),Skills!I7)/Skills!H7,1)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IFERROR(1/IF(Inputs!$B$38="pvp",15,MAX(0.1,Skills!D7-IF(TRUE=TRUE,Inputs!$B$32,0))),0)</f>
        <v/>
      </c>
      <c r="R798">
        <f>IF(AND(Inputs!$B$38&lt;&gt;"pvp",Inputs!$B$43&gt;0),IF(MAX(0,Inputs!$B$43-B830)&lt;=0,0,(INT(MAX(0,Inputs!$B$43-B830)/IF(Inputs!$B$38="pvp",15,MAX(0.1,Skills!D7-IF(TRUE=TRUE,Inputs!$B$32,0))))+1)),0)</f>
        <v/>
      </c>
      <c r="S798">
        <f>IFERROR((H798*N798*IF(AND(Inputs!$B$38&lt;&gt;"pvp",Inputs!$B$43&gt;0),((Skills!G7*((R798-1)*IF(Skills!H7&gt;0,Skills!I7/Skills!H7,1)+IF(Skills!H7&gt;0,MIN(Skills!I7,MAX(0,MAX(0,Inputs!$B$43-B830)-((R798-1)*IF(Inputs!$B$38="pvp",15,MAX(0.1,Skills!D7-IF(TRUE=TRUE,Inputs!$B$32,0))))))/Skills!H7,1)))/Inputs!$B$43),G798*Q798))/N798*IF(Inputs!$B$38="pvp",1,(1-Summary!$B$11)*1+Summary!$B$11*(MIN(Skills!R7,Inputs!$B$37))),0)</f>
        <v/>
      </c>
      <c r="T798">
        <f>IF(C798,(H798*N798*IF(AND(Inputs!$B$38&lt;&gt;"pvp",Inputs!$B$43&gt;0),((Skills!G7*((R798-1)*IF(Skills!H7&gt;0,Skills!I7/Skills!H7,1)+IF(Skills!H7&gt;0,MIN(Skills!I7,MAX(0,MAX(0,Inputs!$B$43-B830)-((R798-1)*IF(Inputs!$B$38="pvp",15,MAX(0.1,Skills!D7-IF(TRUE=TRUE,Inputs!$B$32,0)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830)-((R798-1)*IF(Inputs!$B$38="pvp",15,MAX(0.1,Skills!D7-IF(TRUE=TRUE,Inputs!$B$32,0))))))/Skills!H7,1)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Skills!G9*IF(Skills!H9&gt;0,IF(Inputs!$B$38="pvp",MIN(Skills!I9,15),Skills!I9)/Skills!H9,1)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IFERROR(1/IF(Inputs!$B$38="pvp",15,MAX(0.1,Skills!D9-IF(TRUE=TRUE,Inputs!$B$32,0))),0)</f>
        <v/>
      </c>
      <c r="R800">
        <f>IF(AND(Inputs!$B$38&lt;&gt;"pvp",Inputs!$B$43&gt;0),IF(MAX(0,Inputs!$B$43-B830)&lt;=0,0,(INT(MAX(0,Inputs!$B$43-B830)/IF(Inputs!$B$38="pvp",15,MAX(0.1,Skills!D9-IF(TRUE=TRUE,Inputs!$B$32,0))))+1)),0)</f>
        <v/>
      </c>
      <c r="S800">
        <f>IFERROR((H800*N800*IF(AND(Inputs!$B$38&lt;&gt;"pvp",Inputs!$B$43&gt;0),((Skills!G9*((R800-1)*IF(Skills!H9&gt;0,Skills!I9/Skills!H9,1)+IF(Skills!H9&gt;0,MIN(Skills!I9,MAX(0,MAX(0,Inputs!$B$43-B830)-((R800-1)*IF(Inputs!$B$38="pvp",15,MAX(0.1,Skills!D9-IF(TRUE=TRUE,Inputs!$B$32,0))))))/Skills!H9,1)))/Inputs!$B$43),G800*Q800))/N800*IF(Inputs!$B$38="pvp",1,(1-Summary!$B$11)*1+Summary!$B$11*(MIN(Skills!R9,Inputs!$B$37))),0)</f>
        <v/>
      </c>
      <c r="T800">
        <f>IF(C800,(H800*N800*IF(AND(Inputs!$B$38&lt;&gt;"pvp",Inputs!$B$43&gt;0),((Skills!G9*((R800-1)*IF(Skills!H9&gt;0,Skills!I9/Skills!H9,1)+IF(Skills!H9&gt;0,MIN(Skills!I9,MAX(0,MAX(0,Inputs!$B$43-B830)-((R800-1)*IF(Inputs!$B$38="pvp",15,MAX(0.1,Skills!D9-IF(TRUE=TRUE,Inputs!$B$32,0)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830)-((R800-1)*IF(Inputs!$B$38="pvp",15,MAX(0.1,Skills!D9-IF(TRUE=TRUE,Inputs!$B$32,0))))))/Skills!H9,1)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Skills!G10*IF(Skills!H10&gt;0,IF(Inputs!$B$38="pvp",MIN(Skills!I10,15),Skills!I10)/Skills!H10,1)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Skills!G11*IF(Skills!H11&gt;0,IF(Inputs!$B$38="pvp",MIN(Skills!I11,15),Skills!I11)/Skills!H11,1)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IFERROR(1/IF(Inputs!$B$38="pvp",15,MAX(0.1,Skills!D11-IF(TRUE=TRUE,Inputs!$B$32,0))),0)</f>
        <v/>
      </c>
      <c r="R802">
        <f>IF(AND(Inputs!$B$38&lt;&gt;"pvp",Inputs!$B$43&gt;0),IF(MAX(0,Inputs!$B$43-B830)&lt;=0,0,(INT(MAX(0,Inputs!$B$43-B830)/IF(Inputs!$B$38="pvp",15,MAX(0.1,Skills!D11-IF(TRUE=TRUE,Inputs!$B$32,0))))+1)),0)</f>
        <v/>
      </c>
      <c r="S802">
        <f>IFERROR((H802*N802*IF(AND(Inputs!$B$38&lt;&gt;"pvp",Inputs!$B$43&gt;0),((Skills!G11*((R802-1)*IF(Skills!H11&gt;0,Skills!I11/Skills!H11,1)+IF(Skills!H11&gt;0,MIN(Skills!I11,MAX(0,MAX(0,Inputs!$B$43-B830)-((R802-1)*IF(Inputs!$B$38="pvp",15,MAX(0.1,Skills!D11-IF(TRUE=TRUE,Inputs!$B$32,0))))))/Skills!H11,1)))/Inputs!$B$43),G802*Q802))/N802*IF(Inputs!$B$38="pvp",1,(1-Summary!$B$11)*1+Summary!$B$11*(MIN(Skills!R11,Inputs!$B$37))),0)</f>
        <v/>
      </c>
      <c r="T802">
        <f>IF(C802,(H802*N802*IF(AND(Inputs!$B$38&lt;&gt;"pvp",Inputs!$B$43&gt;0),((Skills!G11*((R802-1)*IF(Skills!H11&gt;0,Skills!I11/Skills!H11,1)+IF(Skills!H11&gt;0,MIN(Skills!I11,MAX(0,MAX(0,Inputs!$B$43-B830)-((R802-1)*IF(Inputs!$B$38="pvp",15,MAX(0.1,Skills!D11-IF(TRUE=TRUE,Inputs!$B$32,0)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Inputs!$B$38&lt;&gt;"pvp",Inputs!$B$43=0),1,IF(IF(Inputs!$B$38="pvp",15,Inputs!$B$43)-(B830)&lt;=0,1,MAX(0,IF(Inputs!$B$38="pvp",15,Inputs!$B$43)-MAX(5,B830))/(IF(Inputs!$B$38="pvp",15,Inputs!$B$43)-(B830)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830)-((R802-1)*IF(Inputs!$B$38="pvp",15,MAX(0.1,Skills!D11-IF(TRUE=TRUE,Inputs!$B$32,0))))))/Skills!H11,1)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Skills!G12*IF(Skills!H12&gt;0,IF(Inputs!$B$38="pvp",MIN(Skills!I12,15),Skills!I12)/Skills!H12,1)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Skills!G13*IF(Skills!H13&gt;0,IF(Inputs!$B$38="pvp",MIN(Skills!I13,15),Skills!I13)/Skills!H13,1)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Skills!G14*IF(Skills!H14&gt;0,IF(Inputs!$B$38="pvp",MIN(Skills!I14,15),Skills!I14)/Skills!H14,1)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Skills!G15*IF(Skills!H15&gt;0,IF(Inputs!$B$38="pvp",MIN(Skills!I15,15),Skills!I15)/Skills!H15,1)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IFERROR(1/IF(Inputs!$B$38="pvp",15,MAX(0.1,Skills!D15-IF(TRUE=TRUE,Inputs!$B$32,0))),0)</f>
        <v/>
      </c>
      <c r="R806">
        <f>IF(AND(Inputs!$B$38&lt;&gt;"pvp",Inputs!$B$43&gt;0),IF(Inputs!$B$43&lt;=0,0,(INT(Inputs!$B$43/IF(Inputs!$B$38="pvp",15,MAX(0.1,Skills!D15-IF(TRUE=TRUE,Inputs!$B$32,0))))+1)),0)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Skills!G16*IF(Skills!H16&gt;0,IF(Inputs!$B$38="pvp",MIN(Skills!I16,15),Skills!I16)/Skills!H16,1)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IFERROR(1/IF(Inputs!$B$38="pvp",15,MAX(0.1,Skills!D16-IF(TRUE=TRUE,Inputs!$B$32,0))),0)</f>
        <v/>
      </c>
      <c r="R807">
        <f>IF(AND(Inputs!$B$38&lt;&gt;"pvp",Inputs!$B$43&gt;0),IF(Inputs!$B$43&lt;=0,0,(INT(Inputs!$B$43/IF(Inputs!$B$38="pvp",15,MAX(0.1,Skills!D16-IF(TRUE=TRUE,Inputs!$B$32,0))))+1)),0)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Skills!G17*IF(Skills!H17&gt;0,IF(Inputs!$B$38="pvp",MIN(Skills!I17,15),Skills!I17)/Skills!H17,1)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Skills!G18*IF(Skills!H18&gt;0,IF(Inputs!$B$38="pvp",MIN(Skills!I18,15),Skills!I18)/Skills!H18,1)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IFERROR(1/IF(Inputs!$B$38="pvp",15,MAX(0.1,Skills!D18-IF(TRUE=TRUE,Inputs!$B$32,0))),0)</f>
        <v/>
      </c>
      <c r="R809">
        <f>IF(AND(Inputs!$B$38&lt;&gt;"pvp",Inputs!$B$43&gt;0),IF(Inputs!$B$43&lt;=0,0,(INT(Inputs!$B$43/IF(Inputs!$B$38="pvp",15,MAX(0.1,Skills!D18-IF(TRUE=TRUE,Inputs!$B$32,0))))+1)),0)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Skills!G19*IF(Skills!H19&gt;0,IF(Inputs!$B$38="pvp",MIN(Skills!I19,15),Skills!I19)/Skills!H19,1)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Skills!G20*IF(Skills!H20&gt;0,IF(Inputs!$B$38="pvp",MIN(Skills!I20,15),Skills!I20)/Skills!H20,1)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Skills!G21*IF(Skills!H21&gt;0,IF(Inputs!$B$38="pvp",MIN(Skills!I21,15),Skills!I21)/Skills!H21,1)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Skills!G22*IF(Skills!H22&gt;0,IF(Inputs!$B$38="pvp",MIN(Skills!I22,15),Skills!I22)/Skills!H22,1)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Skills!G23*IF(Skills!H23&gt;0,IF(Inputs!$B$38="pvp",MIN(Skills!I23,15),Skills!I23)/Skills!H23,1)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Skills!G24*IF(Skills!H24&gt;0,IF(Inputs!$B$38="pvp",MIN(Skills!I24,15),Skills!I24)/Skills!H24,1)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Skills!G25*IF(Skills!H25&gt;0,IF(Inputs!$B$38="pvp",MIN(Skills!I25,15),Skills!I25)/Skills!H25,1)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Skills!G26*IF(Skills!H26&gt;0,IF(Inputs!$B$38="pvp",MIN(Skills!I26,15),Skills!I26)/Skills!H26,1)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Skills!G27*IF(Skills!H27&gt;0,IF(Inputs!$B$38="pvp",MIN(Skills!I27,15),Skills!I27)/Skills!H27,1)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Skills!G28*IF(Skills!H28&gt;0,IF(Inputs!$B$38="pvp",MIN(Skills!I28,15),Skills!I28)/Skills!H28,1)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Skills!G29*IF(Skills!H29&gt;0,IF(Inputs!$B$38="pvp",MIN(Skills!I29,15),Skills!I29)/Skills!H29,1)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MIN((Skills!T15*(1+Inputs!$B$34/100)),(1/Q806))+MIN((Skills!T15*(1+Inputs!$B$34/100)),MAX(0,Inputs!$B$43-((R806-1)*(1/Q806)))))/Inputs!$B$43),IF(Inputs!$B$38="pvp",MIN((Skills!T15*(1+Inputs!$B$34/100)),15)/15,MIN(1,(Skills!T15*(1+Inputs!$B$34/100))/(1/Q806)))))+((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t="n">
        <v>0</v>
      </c>
    </row>
    <row r="824">
      <c r="A824" t="inlineStr">
        <is>
          <t>Attack Speed Buff Bonus %</t>
        </is>
      </c>
      <c r="B824">
        <f>((C809=TRUE)*F809*IF(AND(Inputs!$B$38&lt;&gt;"pvp",Inputs!$B$43&gt;0),(((R809-1)*MIN((Skills!T18*(1+Inputs!$B$34/100)),(1/Q809))+MIN((Skills!T18*(1+Inputs!$B$34/100)),MAX(0,Inputs!$B$43-((R809-1)*(1/Q809)))))/Inputs!$B$43),IF(Inputs!$B$38="pvp",MIN((Skills!T18*(1+Inputs!$B$34/100)),15)/15,MIN(1,(Skills!T18*(1+Inputs!$B$34/100))/(1/Q809)))))</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MIN((Skills!T16*(1+Inputs!$B$34/100)),(1/Q807))+MIN((Skills!T16*(1+Inputs!$B$34/100)),MAX(0,Inputs!$B$43-((R807-1)*(1/Q807)))))/Inputs!$B$43),IF(Inputs!$B$38="pvp",MIN((Skills!T16*(1+Inputs!$B$34/100)),15)/15,MIN(1,(Skills!T16*(1+Inputs!$B$34/100))/(1/Q807))))</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Skills!G2*IF(Skills!H2&gt;0,IF(Inputs!$B$38="pvp",MIN(Skills!I2,15),Skills!I2)/Skills!H2,1)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Skills!G5*IF(Skills!H5&gt;0,IF(Inputs!$B$38="pvp",MIN(Skills!I5,15),Skills!I5)/Skills!H5,1)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IFERROR(1/IF(Inputs!$B$38="pvp",15,MAX(0.1,Skills!D5-IF(TRUE=TRUE,Inputs!$B$32,0))),0)</f>
        <v/>
      </c>
      <c r="R841">
        <f>IF(AND(Inputs!$B$38&lt;&gt;"pvp",Inputs!$B$43&gt;0),IF(MAX(0,Inputs!$B$43-B875)&lt;=0,0,(INT(MAX(0,Inputs!$B$43-B875)/IF(Inputs!$B$38="pvp",15,MAX(0.1,Skills!D5-IF(TRUE=TRUE,Inputs!$B$32,0))))+1)),0)</f>
        <v/>
      </c>
      <c r="S841">
        <f>IFERROR((H841*N841*IF(AND(Inputs!$B$38&lt;&gt;"pvp",Inputs!$B$43&gt;0),((Skills!G5*((R841-1)*IF(Skills!H5&gt;0,Skills!I5/Skills!H5,1)+IF(Skills!H5&gt;0,MIN(Skills!I5,MAX(0,MAX(0,Inputs!$B$43-B875)-((R841-1)*IF(Inputs!$B$38="pvp",15,MAX(0.1,Skills!D5-IF(TRUE=TRUE,Inputs!$B$32,0))))))/Skills!H5,1)))/Inputs!$B$43),G841*Q841))/N841*IF(Inputs!$B$38="pvp",1,(1-Summary!$B$11)*1+Summary!$B$11*(MIN(Skills!R5,Inputs!$B$37))),0)</f>
        <v/>
      </c>
      <c r="T841">
        <f>IF(C841,(H841*N841*IF(AND(Inputs!$B$38&lt;&gt;"pvp",Inputs!$B$43&gt;0),((Skills!G5*((R841-1)*IF(Skills!H5&gt;0,Skills!I5/Skills!H5,1)+IF(Skills!H5&gt;0,MIN(Skills!I5,MAX(0,MAX(0,Inputs!$B$43-B875)-((R841-1)*IF(Inputs!$B$38="pvp",15,MAX(0.1,Skills!D5-IF(TRUE=TRUE,Inputs!$B$32,0))))))/Skills!H5,1)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Skills!I5/Skills!H5,1)+IF(Skills!H5&gt;0,MIN(Skills!I5,MAX(0,MAX(0,Inputs!$B$43-B875)-((R841-1)*IF(Inputs!$B$38="pvp",15,MAX(0.1,Skills!D5-IF(TRUE=TRUE,Inputs!$B$32,0))))))/Skills!H5,1)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Skills!G6*IF(Skills!H6&gt;0,IF(Inputs!$B$38="pvp",MIN(Skills!I6,15),Skills!I6)/Skills!H6,1)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IFERROR(1/IF(Inputs!$B$38="pvp",15,MAX(0.1,Skills!D6-IF(TRUE=TRUE,Inputs!$B$32,0))),0)</f>
        <v/>
      </c>
      <c r="R842">
        <f>IF(AND(Inputs!$B$38&lt;&gt;"pvp",Inputs!$B$43&gt;0),IF(MAX(0,Inputs!$B$43-B875)&lt;=0,0,(INT(MAX(0,Inputs!$B$43-B875)/IF(Inputs!$B$38="pvp",15,MAX(0.1,Skills!D6-IF(TRUE=TRUE,Inputs!$B$32,0))))+1)),0)</f>
        <v/>
      </c>
      <c r="S842">
        <f>IFERROR((H842*N842*IF(AND(Inputs!$B$38&lt;&gt;"pvp",Inputs!$B$43&gt;0),((Skills!G6*((R842-1)*IF(Skills!H6&gt;0,Skills!I6/Skills!H6,1)+IF(Skills!H6&gt;0,MIN(Skills!I6,MAX(0,MAX(0,Inputs!$B$43-B875)-((R842-1)*IF(Inputs!$B$38="pvp",15,MAX(0.1,Skills!D6-IF(TRUE=TRUE,Inputs!$B$32,0))))))/Skills!H6,1)))/Inputs!$B$43),G842*Q842))/N842*IF(Inputs!$B$38="pvp",1,(1-Summary!$B$11)*1+Summary!$B$11*(MIN(Skills!R6,Inputs!$B$37))),0)</f>
        <v/>
      </c>
      <c r="T842">
        <f>IF(C842,(H842*N842*IF(AND(Inputs!$B$38&lt;&gt;"pvp",Inputs!$B$43&gt;0),((Skills!G6*((R842-1)*IF(Skills!H6&gt;0,Skills!I6/Skills!H6,1)+IF(Skills!H6&gt;0,MIN(Skills!I6,MAX(0,MAX(0,Inputs!$B$43-B875)-((R842-1)*IF(Inputs!$B$38="pvp",15,MAX(0.1,Skills!D6-IF(TRUE=TRUE,Inputs!$B$32,0)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875)-((R842-1)*IF(Inputs!$B$38="pvp",15,MAX(0.1,Skills!D6-IF(TRUE=TRUE,Inputs!$B$32,0))))))/Skills!H6,1)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Skills!G7*IF(Skills!H7&gt;0,IF(Inputs!$B$38="pvp",MIN(Skills!I7,15),Skills!I7)/Skills!H7,1)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IFERROR(1/IF(Inputs!$B$38="pvp",15,MAX(0.1,Skills!D7-IF(TRUE=TRUE,Inputs!$B$32,0))),0)</f>
        <v/>
      </c>
      <c r="R843">
        <f>IF(AND(Inputs!$B$38&lt;&gt;"pvp",Inputs!$B$43&gt;0),IF(MAX(0,Inputs!$B$43-B875)&lt;=0,0,(INT(MAX(0,Inputs!$B$43-B875)/IF(Inputs!$B$38="pvp",15,MAX(0.1,Skills!D7-IF(TRUE=TRUE,Inputs!$B$32,0))))+1)),0)</f>
        <v/>
      </c>
      <c r="S843">
        <f>IFERROR((H843*N843*IF(AND(Inputs!$B$38&lt;&gt;"pvp",Inputs!$B$43&gt;0),((Skills!G7*((R843-1)*IF(Skills!H7&gt;0,Skills!I7/Skills!H7,1)+IF(Skills!H7&gt;0,MIN(Skills!I7,MAX(0,MAX(0,Inputs!$B$43-B875)-((R843-1)*IF(Inputs!$B$38="pvp",15,MAX(0.1,Skills!D7-IF(TRUE=TRUE,Inputs!$B$32,0))))))/Skills!H7,1)))/Inputs!$B$43),G843*Q843))/N843*IF(Inputs!$B$38="pvp",1,(1-Summary!$B$11)*1+Summary!$B$11*(MIN(Skills!R7,Inputs!$B$37))),0)</f>
        <v/>
      </c>
      <c r="T843">
        <f>IF(C843,(H843*N843*IF(AND(Inputs!$B$38&lt;&gt;"pvp",Inputs!$B$43&gt;0),((Skills!G7*((R843-1)*IF(Skills!H7&gt;0,Skills!I7/Skills!H7,1)+IF(Skills!H7&gt;0,MIN(Skills!I7,MAX(0,MAX(0,Inputs!$B$43-B875)-((R843-1)*IF(Inputs!$B$38="pvp",15,MAX(0.1,Skills!D7-IF(TRUE=TRUE,Inputs!$B$32,0)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875)-((R843-1)*IF(Inputs!$B$38="pvp",15,MAX(0.1,Skills!D7-IF(TRUE=TRUE,Inputs!$B$32,0))))))/Skills!H7,1)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Skills!G9*IF(Skills!H9&gt;0,IF(Inputs!$B$38="pvp",MIN(Skills!I9,15),Skills!I9)/Skills!H9,1)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IFERROR(1/IF(Inputs!$B$38="pvp",15,MAX(0.1,Skills!D9-IF(TRUE=TRUE,Inputs!$B$32,0))),0)</f>
        <v/>
      </c>
      <c r="R845">
        <f>IF(AND(Inputs!$B$38&lt;&gt;"pvp",Inputs!$B$43&gt;0),IF(MAX(0,Inputs!$B$43-B875)&lt;=0,0,(INT(MAX(0,Inputs!$B$43-B875)/IF(Inputs!$B$38="pvp",15,MAX(0.1,Skills!D9-IF(TRUE=TRUE,Inputs!$B$32,0))))+1)),0)</f>
        <v/>
      </c>
      <c r="S845">
        <f>IFERROR((H845*N845*IF(AND(Inputs!$B$38&lt;&gt;"pvp",Inputs!$B$43&gt;0),((Skills!G9*((R845-1)*IF(Skills!H9&gt;0,Skills!I9/Skills!H9,1)+IF(Skills!H9&gt;0,MIN(Skills!I9,MAX(0,MAX(0,Inputs!$B$43-B875)-((R845-1)*IF(Inputs!$B$38="pvp",15,MAX(0.1,Skills!D9-IF(TRUE=TRUE,Inputs!$B$32,0))))))/Skills!H9,1)))/Inputs!$B$43),G845*Q845))/N845*IF(Inputs!$B$38="pvp",1,(1-Summary!$B$11)*1+Summary!$B$11*(MIN(Skills!R9,Inputs!$B$37))),0)</f>
        <v/>
      </c>
      <c r="T845">
        <f>IF(C845,(H845*N845*IF(AND(Inputs!$B$38&lt;&gt;"pvp",Inputs!$B$43&gt;0),((Skills!G9*((R845-1)*IF(Skills!H9&gt;0,Skills!I9/Skills!H9,1)+IF(Skills!H9&gt;0,MIN(Skills!I9,MAX(0,MAX(0,Inputs!$B$43-B875)-((R845-1)*IF(Inputs!$B$38="pvp",15,MAX(0.1,Skills!D9-IF(TRUE=TRUE,Inputs!$B$32,0)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875)-((R845-1)*IF(Inputs!$B$38="pvp",15,MAX(0.1,Skills!D9-IF(TRUE=TRUE,Inputs!$B$32,0))))))/Skills!H9,1)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Skills!G10*IF(Skills!H10&gt;0,IF(Inputs!$B$38="pvp",MIN(Skills!I10,15),Skills!I10)/Skills!H10,1)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Skills!G11*IF(Skills!H11&gt;0,IF(Inputs!$B$38="pvp",MIN(Skills!I11,15),Skills!I11)/Skills!H11,1)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IFERROR(1/IF(Inputs!$B$38="pvp",15,MAX(0.1,Skills!D11-IF(TRUE=TRUE,Inputs!$B$32,0))),0)</f>
        <v/>
      </c>
      <c r="R847">
        <f>IF(AND(Inputs!$B$38&lt;&gt;"pvp",Inputs!$B$43&gt;0),IF(MAX(0,Inputs!$B$43-B875)&lt;=0,0,(INT(MAX(0,Inputs!$B$43-B875)/IF(Inputs!$B$38="pvp",15,MAX(0.1,Skills!D11-IF(TRUE=TRUE,Inputs!$B$32,0))))+1)),0)</f>
        <v/>
      </c>
      <c r="S847">
        <f>IFERROR((H847*N847*IF(AND(Inputs!$B$38&lt;&gt;"pvp",Inputs!$B$43&gt;0),((Skills!G11*((R847-1)*IF(Skills!H11&gt;0,Skills!I11/Skills!H11,1)+IF(Skills!H11&gt;0,MIN(Skills!I11,MAX(0,MAX(0,Inputs!$B$43-B875)-((R847-1)*IF(Inputs!$B$38="pvp",15,MAX(0.1,Skills!D11-IF(TRUE=TRUE,Inputs!$B$32,0))))))/Skills!H11,1)))/Inputs!$B$43),G847*Q847))/N847*IF(Inputs!$B$38="pvp",1,(1-Summary!$B$11)*1+Summary!$B$11*(MIN(Skills!R11,Inputs!$B$37))),0)</f>
        <v/>
      </c>
      <c r="T847">
        <f>IF(C847,(H847*N847*IF(AND(Inputs!$B$38&lt;&gt;"pvp",Inputs!$B$43&gt;0),((Skills!G11*((R847-1)*IF(Skills!H11&gt;0,Skills!I11/Skills!H11,1)+IF(Skills!H11&gt;0,MIN(Skills!I11,MAX(0,MAX(0,Inputs!$B$43-B875)-((R847-1)*IF(Inputs!$B$38="pvp",15,MAX(0.1,Skills!D11-IF(TRUE=TRUE,Inputs!$B$32,0))))))/Skills!H11,1)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Inputs!$B$38&lt;&gt;"pvp",Inputs!$B$43=0),1,IF(IF(Inputs!$B$38="pvp",15,Inputs!$B$43)-(B875)&lt;=0,1,MAX(0,IF(Inputs!$B$38="pvp",15,Inputs!$B$43)-MAX(5,B875))/(IF(Inputs!$B$38="pvp",15,Inputs!$B$43)-(B875))))*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Skills!I11/Skills!H11,1)+IF(Skills!H11&gt;0,MIN(Skills!I11,MAX(0,MAX(0,Inputs!$B$43-B875)-((R847-1)*IF(Inputs!$B$38="pvp",15,MAX(0.1,Skills!D11-IF(TRUE=TRUE,Inputs!$B$32,0))))))/Skills!H11,1)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Skills!G12*IF(Skills!H12&gt;0,IF(Inputs!$B$38="pvp",MIN(Skills!I12,15),Skills!I12)/Skills!H12,1)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Skills!G13*IF(Skills!H13&gt;0,IF(Inputs!$B$38="pvp",MIN(Skills!I13,15),Skills!I13)/Skills!H13,1)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Skills!G14*IF(Skills!H14&gt;0,IF(Inputs!$B$38="pvp",MIN(Skills!I14,15),Skills!I14)/Skills!H14,1)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Skills!G15*IF(Skills!H15&gt;0,IF(Inputs!$B$38="pvp",MIN(Skills!I15,15),Skills!I15)/Skills!H15,1)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IFERROR(1/IF(Inputs!$B$38="pvp",15,MAX(0.1,Skills!D15-IF(TRUE=TRUE,Inputs!$B$32,0))),0)</f>
        <v/>
      </c>
      <c r="R851">
        <f>IF(AND(Inputs!$B$38&lt;&gt;"pvp",Inputs!$B$43&gt;0),IF(Inputs!$B$43&lt;=0,0,(INT(Inputs!$B$43/IF(Inputs!$B$38="pvp",15,MAX(0.1,Skills!D15-IF(TRUE=TRUE,Inputs!$B$32,0))))+1)),0)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Skills!G16*IF(Skills!H16&gt;0,IF(Inputs!$B$38="pvp",MIN(Skills!I16,15),Skills!I16)/Skills!H16,1)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IFERROR(1/IF(Inputs!$B$38="pvp",15,MAX(0.1,Skills!D16-IF(TRUE=TRUE,Inputs!$B$32,0))),0)</f>
        <v/>
      </c>
      <c r="R852">
        <f>IF(AND(Inputs!$B$38&lt;&gt;"pvp",Inputs!$B$43&gt;0),IF(Inputs!$B$43&lt;=0,0,(INT(Inputs!$B$43/IF(Inputs!$B$38="pvp",15,MAX(0.1,Skills!D16-IF(TRUE=TRUE,Inputs!$B$32,0))))+1)),0)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Skills!G17*IF(Skills!H17&gt;0,IF(Inputs!$B$38="pvp",MIN(Skills!I17,15),Skills!I17)/Skills!H17,1)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Skills!G18*IF(Skills!H18&gt;0,IF(Inputs!$B$38="pvp",MIN(Skills!I18,15),Skills!I18)/Skills!H18,1)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IFERROR(1/IF(Inputs!$B$38="pvp",15,MAX(0.1,Skills!D18-IF(TRUE=TRUE,Inputs!$B$32,0))),0)</f>
        <v/>
      </c>
      <c r="R854">
        <f>IF(AND(Inputs!$B$38&lt;&gt;"pvp",Inputs!$B$43&gt;0),IF(Inputs!$B$43&lt;=0,0,(INT(Inputs!$B$43/IF(Inputs!$B$38="pvp",15,MAX(0.1,Skills!D18-IF(TRUE=TRUE,Inputs!$B$32,0))))+1)),0)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Skills!G19*IF(Skills!H19&gt;0,IF(Inputs!$B$38="pvp",MIN(Skills!I19,15),Skills!I19)/Skills!H19,1)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Skills!G20*IF(Skills!H20&gt;0,IF(Inputs!$B$38="pvp",MIN(Skills!I20,15),Skills!I20)/Skills!H20,1)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Skills!G21*IF(Skills!H21&gt;0,IF(Inputs!$B$38="pvp",MIN(Skills!I21,15),Skills!I21)/Skills!H21,1)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Skills!G22*IF(Skills!H22&gt;0,IF(Inputs!$B$38="pvp",MIN(Skills!I22,15),Skills!I22)/Skills!H22,1)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Skills!G23*IF(Skills!H23&gt;0,IF(Inputs!$B$38="pvp",MIN(Skills!I23,15),Skills!I23)/Skills!H23,1)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Skills!G24*IF(Skills!H24&gt;0,IF(Inputs!$B$38="pvp",MIN(Skills!I24,15),Skills!I24)/Skills!H24,1)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Skills!G25*IF(Skills!H25&gt;0,IF(Inputs!$B$38="pvp",MIN(Skills!I25,15),Skills!I25)/Skills!H25,1)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Skills!G26*IF(Skills!H26&gt;0,IF(Inputs!$B$38="pvp",MIN(Skills!I26,15),Skills!I26)/Skills!H26,1)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Skills!G27*IF(Skills!H27&gt;0,IF(Inputs!$B$38="pvp",MIN(Skills!I27,15),Skills!I27)/Skills!H27,1)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Skills!G28*IF(Skills!H28&gt;0,IF(Inputs!$B$38="pvp",MIN(Skills!I28,15),Skills!I28)/Skills!H28,1)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Skills!G29*IF(Skills!H29&gt;0,IF(Inputs!$B$38="pvp",MIN(Skills!I29,15),Skills!I29)/Skills!H29,1)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MIN((Skills!T15*(1+Inputs!$B$34/100)),(1/Q851))+MIN((Skills!T15*(1+Inputs!$B$34/100)),MAX(0,Inputs!$B$43-((R851-1)*(1/Q851)))))/Inputs!$B$43),IF(Inputs!$B$38="pvp",MIN((Skills!T15*(1+Inputs!$B$34/100)),15)/15,MIN(1,(Skills!T15*(1+Inputs!$B$34/100))/(1/Q851)))))+((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t="n">
        <v>0</v>
      </c>
    </row>
    <row r="869">
      <c r="A869" t="inlineStr">
        <is>
          <t>Attack Speed Buff Bonus %</t>
        </is>
      </c>
      <c r="B869">
        <f>((C854=TRUE)*F854*IF(AND(Inputs!$B$38&lt;&gt;"pvp",Inputs!$B$43&gt;0),(((R854-1)*MIN((Skills!T18*(1+Inputs!$B$34/100)),(1/Q854))+MIN((Skills!T18*(1+Inputs!$B$34/100)),MAX(0,Inputs!$B$43-((R854-1)*(1/Q854)))))/Inputs!$B$43),IF(Inputs!$B$38="pvp",MIN((Skills!T18*(1+Inputs!$B$34/100)),15)/15,MIN(1,(Skills!T18*(1+Inputs!$B$34/100))/(1/Q854)))))</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MIN((Skills!T16*(1+Inputs!$B$34/100)),(1/Q852))+MIN((Skills!T16*(1+Inputs!$B$34/100)),MAX(0,Inputs!$B$43-((R852-1)*(1/Q852)))))/Inputs!$B$43),IF(Inputs!$B$38="pvp",MIN((Skills!T16*(1+Inputs!$B$34/100)),15)/15,MIN(1,(Skills!T16*(1+Inputs!$B$34/100))/(1/Q852))))</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Skills!G2*IF(Skills!H2&gt;0,IF(Inputs!$B$38="pvp",MIN(Skills!I2,15),Skills!I2)/Skills!H2,1)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Skills!G5*IF(Skills!H5&gt;0,IF(Inputs!$B$38="pvp",MIN(Skills!I5,15),Skills!I5)/Skills!H5,1)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IFERROR(1/IF(Inputs!$B$38="pvp",15,MAX(0.1,Skills!D5-IF(TRUE=TRUE,Inputs!$B$32,0))),0)</f>
        <v/>
      </c>
      <c r="R886">
        <f>IF(AND(Inputs!$B$38&lt;&gt;"pvp",Inputs!$B$43&gt;0),IF(MAX(0,Inputs!$B$43-B920)&lt;=0,0,(INT(MAX(0,Inputs!$B$43-B920)/IF(Inputs!$B$38="pvp",15,MAX(0.1,Skills!D5-IF(TRUE=TRUE,Inputs!$B$32,0))))+1)),0)</f>
        <v/>
      </c>
      <c r="S886">
        <f>IFERROR((H886*N886*IF(AND(Inputs!$B$38&lt;&gt;"pvp",Inputs!$B$43&gt;0),((Skills!G5*((R886-1)*IF(Skills!H5&gt;0,Skills!I5/Skills!H5,1)+IF(Skills!H5&gt;0,MIN(Skills!I5,MAX(0,MAX(0,Inputs!$B$43-B920)-((R886-1)*IF(Inputs!$B$38="pvp",15,MAX(0.1,Skills!D5-IF(TRUE=TRUE,Inputs!$B$32,0))))))/Skills!H5,1)))/Inputs!$B$43),G886*Q886))/N886*IF(Inputs!$B$38="pvp",1,(1-Summary!$B$11)*1+Summary!$B$11*(MIN(Skills!R5,Inputs!$B$37))),0)</f>
        <v/>
      </c>
      <c r="T886">
        <f>IF(C886,(H886*N886*IF(AND(Inputs!$B$38&lt;&gt;"pvp",Inputs!$B$43&gt;0),((Skills!G5*((R886-1)*IF(Skills!H5&gt;0,Skills!I5/Skills!H5,1)+IF(Skills!H5&gt;0,MIN(Skills!I5,MAX(0,MAX(0,Inputs!$B$43-B920)-((R886-1)*IF(Inputs!$B$38="pvp",15,MAX(0.1,Skills!D5-IF(TRUE=TRUE,Inputs!$B$32,0))))))/Skills!H5,1)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Skills!I5/Skills!H5,1)+IF(Skills!H5&gt;0,MIN(Skills!I5,MAX(0,MAX(0,Inputs!$B$43-B920)-((R886-1)*IF(Inputs!$B$38="pvp",15,MAX(0.1,Skills!D5-IF(TRUE=TRUE,Inputs!$B$32,0))))))/Skills!H5,1)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Skills!G6*IF(Skills!H6&gt;0,IF(Inputs!$B$38="pvp",MIN(Skills!I6,15),Skills!I6)/Skills!H6,1)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IFERROR(1/IF(Inputs!$B$38="pvp",15,MAX(0.1,Skills!D6-IF(TRUE=TRUE,Inputs!$B$32,0))),0)</f>
        <v/>
      </c>
      <c r="R887">
        <f>IF(AND(Inputs!$B$38&lt;&gt;"pvp",Inputs!$B$43&gt;0),IF(MAX(0,Inputs!$B$43-B920)&lt;=0,0,(INT(MAX(0,Inputs!$B$43-B920)/IF(Inputs!$B$38="pvp",15,MAX(0.1,Skills!D6-IF(TRUE=TRUE,Inputs!$B$32,0))))+1)),0)</f>
        <v/>
      </c>
      <c r="S887">
        <f>IFERROR((H887*N887*IF(AND(Inputs!$B$38&lt;&gt;"pvp",Inputs!$B$43&gt;0),((Skills!G6*((R887-1)*IF(Skills!H6&gt;0,Skills!I6/Skills!H6,1)+IF(Skills!H6&gt;0,MIN(Skills!I6,MAX(0,MAX(0,Inputs!$B$43-B920)-((R887-1)*IF(Inputs!$B$38="pvp",15,MAX(0.1,Skills!D6-IF(TRUE=TRUE,Inputs!$B$32,0))))))/Skills!H6,1)))/Inputs!$B$43),G887*Q887))/N887*IF(Inputs!$B$38="pvp",1,(1-Summary!$B$11)*1+Summary!$B$11*(MIN(Skills!R6,Inputs!$B$37))),0)</f>
        <v/>
      </c>
      <c r="T887">
        <f>IF(C887,(H887*N887*IF(AND(Inputs!$B$38&lt;&gt;"pvp",Inputs!$B$43&gt;0),((Skills!G6*((R887-1)*IF(Skills!H6&gt;0,Skills!I6/Skills!H6,1)+IF(Skills!H6&gt;0,MIN(Skills!I6,MAX(0,MAX(0,Inputs!$B$43-B920)-((R887-1)*IF(Inputs!$B$38="pvp",15,MAX(0.1,Skills!D6-IF(TRUE=TRUE,Inputs!$B$32,0)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920)-((R887-1)*IF(Inputs!$B$38="pvp",15,MAX(0.1,Skills!D6-IF(TRUE=TRUE,Inputs!$B$32,0))))))/Skills!H6,1)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Skills!G7*IF(Skills!H7&gt;0,IF(Inputs!$B$38="pvp",MIN(Skills!I7,15),Skills!I7)/Skills!H7,1)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IFERROR(1/IF(Inputs!$B$38="pvp",15,MAX(0.1,Skills!D7-IF(TRUE=TRUE,Inputs!$B$32,0))),0)</f>
        <v/>
      </c>
      <c r="R888">
        <f>IF(AND(Inputs!$B$38&lt;&gt;"pvp",Inputs!$B$43&gt;0),IF(MAX(0,Inputs!$B$43-B920)&lt;=0,0,(INT(MAX(0,Inputs!$B$43-B920)/IF(Inputs!$B$38="pvp",15,MAX(0.1,Skills!D7-IF(TRUE=TRUE,Inputs!$B$32,0))))+1)),0)</f>
        <v/>
      </c>
      <c r="S888">
        <f>IFERROR((H888*N888*IF(AND(Inputs!$B$38&lt;&gt;"pvp",Inputs!$B$43&gt;0),((Skills!G7*((R888-1)*IF(Skills!H7&gt;0,Skills!I7/Skills!H7,1)+IF(Skills!H7&gt;0,MIN(Skills!I7,MAX(0,MAX(0,Inputs!$B$43-B920)-((R888-1)*IF(Inputs!$B$38="pvp",15,MAX(0.1,Skills!D7-IF(TRUE=TRUE,Inputs!$B$32,0))))))/Skills!H7,1)))/Inputs!$B$43),G888*Q888))/N888*IF(Inputs!$B$38="pvp",1,(1-Summary!$B$11)*1+Summary!$B$11*(MIN(Skills!R7,Inputs!$B$37))),0)</f>
        <v/>
      </c>
      <c r="T888">
        <f>IF(C888,(H888*N888*IF(AND(Inputs!$B$38&lt;&gt;"pvp",Inputs!$B$43&gt;0),((Skills!G7*((R888-1)*IF(Skills!H7&gt;0,Skills!I7/Skills!H7,1)+IF(Skills!H7&gt;0,MIN(Skills!I7,MAX(0,MAX(0,Inputs!$B$43-B920)-((R888-1)*IF(Inputs!$B$38="pvp",15,MAX(0.1,Skills!D7-IF(TRUE=TRUE,Inputs!$B$32,0)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920)-((R888-1)*IF(Inputs!$B$38="pvp",15,MAX(0.1,Skills!D7-IF(TRUE=TRUE,Inputs!$B$32,0))))))/Skills!H7,1)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Skills!G9*IF(Skills!H9&gt;0,IF(Inputs!$B$38="pvp",MIN(Skills!I9,15),Skills!I9)/Skills!H9,1)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IFERROR(1/IF(Inputs!$B$38="pvp",15,MAX(0.1,Skills!D9-IF(TRUE=TRUE,Inputs!$B$32,0))),0)</f>
        <v/>
      </c>
      <c r="R890">
        <f>IF(AND(Inputs!$B$38&lt;&gt;"pvp",Inputs!$B$43&gt;0),IF(MAX(0,Inputs!$B$43-B920)&lt;=0,0,(INT(MAX(0,Inputs!$B$43-B920)/IF(Inputs!$B$38="pvp",15,MAX(0.1,Skills!D9-IF(TRUE=TRUE,Inputs!$B$32,0))))+1)),0)</f>
        <v/>
      </c>
      <c r="S890">
        <f>IFERROR((H890*N890*IF(AND(Inputs!$B$38&lt;&gt;"pvp",Inputs!$B$43&gt;0),((Skills!G9*((R890-1)*IF(Skills!H9&gt;0,Skills!I9/Skills!H9,1)+IF(Skills!H9&gt;0,MIN(Skills!I9,MAX(0,MAX(0,Inputs!$B$43-B920)-((R890-1)*IF(Inputs!$B$38="pvp",15,MAX(0.1,Skills!D9-IF(TRUE=TRUE,Inputs!$B$32,0))))))/Skills!H9,1)))/Inputs!$B$43),G890*Q890))/N890*IF(Inputs!$B$38="pvp",1,(1-Summary!$B$11)*1+Summary!$B$11*(MIN(Skills!R9,Inputs!$B$37))),0)</f>
        <v/>
      </c>
      <c r="T890">
        <f>IF(C890,(H890*N890*IF(AND(Inputs!$B$38&lt;&gt;"pvp",Inputs!$B$43&gt;0),((Skills!G9*((R890-1)*IF(Skills!H9&gt;0,Skills!I9/Skills!H9,1)+IF(Skills!H9&gt;0,MIN(Skills!I9,MAX(0,MAX(0,Inputs!$B$43-B920)-((R890-1)*IF(Inputs!$B$38="pvp",15,MAX(0.1,Skills!D9-IF(TRUE=TRUE,Inputs!$B$32,0)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920)-((R890-1)*IF(Inputs!$B$38="pvp",15,MAX(0.1,Skills!D9-IF(TRUE=TRUE,Inputs!$B$32,0))))))/Skills!H9,1)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Skills!G10*IF(Skills!H10&gt;0,IF(Inputs!$B$38="pvp",MIN(Skills!I10,15),Skills!I10)/Skills!H10,1)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Skills!G11*IF(Skills!H11&gt;0,IF(Inputs!$B$38="pvp",MIN(Skills!I11,15),Skills!I11)/Skills!H11,1)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IFERROR(1/IF(Inputs!$B$38="pvp",15,MAX(0.1,Skills!D11-IF(TRUE=TRUE,Inputs!$B$32,0))),0)</f>
        <v/>
      </c>
      <c r="R892">
        <f>IF(AND(Inputs!$B$38&lt;&gt;"pvp",Inputs!$B$43&gt;0),IF(MAX(0,Inputs!$B$43-B920)&lt;=0,0,(INT(MAX(0,Inputs!$B$43-B920)/IF(Inputs!$B$38="pvp",15,MAX(0.1,Skills!D11-IF(TRUE=TRUE,Inputs!$B$32,0))))+1)),0)</f>
        <v/>
      </c>
      <c r="S892">
        <f>IFERROR((H892*N892*IF(AND(Inputs!$B$38&lt;&gt;"pvp",Inputs!$B$43&gt;0),((Skills!G11*((R892-1)*IF(Skills!H11&gt;0,Skills!I11/Skills!H11,1)+IF(Skills!H11&gt;0,MIN(Skills!I11,MAX(0,MAX(0,Inputs!$B$43-B920)-((R892-1)*IF(Inputs!$B$38="pvp",15,MAX(0.1,Skills!D11-IF(TRUE=TRUE,Inputs!$B$32,0))))))/Skills!H11,1)))/Inputs!$B$43),G892*Q892))/N892*IF(Inputs!$B$38="pvp",1,(1-Summary!$B$11)*1+Summary!$B$11*(MIN(Skills!R11,Inputs!$B$37))),0)</f>
        <v/>
      </c>
      <c r="T892">
        <f>IF(C892,(H892*N892*IF(AND(Inputs!$B$38&lt;&gt;"pvp",Inputs!$B$43&gt;0),((Skills!G11*((R892-1)*IF(Skills!H11&gt;0,Skills!I11/Skills!H11,1)+IF(Skills!H11&gt;0,MIN(Skills!I11,MAX(0,MAX(0,Inputs!$B$43-B920)-((R892-1)*IF(Inputs!$B$38="pvp",15,MAX(0.1,Skills!D11-IF(TRUE=TRUE,Inputs!$B$32,0))))))/Skills!H11,1)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Inputs!$B$38&lt;&gt;"pvp",Inputs!$B$43=0),1,IF(IF(Inputs!$B$38="pvp",15,Inputs!$B$43)-(B920)&lt;=0,1,MAX(0,IF(Inputs!$B$38="pvp",15,Inputs!$B$43)-MAX(5,B920))/(IF(Inputs!$B$38="pvp",15,Inputs!$B$43)-(B920)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Skills!I11/Skills!H11,1)+IF(Skills!H11&gt;0,MIN(Skills!I11,MAX(0,MAX(0,Inputs!$B$43-B920)-((R892-1)*IF(Inputs!$B$38="pvp",15,MAX(0.1,Skills!D11-IF(TRUE=TRUE,Inputs!$B$32,0))))))/Skills!H11,1)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Skills!G12*IF(Skills!H12&gt;0,IF(Inputs!$B$38="pvp",MIN(Skills!I12,15),Skills!I12)/Skills!H12,1)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Skills!G13*IF(Skills!H13&gt;0,IF(Inputs!$B$38="pvp",MIN(Skills!I13,15),Skills!I13)/Skills!H13,1)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Skills!G14*IF(Skills!H14&gt;0,IF(Inputs!$B$38="pvp",MIN(Skills!I14,15),Skills!I14)/Skills!H14,1)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Skills!G15*IF(Skills!H15&gt;0,IF(Inputs!$B$38="pvp",MIN(Skills!I15,15),Skills!I15)/Skills!H15,1)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IFERROR(1/IF(Inputs!$B$38="pvp",15,MAX(0.1,Skills!D15-IF(TRUE=TRUE,Inputs!$B$32,0))),0)</f>
        <v/>
      </c>
      <c r="R896">
        <f>IF(AND(Inputs!$B$38&lt;&gt;"pvp",Inputs!$B$43&gt;0),IF(Inputs!$B$43&lt;=0,0,(INT(Inputs!$B$43/IF(Inputs!$B$38="pvp",15,MAX(0.1,Skills!D15-IF(TRUE=TRUE,Inputs!$B$32,0))))+1)),0)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Skills!G16*IF(Skills!H16&gt;0,IF(Inputs!$B$38="pvp",MIN(Skills!I16,15),Skills!I16)/Skills!H16,1)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IFERROR(1/IF(Inputs!$B$38="pvp",15,MAX(0.1,Skills!D16-IF(TRUE=TRUE,Inputs!$B$32,0))),0)</f>
        <v/>
      </c>
      <c r="R897">
        <f>IF(AND(Inputs!$B$38&lt;&gt;"pvp",Inputs!$B$43&gt;0),IF(Inputs!$B$43&lt;=0,0,(INT(Inputs!$B$43/IF(Inputs!$B$38="pvp",15,MAX(0.1,Skills!D16-IF(TRUE=TRUE,Inputs!$B$32,0))))+1)),0)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Skills!G17*IF(Skills!H17&gt;0,IF(Inputs!$B$38="pvp",MIN(Skills!I17,15),Skills!I17)/Skills!H17,1)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Skills!G18*IF(Skills!H18&gt;0,IF(Inputs!$B$38="pvp",MIN(Skills!I18,15),Skills!I18)/Skills!H18,1)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IFERROR(1/IF(Inputs!$B$38="pvp",15,MAX(0.1,Skills!D18-IF(TRUE=TRUE,Inputs!$B$32,0))),0)</f>
        <v/>
      </c>
      <c r="R899">
        <f>IF(AND(Inputs!$B$38&lt;&gt;"pvp",Inputs!$B$43&gt;0),IF(Inputs!$B$43&lt;=0,0,(INT(Inputs!$B$43/IF(Inputs!$B$38="pvp",15,MAX(0.1,Skills!D18-IF(TRUE=TRUE,Inputs!$B$32,0))))+1)),0)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Skills!G19*IF(Skills!H19&gt;0,IF(Inputs!$B$38="pvp",MIN(Skills!I19,15),Skills!I19)/Skills!H19,1)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Skills!G20*IF(Skills!H20&gt;0,IF(Inputs!$B$38="pvp",MIN(Skills!I20,15),Skills!I20)/Skills!H20,1)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Skills!G21*IF(Skills!H21&gt;0,IF(Inputs!$B$38="pvp",MIN(Skills!I21,15),Skills!I21)/Skills!H21,1)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Skills!G22*IF(Skills!H22&gt;0,IF(Inputs!$B$38="pvp",MIN(Skills!I22,15),Skills!I22)/Skills!H22,1)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Skills!G23*IF(Skills!H23&gt;0,IF(Inputs!$B$38="pvp",MIN(Skills!I23,15),Skills!I23)/Skills!H23,1)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Skills!G24*IF(Skills!H24&gt;0,IF(Inputs!$B$38="pvp",MIN(Skills!I24,15),Skills!I24)/Skills!H24,1)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Skills!G25*IF(Skills!H25&gt;0,IF(Inputs!$B$38="pvp",MIN(Skills!I25,15),Skills!I25)/Skills!H25,1)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Skills!G26*IF(Skills!H26&gt;0,IF(Inputs!$B$38="pvp",MIN(Skills!I26,15),Skills!I26)/Skills!H26,1)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Skills!G27*IF(Skills!H27&gt;0,IF(Inputs!$B$38="pvp",MIN(Skills!I27,15),Skills!I27)/Skills!H27,1)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Skills!G28*IF(Skills!H28&gt;0,IF(Inputs!$B$38="pvp",MIN(Skills!I28,15),Skills!I28)/Skills!H28,1)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Skills!G29*IF(Skills!H29&gt;0,IF(Inputs!$B$38="pvp",MIN(Skills!I29,15),Skills!I29)/Skills!H29,1)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MIN((Skills!T15*(1+Inputs!$B$34/100)),(1/Q896))+MIN((Skills!T15*(1+Inputs!$B$34/100)),MAX(0,Inputs!$B$43-((R896-1)*(1/Q896)))))/Inputs!$B$43),IF(Inputs!$B$38="pvp",MIN((Skills!T15*(1+Inputs!$B$34/100)),15)/15,MIN(1,(Skills!T15*(1+Inputs!$B$34/100))/(1/Q896)))))+((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t="n">
        <v>0</v>
      </c>
    </row>
    <row r="914">
      <c r="A914" t="inlineStr">
        <is>
          <t>Attack Speed Buff Bonus %</t>
        </is>
      </c>
      <c r="B914">
        <f>((C899=TRUE)*F899*IF(AND(Inputs!$B$38&lt;&gt;"pvp",Inputs!$B$43&gt;0),(((R899-1)*MIN((Skills!T18*(1+Inputs!$B$34/100)),(1/Q899))+MIN((Skills!T18*(1+Inputs!$B$34/100)),MAX(0,Inputs!$B$43-((R899-1)*(1/Q899)))))/Inputs!$B$43),IF(Inputs!$B$38="pvp",MIN((Skills!T18*(1+Inputs!$B$34/100)),15)/15,MIN(1,(Skills!T18*(1+Inputs!$B$34/100))/(1/Q899)))))</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MIN((Skills!T16*(1+Inputs!$B$34/100)),(1/Q897))+MIN((Skills!T16*(1+Inputs!$B$34/100)),MAX(0,Inputs!$B$43-((R897-1)*(1/Q897)))))/Inputs!$B$43),IF(Inputs!$B$38="pvp",MIN((Skills!T16*(1+Inputs!$B$34/100)),15)/15,MIN(1,(Skills!T16*(1+Inputs!$B$34/100))/(1/Q897))))</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Skills!G2*IF(Skills!H2&gt;0,IF(Inputs!$B$38="pvp",MIN(Skills!I2,15),Skills!I2)/Skills!H2,1)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Skills!G5*IF(Skills!H5&gt;0,IF(Inputs!$B$38="pvp",MIN(Skills!I5,15),Skills!I5)/Skills!H5,1)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IFERROR(1/IF(Inputs!$B$38="pvp",15,MAX(0.1,Skills!D5-IF(TRUE=TRUE,Inputs!$B$32,0))),0)</f>
        <v/>
      </c>
      <c r="R931">
        <f>IF(AND(Inputs!$B$38&lt;&gt;"pvp",Inputs!$B$43&gt;0),IF(MAX(0,Inputs!$B$43-B965)&lt;=0,0,(INT(MAX(0,Inputs!$B$43-B965)/IF(Inputs!$B$38="pvp",15,MAX(0.1,Skills!D5-IF(TRUE=TRUE,Inputs!$B$32,0))))+1)),0)</f>
        <v/>
      </c>
      <c r="S931">
        <f>IFERROR((H931*N931*IF(AND(Inputs!$B$38&lt;&gt;"pvp",Inputs!$B$43&gt;0),((Skills!G5*((R931-1)*IF(Skills!H5&gt;0,Skills!I5/Skills!H5,1)+IF(Skills!H5&gt;0,MIN(Skills!I5,MAX(0,MAX(0,Inputs!$B$43-B965)-((R931-1)*IF(Inputs!$B$38="pvp",15,MAX(0.1,Skills!D5-IF(TRUE=TRUE,Inputs!$B$32,0))))))/Skills!H5,1)))/Inputs!$B$43),G931*Q931))/N931*IF(Inputs!$B$38="pvp",1,(1-Summary!$B$11)*1+Summary!$B$11*(MIN(Skills!R5,Inputs!$B$37))),0)</f>
        <v/>
      </c>
      <c r="T931">
        <f>IF(C931,(H931*N931*IF(AND(Inputs!$B$38&lt;&gt;"pvp",Inputs!$B$43&gt;0),((Skills!G5*((R931-1)*IF(Skills!H5&gt;0,Skills!I5/Skills!H5,1)+IF(Skills!H5&gt;0,MIN(Skills!I5,MAX(0,MAX(0,Inputs!$B$43-B965)-((R931-1)*IF(Inputs!$B$38="pvp",15,MAX(0.1,Skills!D5-IF(TRUE=TRUE,Inputs!$B$32,0))))))/Skills!H5,1)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Skills!I5/Skills!H5,1)+IF(Skills!H5&gt;0,MIN(Skills!I5,MAX(0,MAX(0,Inputs!$B$43-B965)-((R931-1)*IF(Inputs!$B$38="pvp",15,MAX(0.1,Skills!D5-IF(TRUE=TRUE,Inputs!$B$32,0))))))/Skills!H5,1)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Skills!G6*IF(Skills!H6&gt;0,IF(Inputs!$B$38="pvp",MIN(Skills!I6,15),Skills!I6)/Skills!H6,1)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IFERROR(1/IF(Inputs!$B$38="pvp",15,MAX(0.1,Skills!D6-IF(TRUE=TRUE,Inputs!$B$32,0))),0)</f>
        <v/>
      </c>
      <c r="R932">
        <f>IF(AND(Inputs!$B$38&lt;&gt;"pvp",Inputs!$B$43&gt;0),IF(MAX(0,Inputs!$B$43-B965)&lt;=0,0,(INT(MAX(0,Inputs!$B$43-B965)/IF(Inputs!$B$38="pvp",15,MAX(0.1,Skills!D6-IF(TRUE=TRUE,Inputs!$B$32,0))))+1)),0)</f>
        <v/>
      </c>
      <c r="S932">
        <f>IFERROR((H932*N932*IF(AND(Inputs!$B$38&lt;&gt;"pvp",Inputs!$B$43&gt;0),((Skills!G6*((R932-1)*IF(Skills!H6&gt;0,Skills!I6/Skills!H6,1)+IF(Skills!H6&gt;0,MIN(Skills!I6,MAX(0,MAX(0,Inputs!$B$43-B965)-((R932-1)*IF(Inputs!$B$38="pvp",15,MAX(0.1,Skills!D6-IF(TRUE=TRUE,Inputs!$B$32,0))))))/Skills!H6,1)))/Inputs!$B$43),G932*Q932))/N932*IF(Inputs!$B$38="pvp",1,(1-Summary!$B$11)*1+Summary!$B$11*(MIN(Skills!R6,Inputs!$B$37))),0)</f>
        <v/>
      </c>
      <c r="T932">
        <f>IF(C932,(H932*N932*IF(AND(Inputs!$B$38&lt;&gt;"pvp",Inputs!$B$43&gt;0),((Skills!G6*((R932-1)*IF(Skills!H6&gt;0,Skills!I6/Skills!H6,1)+IF(Skills!H6&gt;0,MIN(Skills!I6,MAX(0,MAX(0,Inputs!$B$43-B965)-((R932-1)*IF(Inputs!$B$38="pvp",15,MAX(0.1,Skills!D6-IF(TRUE=TRUE,Inputs!$B$32,0)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965)-((R932-1)*IF(Inputs!$B$38="pvp",15,MAX(0.1,Skills!D6-IF(TRUE=TRUE,Inputs!$B$32,0))))))/Skills!H6,1)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Skills!G7*IF(Skills!H7&gt;0,IF(Inputs!$B$38="pvp",MIN(Skills!I7,15),Skills!I7)/Skills!H7,1)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IFERROR(1/IF(Inputs!$B$38="pvp",15,MAX(0.1,Skills!D7-IF(TRUE=TRUE,Inputs!$B$32,0))),0)</f>
        <v/>
      </c>
      <c r="R933">
        <f>IF(AND(Inputs!$B$38&lt;&gt;"pvp",Inputs!$B$43&gt;0),IF(MAX(0,Inputs!$B$43-B965)&lt;=0,0,(INT(MAX(0,Inputs!$B$43-B965)/IF(Inputs!$B$38="pvp",15,MAX(0.1,Skills!D7-IF(TRUE=TRUE,Inputs!$B$32,0))))+1)),0)</f>
        <v/>
      </c>
      <c r="S933">
        <f>IFERROR((H933*N933*IF(AND(Inputs!$B$38&lt;&gt;"pvp",Inputs!$B$43&gt;0),((Skills!G7*((R933-1)*IF(Skills!H7&gt;0,Skills!I7/Skills!H7,1)+IF(Skills!H7&gt;0,MIN(Skills!I7,MAX(0,MAX(0,Inputs!$B$43-B965)-((R933-1)*IF(Inputs!$B$38="pvp",15,MAX(0.1,Skills!D7-IF(TRUE=TRUE,Inputs!$B$32,0))))))/Skills!H7,1)))/Inputs!$B$43),G933*Q933))/N933*IF(Inputs!$B$38="pvp",1,(1-Summary!$B$11)*1+Summary!$B$11*(MIN(Skills!R7,Inputs!$B$37))),0)</f>
        <v/>
      </c>
      <c r="T933">
        <f>IF(C933,(H933*N933*IF(AND(Inputs!$B$38&lt;&gt;"pvp",Inputs!$B$43&gt;0),((Skills!G7*((R933-1)*IF(Skills!H7&gt;0,Skills!I7/Skills!H7,1)+IF(Skills!H7&gt;0,MIN(Skills!I7,MAX(0,MAX(0,Inputs!$B$43-B965)-((R933-1)*IF(Inputs!$B$38="pvp",15,MAX(0.1,Skills!D7-IF(TRUE=TRUE,Inputs!$B$32,0)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965)-((R933-1)*IF(Inputs!$B$38="pvp",15,MAX(0.1,Skills!D7-IF(TRUE=TRUE,Inputs!$B$32,0))))))/Skills!H7,1)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Skills!G9*IF(Skills!H9&gt;0,IF(Inputs!$B$38="pvp",MIN(Skills!I9,15),Skills!I9)/Skills!H9,1)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IFERROR(1/IF(Inputs!$B$38="pvp",15,MAX(0.1,Skills!D9-IF(TRUE=TRUE,Inputs!$B$32,0))),0)</f>
        <v/>
      </c>
      <c r="R935">
        <f>IF(AND(Inputs!$B$38&lt;&gt;"pvp",Inputs!$B$43&gt;0),IF(MAX(0,Inputs!$B$43-B965)&lt;=0,0,(INT(MAX(0,Inputs!$B$43-B965)/IF(Inputs!$B$38="pvp",15,MAX(0.1,Skills!D9-IF(TRUE=TRUE,Inputs!$B$32,0))))+1)),0)</f>
        <v/>
      </c>
      <c r="S935">
        <f>IFERROR((H935*N935*IF(AND(Inputs!$B$38&lt;&gt;"pvp",Inputs!$B$43&gt;0),((Skills!G9*((R935-1)*IF(Skills!H9&gt;0,Skills!I9/Skills!H9,1)+IF(Skills!H9&gt;0,MIN(Skills!I9,MAX(0,MAX(0,Inputs!$B$43-B965)-((R935-1)*IF(Inputs!$B$38="pvp",15,MAX(0.1,Skills!D9-IF(TRUE=TRUE,Inputs!$B$32,0))))))/Skills!H9,1)))/Inputs!$B$43),G935*Q935))/N935*IF(Inputs!$B$38="pvp",1,(1-Summary!$B$11)*1+Summary!$B$11*(MIN(Skills!R9,Inputs!$B$37))),0)</f>
        <v/>
      </c>
      <c r="T935">
        <f>IF(C935,(H935*N935*IF(AND(Inputs!$B$38&lt;&gt;"pvp",Inputs!$B$43&gt;0),((Skills!G9*((R935-1)*IF(Skills!H9&gt;0,Skills!I9/Skills!H9,1)+IF(Skills!H9&gt;0,MIN(Skills!I9,MAX(0,MAX(0,Inputs!$B$43-B965)-((R935-1)*IF(Inputs!$B$38="pvp",15,MAX(0.1,Skills!D9-IF(TRUE=TRUE,Inputs!$B$32,0)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965)-((R935-1)*IF(Inputs!$B$38="pvp",15,MAX(0.1,Skills!D9-IF(TRUE=TRUE,Inputs!$B$32,0))))))/Skills!H9,1)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Skills!G10*IF(Skills!H10&gt;0,IF(Inputs!$B$38="pvp",MIN(Skills!I10,15),Skills!I10)/Skills!H10,1)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Skills!G11*IF(Skills!H11&gt;0,IF(Inputs!$B$38="pvp",MIN(Skills!I11,15),Skills!I11)/Skills!H11,1)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IFERROR(1/IF(Inputs!$B$38="pvp",15,MAX(0.1,Skills!D11-IF(TRUE=TRUE,Inputs!$B$32,0))),0)</f>
        <v/>
      </c>
      <c r="R937">
        <f>IF(AND(Inputs!$B$38&lt;&gt;"pvp",Inputs!$B$43&gt;0),IF(MAX(0,Inputs!$B$43-B965)&lt;=0,0,(INT(MAX(0,Inputs!$B$43-B965)/IF(Inputs!$B$38="pvp",15,MAX(0.1,Skills!D11-IF(TRUE=TRUE,Inputs!$B$32,0))))+1)),0)</f>
        <v/>
      </c>
      <c r="S937">
        <f>IFERROR((H937*N937*IF(AND(Inputs!$B$38&lt;&gt;"pvp",Inputs!$B$43&gt;0),((Skills!G11*((R937-1)*IF(Skills!H11&gt;0,Skills!I11/Skills!H11,1)+IF(Skills!H11&gt;0,MIN(Skills!I11,MAX(0,MAX(0,Inputs!$B$43-B965)-((R937-1)*IF(Inputs!$B$38="pvp",15,MAX(0.1,Skills!D11-IF(TRUE=TRUE,Inputs!$B$32,0))))))/Skills!H11,1)))/Inputs!$B$43),G937*Q937))/N937*IF(Inputs!$B$38="pvp",1,(1-Summary!$B$11)*1+Summary!$B$11*(MIN(Skills!R11,Inputs!$B$37))),0)</f>
        <v/>
      </c>
      <c r="T937">
        <f>IF(C937,(H937*N937*IF(AND(Inputs!$B$38&lt;&gt;"pvp",Inputs!$B$43&gt;0),((Skills!G11*((R937-1)*IF(Skills!H11&gt;0,Skills!I11/Skills!H11,1)+IF(Skills!H11&gt;0,MIN(Skills!I11,MAX(0,MAX(0,Inputs!$B$43-B965)-((R937-1)*IF(Inputs!$B$38="pvp",15,MAX(0.1,Skills!D11-IF(TRUE=TRUE,Inputs!$B$32,0))))))/Skills!H11,1)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Inputs!$B$38&lt;&gt;"pvp",Inputs!$B$43=0),1,IF(IF(Inputs!$B$38="pvp",15,Inputs!$B$43)-(B965)&lt;=0,1,MAX(0,IF(Inputs!$B$38="pvp",15,Inputs!$B$43)-MAX(5,B965))/(IF(Inputs!$B$38="pvp",15,Inputs!$B$43)-(B965))))*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Skills!I11/Skills!H11,1)+IF(Skills!H11&gt;0,MIN(Skills!I11,MAX(0,MAX(0,Inputs!$B$43-B965)-((R937-1)*IF(Inputs!$B$38="pvp",15,MAX(0.1,Skills!D11-IF(TRUE=TRUE,Inputs!$B$32,0))))))/Skills!H11,1)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Skills!G12*IF(Skills!H12&gt;0,IF(Inputs!$B$38="pvp",MIN(Skills!I12,15),Skills!I12)/Skills!H12,1)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Skills!G13*IF(Skills!H13&gt;0,IF(Inputs!$B$38="pvp",MIN(Skills!I13,15),Skills!I13)/Skills!H13,1)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Skills!G14*IF(Skills!H14&gt;0,IF(Inputs!$B$38="pvp",MIN(Skills!I14,15),Skills!I14)/Skills!H14,1)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Skills!G15*IF(Skills!H15&gt;0,IF(Inputs!$B$38="pvp",MIN(Skills!I15,15),Skills!I15)/Skills!H15,1)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IFERROR(1/IF(Inputs!$B$38="pvp",15,MAX(0.1,Skills!D15-IF(TRUE=TRUE,Inputs!$B$32,0))),0)</f>
        <v/>
      </c>
      <c r="R941">
        <f>IF(AND(Inputs!$B$38&lt;&gt;"pvp",Inputs!$B$43&gt;0),IF(Inputs!$B$43&lt;=0,0,(INT(Inputs!$B$43/IF(Inputs!$B$38="pvp",15,MAX(0.1,Skills!D15-IF(TRUE=TRUE,Inputs!$B$32,0))))+1)),0)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Skills!G16*IF(Skills!H16&gt;0,IF(Inputs!$B$38="pvp",MIN(Skills!I16,15),Skills!I16)/Skills!H16,1)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IFERROR(1/IF(Inputs!$B$38="pvp",15,MAX(0.1,Skills!D16-IF(TRUE=TRUE,Inputs!$B$32,0))),0)</f>
        <v/>
      </c>
      <c r="R942">
        <f>IF(AND(Inputs!$B$38&lt;&gt;"pvp",Inputs!$B$43&gt;0),IF(Inputs!$B$43&lt;=0,0,(INT(Inputs!$B$43/IF(Inputs!$B$38="pvp",15,MAX(0.1,Skills!D16-IF(TRUE=TRUE,Inputs!$B$32,0))))+1)),0)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Skills!G17*IF(Skills!H17&gt;0,IF(Inputs!$B$38="pvp",MIN(Skills!I17,15),Skills!I17)/Skills!H17,1)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Skills!G18*IF(Skills!H18&gt;0,IF(Inputs!$B$38="pvp",MIN(Skills!I18,15),Skills!I18)/Skills!H18,1)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IFERROR(1/IF(Inputs!$B$38="pvp",15,MAX(0.1,Skills!D18-IF(TRUE=TRUE,Inputs!$B$32,0))),0)</f>
        <v/>
      </c>
      <c r="R944">
        <f>IF(AND(Inputs!$B$38&lt;&gt;"pvp",Inputs!$B$43&gt;0),IF(Inputs!$B$43&lt;=0,0,(INT(Inputs!$B$43/IF(Inputs!$B$38="pvp",15,MAX(0.1,Skills!D18-IF(TRUE=TRUE,Inputs!$B$32,0))))+1)),0)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Skills!G19*IF(Skills!H19&gt;0,IF(Inputs!$B$38="pvp",MIN(Skills!I19,15),Skills!I19)/Skills!H19,1)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Skills!G20*IF(Skills!H20&gt;0,IF(Inputs!$B$38="pvp",MIN(Skills!I20,15),Skills!I20)/Skills!H20,1)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Skills!G21*IF(Skills!H21&gt;0,IF(Inputs!$B$38="pvp",MIN(Skills!I21,15),Skills!I21)/Skills!H21,1)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Skills!G22*IF(Skills!H22&gt;0,IF(Inputs!$B$38="pvp",MIN(Skills!I22,15),Skills!I22)/Skills!H22,1)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Skills!G23*IF(Skills!H23&gt;0,IF(Inputs!$B$38="pvp",MIN(Skills!I23,15),Skills!I23)/Skills!H23,1)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Skills!G24*IF(Skills!H24&gt;0,IF(Inputs!$B$38="pvp",MIN(Skills!I24,15),Skills!I24)/Skills!H24,1)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Skills!G25*IF(Skills!H25&gt;0,IF(Inputs!$B$38="pvp",MIN(Skills!I25,15),Skills!I25)/Skills!H25,1)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Skills!G26*IF(Skills!H26&gt;0,IF(Inputs!$B$38="pvp",MIN(Skills!I26,15),Skills!I26)/Skills!H26,1)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Skills!G27*IF(Skills!H27&gt;0,IF(Inputs!$B$38="pvp",MIN(Skills!I27,15),Skills!I27)/Skills!H27,1)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Skills!G28*IF(Skills!H28&gt;0,IF(Inputs!$B$38="pvp",MIN(Skills!I28,15),Skills!I28)/Skills!H28,1)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Skills!G29*IF(Skills!H29&gt;0,IF(Inputs!$B$38="pvp",MIN(Skills!I29,15),Skills!I29)/Skills!H29,1)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MIN((Skills!T15*(1+Inputs!$B$34/100)),(1/Q941))+MIN((Skills!T15*(1+Inputs!$B$34/100)),MAX(0,Inputs!$B$43-((R941-1)*(1/Q941)))))/Inputs!$B$43),IF(Inputs!$B$38="pvp",MIN((Skills!T15*(1+Inputs!$B$34/100)),15)/15,MIN(1,(Skills!T15*(1+Inputs!$B$34/100))/(1/Q941)))))+((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t="n">
        <v>0</v>
      </c>
    </row>
    <row r="959">
      <c r="A959" t="inlineStr">
        <is>
          <t>Attack Speed Buff Bonus %</t>
        </is>
      </c>
      <c r="B959">
        <f>((C944=TRUE)*F944*IF(AND(Inputs!$B$38&lt;&gt;"pvp",Inputs!$B$43&gt;0),(((R944-1)*MIN((Skills!T18*(1+Inputs!$B$34/100)),(1/Q944))+MIN((Skills!T18*(1+Inputs!$B$34/100)),MAX(0,Inputs!$B$43-((R944-1)*(1/Q944)))))/Inputs!$B$43),IF(Inputs!$B$38="pvp",MIN((Skills!T18*(1+Inputs!$B$34/100)),15)/15,MIN(1,(Skills!T18*(1+Inputs!$B$34/100))/(1/Q944)))))</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MIN((Skills!T16*(1+Inputs!$B$34/100)),(1/Q942))+MIN((Skills!T16*(1+Inputs!$B$34/100)),MAX(0,Inputs!$B$43-((R942-1)*(1/Q942)))))/Inputs!$B$43),IF(Inputs!$B$38="pvp",MIN((Skills!T16*(1+Inputs!$B$34/100)),15)/15,MIN(1,(Skills!T16*(1+Inputs!$B$34/100))/(1/Q942))))</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Skills!G2*IF(Skills!H2&gt;0,IF(Inputs!$B$38="pvp",MIN(Skills!I2,15),Skills!I2)/Skills!H2,1)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Skills!G5*IF(Skills!H5&gt;0,IF(Inputs!$B$38="pvp",MIN(Skills!I5,15),Skills!I5)/Skills!H5,1)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IFERROR(1/IF(Inputs!$B$38="pvp",15,MAX(0.1,Skills!D5-IF(TRUE=TRUE,Inputs!$B$32,0))),0)</f>
        <v/>
      </c>
      <c r="R976">
        <f>IF(AND(Inputs!$B$38&lt;&gt;"pvp",Inputs!$B$43&gt;0),IF(MAX(0,Inputs!$B$43-B1010)&lt;=0,0,(INT(MAX(0,Inputs!$B$43-B1010)/IF(Inputs!$B$38="pvp",15,MAX(0.1,Skills!D5-IF(TRUE=TRUE,Inputs!$B$32,0))))+1)),0)</f>
        <v/>
      </c>
      <c r="S976">
        <f>IFERROR((H976*N976*IF(AND(Inputs!$B$38&lt;&gt;"pvp",Inputs!$B$43&gt;0),((Skills!G5*((R976-1)*IF(Skills!H5&gt;0,Skills!I5/Skills!H5,1)+IF(Skills!H5&gt;0,MIN(Skills!I5,MAX(0,MAX(0,Inputs!$B$43-B1010)-((R976-1)*IF(Inputs!$B$38="pvp",15,MAX(0.1,Skills!D5-IF(TRUE=TRUE,Inputs!$B$32,0))))))/Skills!H5,1)))/Inputs!$B$43),G976*Q976))/N976*IF(Inputs!$B$38="pvp",1,(1-Summary!$B$11)*1+Summary!$B$11*(MIN(Skills!R5,Inputs!$B$37))),0)</f>
        <v/>
      </c>
      <c r="T976">
        <f>IF(C976,(H976*N976*IF(AND(Inputs!$B$38&lt;&gt;"pvp",Inputs!$B$43&gt;0),((Skills!G5*((R976-1)*IF(Skills!H5&gt;0,Skills!I5/Skills!H5,1)+IF(Skills!H5&gt;0,MIN(Skills!I5,MAX(0,MAX(0,Inputs!$B$43-B1010)-((R976-1)*IF(Inputs!$B$38="pvp",15,MAX(0.1,Skills!D5-IF(TRUE=TRUE,Inputs!$B$32,0))))))/Skills!H5,1)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Skills!I5/Skills!H5,1)+IF(Skills!H5&gt;0,MIN(Skills!I5,MAX(0,MAX(0,Inputs!$B$43-B1010)-((R976-1)*IF(Inputs!$B$38="pvp",15,MAX(0.1,Skills!D5-IF(TRUE=TRUE,Inputs!$B$32,0))))))/Skills!H5,1)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Skills!G6*IF(Skills!H6&gt;0,IF(Inputs!$B$38="pvp",MIN(Skills!I6,15),Skills!I6)/Skills!H6,1)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IFERROR(1/IF(Inputs!$B$38="pvp",15,MAX(0.1,Skills!D6-IF(TRUE=TRUE,Inputs!$B$32,0))),0)</f>
        <v/>
      </c>
      <c r="R977">
        <f>IF(AND(Inputs!$B$38&lt;&gt;"pvp",Inputs!$B$43&gt;0),IF(MAX(0,Inputs!$B$43-B1010)&lt;=0,0,(INT(MAX(0,Inputs!$B$43-B1010)/IF(Inputs!$B$38="pvp",15,MAX(0.1,Skills!D6-IF(TRUE=TRUE,Inputs!$B$32,0))))+1)),0)</f>
        <v/>
      </c>
      <c r="S977">
        <f>IFERROR((H977*N977*IF(AND(Inputs!$B$38&lt;&gt;"pvp",Inputs!$B$43&gt;0),((Skills!G6*((R977-1)*IF(Skills!H6&gt;0,Skills!I6/Skills!H6,1)+IF(Skills!H6&gt;0,MIN(Skills!I6,MAX(0,MAX(0,Inputs!$B$43-B1010)-((R977-1)*IF(Inputs!$B$38="pvp",15,MAX(0.1,Skills!D6-IF(TRUE=TRUE,Inputs!$B$32,0))))))/Skills!H6,1)))/Inputs!$B$43),G977*Q977))/N977*IF(Inputs!$B$38="pvp",1,(1-Summary!$B$11)*1+Summary!$B$11*(MIN(Skills!R6,Inputs!$B$37))),0)</f>
        <v/>
      </c>
      <c r="T977">
        <f>IF(C977,(H977*N977*IF(AND(Inputs!$B$38&lt;&gt;"pvp",Inputs!$B$43&gt;0),((Skills!G6*((R977-1)*IF(Skills!H6&gt;0,Skills!I6/Skills!H6,1)+IF(Skills!H6&gt;0,MIN(Skills!I6,MAX(0,MAX(0,Inputs!$B$43-B1010)-((R977-1)*IF(Inputs!$B$38="pvp",15,MAX(0.1,Skills!D6-IF(TRUE=TRUE,Inputs!$B$32,0)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1010)-((R977-1)*IF(Inputs!$B$38="pvp",15,MAX(0.1,Skills!D6-IF(TRUE=TRUE,Inputs!$B$32,0))))))/Skills!H6,1)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Skills!G7*IF(Skills!H7&gt;0,IF(Inputs!$B$38="pvp",MIN(Skills!I7,15),Skills!I7)/Skills!H7,1)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IFERROR(1/IF(Inputs!$B$38="pvp",15,MAX(0.1,Skills!D7-IF(TRUE=TRUE,Inputs!$B$32,0))),0)</f>
        <v/>
      </c>
      <c r="R978">
        <f>IF(AND(Inputs!$B$38&lt;&gt;"pvp",Inputs!$B$43&gt;0),IF(MAX(0,Inputs!$B$43-B1010)&lt;=0,0,(INT(MAX(0,Inputs!$B$43-B1010)/IF(Inputs!$B$38="pvp",15,MAX(0.1,Skills!D7-IF(TRUE=TRUE,Inputs!$B$32,0))))+1)),0)</f>
        <v/>
      </c>
      <c r="S978">
        <f>IFERROR((H978*N978*IF(AND(Inputs!$B$38&lt;&gt;"pvp",Inputs!$B$43&gt;0),((Skills!G7*((R978-1)*IF(Skills!H7&gt;0,Skills!I7/Skills!H7,1)+IF(Skills!H7&gt;0,MIN(Skills!I7,MAX(0,MAX(0,Inputs!$B$43-B1010)-((R978-1)*IF(Inputs!$B$38="pvp",15,MAX(0.1,Skills!D7-IF(TRUE=TRUE,Inputs!$B$32,0))))))/Skills!H7,1)))/Inputs!$B$43),G978*Q978))/N978*IF(Inputs!$B$38="pvp",1,(1-Summary!$B$11)*1+Summary!$B$11*(MIN(Skills!R7,Inputs!$B$37))),0)</f>
        <v/>
      </c>
      <c r="T978">
        <f>IF(C978,(H978*N978*IF(AND(Inputs!$B$38&lt;&gt;"pvp",Inputs!$B$43&gt;0),((Skills!G7*((R978-1)*IF(Skills!H7&gt;0,Skills!I7/Skills!H7,1)+IF(Skills!H7&gt;0,MIN(Skills!I7,MAX(0,MAX(0,Inputs!$B$43-B1010)-((R978-1)*IF(Inputs!$B$38="pvp",15,MAX(0.1,Skills!D7-IF(TRUE=TRUE,Inputs!$B$32,0)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1010)-((R978-1)*IF(Inputs!$B$38="pvp",15,MAX(0.1,Skills!D7-IF(TRUE=TRUE,Inputs!$B$32,0))))))/Skills!H7,1)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Skills!G9*IF(Skills!H9&gt;0,IF(Inputs!$B$38="pvp",MIN(Skills!I9,15),Skills!I9)/Skills!H9,1)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IFERROR(1/IF(Inputs!$B$38="pvp",15,MAX(0.1,Skills!D9-IF(TRUE=TRUE,Inputs!$B$32,0))),0)</f>
        <v/>
      </c>
      <c r="R980">
        <f>IF(AND(Inputs!$B$38&lt;&gt;"pvp",Inputs!$B$43&gt;0),IF(MAX(0,Inputs!$B$43-B1010)&lt;=0,0,(INT(MAX(0,Inputs!$B$43-B1010)/IF(Inputs!$B$38="pvp",15,MAX(0.1,Skills!D9-IF(TRUE=TRUE,Inputs!$B$32,0))))+1)),0)</f>
        <v/>
      </c>
      <c r="S980">
        <f>IFERROR((H980*N980*IF(AND(Inputs!$B$38&lt;&gt;"pvp",Inputs!$B$43&gt;0),((Skills!G9*((R980-1)*IF(Skills!H9&gt;0,Skills!I9/Skills!H9,1)+IF(Skills!H9&gt;0,MIN(Skills!I9,MAX(0,MAX(0,Inputs!$B$43-B1010)-((R980-1)*IF(Inputs!$B$38="pvp",15,MAX(0.1,Skills!D9-IF(TRUE=TRUE,Inputs!$B$32,0))))))/Skills!H9,1)))/Inputs!$B$43),G980*Q980))/N980*IF(Inputs!$B$38="pvp",1,(1-Summary!$B$11)*1+Summary!$B$11*(MIN(Skills!R9,Inputs!$B$37))),0)</f>
        <v/>
      </c>
      <c r="T980">
        <f>IF(C980,(H980*N980*IF(AND(Inputs!$B$38&lt;&gt;"pvp",Inputs!$B$43&gt;0),((Skills!G9*((R980-1)*IF(Skills!H9&gt;0,Skills!I9/Skills!H9,1)+IF(Skills!H9&gt;0,MIN(Skills!I9,MAX(0,MAX(0,Inputs!$B$43-B1010)-((R980-1)*IF(Inputs!$B$38="pvp",15,MAX(0.1,Skills!D9-IF(TRUE=TRUE,Inputs!$B$32,0)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1010)-((R980-1)*IF(Inputs!$B$38="pvp",15,MAX(0.1,Skills!D9-IF(TRUE=TRUE,Inputs!$B$32,0))))))/Skills!H9,1)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Skills!G10*IF(Skills!H10&gt;0,IF(Inputs!$B$38="pvp",MIN(Skills!I10,15),Skills!I10)/Skills!H10,1)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Skills!G11*IF(Skills!H11&gt;0,IF(Inputs!$B$38="pvp",MIN(Skills!I11,15),Skills!I11)/Skills!H11,1)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IFERROR(1/IF(Inputs!$B$38="pvp",15,MAX(0.1,Skills!D11-IF(TRUE=TRUE,Inputs!$B$32,0))),0)</f>
        <v/>
      </c>
      <c r="R982">
        <f>IF(AND(Inputs!$B$38&lt;&gt;"pvp",Inputs!$B$43&gt;0),IF(MAX(0,Inputs!$B$43-B1010)&lt;=0,0,(INT(MAX(0,Inputs!$B$43-B1010)/IF(Inputs!$B$38="pvp",15,MAX(0.1,Skills!D11-IF(TRUE=TRUE,Inputs!$B$32,0))))+1)),0)</f>
        <v/>
      </c>
      <c r="S982">
        <f>IFERROR((H982*N982*IF(AND(Inputs!$B$38&lt;&gt;"pvp",Inputs!$B$43&gt;0),((Skills!G11*((R982-1)*IF(Skills!H11&gt;0,Skills!I11/Skills!H11,1)+IF(Skills!H11&gt;0,MIN(Skills!I11,MAX(0,MAX(0,Inputs!$B$43-B1010)-((R982-1)*IF(Inputs!$B$38="pvp",15,MAX(0.1,Skills!D11-IF(TRUE=TRUE,Inputs!$B$32,0))))))/Skills!H11,1)))/Inputs!$B$43),G982*Q982))/N982*IF(Inputs!$B$38="pvp",1,(1-Summary!$B$11)*1+Summary!$B$11*(MIN(Skills!R11,Inputs!$B$37))),0)</f>
        <v/>
      </c>
      <c r="T982">
        <f>IF(C982,(H982*N982*IF(AND(Inputs!$B$38&lt;&gt;"pvp",Inputs!$B$43&gt;0),((Skills!G11*((R982-1)*IF(Skills!H11&gt;0,Skills!I11/Skills!H11,1)+IF(Skills!H11&gt;0,MIN(Skills!I11,MAX(0,MAX(0,Inputs!$B$43-B1010)-((R982-1)*IF(Inputs!$B$38="pvp",15,MAX(0.1,Skills!D11-IF(TRUE=TRUE,Inputs!$B$32,0))))))/Skills!H11,1)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Inputs!$B$38&lt;&gt;"pvp",Inputs!$B$43=0),1,IF(IF(Inputs!$B$38="pvp",15,Inputs!$B$43)-(B1010)&lt;=0,1,MAX(0,IF(Inputs!$B$38="pvp",15,Inputs!$B$43)-MAX(5,B1010))/(IF(Inputs!$B$38="pvp",15,Inputs!$B$43)-(B1010)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Skills!I11/Skills!H11,1)+IF(Skills!H11&gt;0,MIN(Skills!I11,MAX(0,MAX(0,Inputs!$B$43-B1010)-((R982-1)*IF(Inputs!$B$38="pvp",15,MAX(0.1,Skills!D11-IF(TRUE=TRUE,Inputs!$B$32,0))))))/Skills!H11,1)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Skills!G12*IF(Skills!H12&gt;0,IF(Inputs!$B$38="pvp",MIN(Skills!I12,15),Skills!I12)/Skills!H12,1)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Skills!G13*IF(Skills!H13&gt;0,IF(Inputs!$B$38="pvp",MIN(Skills!I13,15),Skills!I13)/Skills!H13,1)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Skills!G14*IF(Skills!H14&gt;0,IF(Inputs!$B$38="pvp",MIN(Skills!I14,15),Skills!I14)/Skills!H14,1)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Skills!G15*IF(Skills!H15&gt;0,IF(Inputs!$B$38="pvp",MIN(Skills!I15,15),Skills!I15)/Skills!H15,1)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IFERROR(1/IF(Inputs!$B$38="pvp",15,MAX(0.1,Skills!D15-IF(TRUE=TRUE,Inputs!$B$32,0))),0)</f>
        <v/>
      </c>
      <c r="R986">
        <f>IF(AND(Inputs!$B$38&lt;&gt;"pvp",Inputs!$B$43&gt;0),IF(Inputs!$B$43&lt;=0,0,(INT(Inputs!$B$43/IF(Inputs!$B$38="pvp",15,MAX(0.1,Skills!D15-IF(TRUE=TRUE,Inputs!$B$32,0))))+1)),0)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Skills!G16*IF(Skills!H16&gt;0,IF(Inputs!$B$38="pvp",MIN(Skills!I16,15),Skills!I16)/Skills!H16,1)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IFERROR(1/IF(Inputs!$B$38="pvp",15,MAX(0.1,Skills!D16-IF(TRUE=TRUE,Inputs!$B$32,0))),0)</f>
        <v/>
      </c>
      <c r="R987">
        <f>IF(AND(Inputs!$B$38&lt;&gt;"pvp",Inputs!$B$43&gt;0),IF(Inputs!$B$43&lt;=0,0,(INT(Inputs!$B$43/IF(Inputs!$B$38="pvp",15,MAX(0.1,Skills!D16-IF(TRUE=TRUE,Inputs!$B$32,0))))+1)),0)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Skills!G17*IF(Skills!H17&gt;0,IF(Inputs!$B$38="pvp",MIN(Skills!I17,15),Skills!I17)/Skills!H17,1)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Skills!G18*IF(Skills!H18&gt;0,IF(Inputs!$B$38="pvp",MIN(Skills!I18,15),Skills!I18)/Skills!H18,1)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IFERROR(1/IF(Inputs!$B$38="pvp",15,MAX(0.1,Skills!D18-IF(TRUE=TRUE,Inputs!$B$32,0))),0)</f>
        <v/>
      </c>
      <c r="R989">
        <f>IF(AND(Inputs!$B$38&lt;&gt;"pvp",Inputs!$B$43&gt;0),IF(Inputs!$B$43&lt;=0,0,(INT(Inputs!$B$43/IF(Inputs!$B$38="pvp",15,MAX(0.1,Skills!D18-IF(TRUE=TRUE,Inputs!$B$32,0))))+1)),0)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Skills!G19*IF(Skills!H19&gt;0,IF(Inputs!$B$38="pvp",MIN(Skills!I19,15),Skills!I19)/Skills!H19,1)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Skills!G20*IF(Skills!H20&gt;0,IF(Inputs!$B$38="pvp",MIN(Skills!I20,15),Skills!I20)/Skills!H20,1)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Skills!G21*IF(Skills!H21&gt;0,IF(Inputs!$B$38="pvp",MIN(Skills!I21,15),Skills!I21)/Skills!H21,1)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Skills!G22*IF(Skills!H22&gt;0,IF(Inputs!$B$38="pvp",MIN(Skills!I22,15),Skills!I22)/Skills!H22,1)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Skills!G23*IF(Skills!H23&gt;0,IF(Inputs!$B$38="pvp",MIN(Skills!I23,15),Skills!I23)/Skills!H23,1)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Skills!G24*IF(Skills!H24&gt;0,IF(Inputs!$B$38="pvp",MIN(Skills!I24,15),Skills!I24)/Skills!H24,1)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Skills!G25*IF(Skills!H25&gt;0,IF(Inputs!$B$38="pvp",MIN(Skills!I25,15),Skills!I25)/Skills!H25,1)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Skills!G26*IF(Skills!H26&gt;0,IF(Inputs!$B$38="pvp",MIN(Skills!I26,15),Skills!I26)/Skills!H26,1)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Skills!G27*IF(Skills!H27&gt;0,IF(Inputs!$B$38="pvp",MIN(Skills!I27,15),Skills!I27)/Skills!H27,1)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Skills!G28*IF(Skills!H28&gt;0,IF(Inputs!$B$38="pvp",MIN(Skills!I28,15),Skills!I28)/Skills!H28,1)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Skills!G29*IF(Skills!H29&gt;0,IF(Inputs!$B$38="pvp",MIN(Skills!I29,15),Skills!I29)/Skills!H29,1)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MIN((Skills!T15*(1+Inputs!$B$34/100)),(1/Q986))+MIN((Skills!T15*(1+Inputs!$B$34/100)),MAX(0,Inputs!$B$43-((R986-1)*(1/Q986)))))/Inputs!$B$43),IF(Inputs!$B$38="pvp",MIN((Skills!T15*(1+Inputs!$B$34/100)),15)/15,MIN(1,(Skills!T15*(1+Inputs!$B$34/100))/(1/Q986)))))+((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t="n">
        <v>0</v>
      </c>
    </row>
    <row r="1004">
      <c r="A1004" t="inlineStr">
        <is>
          <t>Attack Speed Buff Bonus %</t>
        </is>
      </c>
      <c r="B1004">
        <f>((C989=TRUE)*F989*IF(AND(Inputs!$B$38&lt;&gt;"pvp",Inputs!$B$43&gt;0),(((R989-1)*MIN((Skills!T18*(1+Inputs!$B$34/100)),(1/Q989))+MIN((Skills!T18*(1+Inputs!$B$34/100)),MAX(0,Inputs!$B$43-((R989-1)*(1/Q989)))))/Inputs!$B$43),IF(Inputs!$B$38="pvp",MIN((Skills!T18*(1+Inputs!$B$34/100)),15)/15,MIN(1,(Skills!T18*(1+Inputs!$B$34/100))/(1/Q989)))))</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MIN((Skills!T16*(1+Inputs!$B$34/100)),(1/Q987))+MIN((Skills!T16*(1+Inputs!$B$34/100)),MAX(0,Inputs!$B$43-((R987-1)*(1/Q987)))))/Inputs!$B$43),IF(Inputs!$B$38="pvp",MIN((Skills!T16*(1+Inputs!$B$34/100)),15)/15,MIN(1,(Skills!T16*(1+Inputs!$B$34/100))/(1/Q987))))</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Skills!G2*IF(Skills!H2&gt;0,IF(Inputs!$B$38="pvp",MIN(Skills!I2,15),Skills!I2)/Skills!H2,1)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Skills!G5*IF(Skills!H5&gt;0,IF(Inputs!$B$38="pvp",MIN(Skills!I5,15),Skills!I5)/Skills!H5,1)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IFERROR(1/IF(Inputs!$B$38="pvp",15,MAX(0.1,Skills!D5-IF(TRUE=TRUE,Inputs!$B$32,0))),0)</f>
        <v/>
      </c>
      <c r="R1021">
        <f>IF(AND(Inputs!$B$38&lt;&gt;"pvp",Inputs!$B$43&gt;0),IF(MAX(0,Inputs!$B$43-B1055)&lt;=0,0,(INT(MAX(0,Inputs!$B$43-B1055)/IF(Inputs!$B$38="pvp",15,MAX(0.1,Skills!D5-IF(TRUE=TRUE,Inputs!$B$32,0))))+1)),0)</f>
        <v/>
      </c>
      <c r="S1021">
        <f>IFERROR((H1021*N1021*IF(AND(Inputs!$B$38&lt;&gt;"pvp",Inputs!$B$43&gt;0),((Skills!G5*((R1021-1)*IF(Skills!H5&gt;0,Skills!I5/Skills!H5,1)+IF(Skills!H5&gt;0,MIN(Skills!I5,MAX(0,MAX(0,Inputs!$B$43-B1055)-((R1021-1)*IF(Inputs!$B$38="pvp",15,MAX(0.1,Skills!D5-IF(TRUE=TRUE,Inputs!$B$32,0))))))/Skills!H5,1)))/Inputs!$B$43),G1021*Q1021))/N1021*IF(Inputs!$B$38="pvp",1,(1-Summary!$B$11)*1+Summary!$B$11*(MIN(Skills!R5,Inputs!$B$37))),0)</f>
        <v/>
      </c>
      <c r="T1021">
        <f>IF(C1021,(H1021*N1021*IF(AND(Inputs!$B$38&lt;&gt;"pvp",Inputs!$B$43&gt;0),((Skills!G5*((R1021-1)*IF(Skills!H5&gt;0,Skills!I5/Skills!H5,1)+IF(Skills!H5&gt;0,MIN(Skills!I5,MAX(0,MAX(0,Inputs!$B$43-B1055)-((R1021-1)*IF(Inputs!$B$38="pvp",15,MAX(0.1,Skills!D5-IF(TRUE=TRUE,Inputs!$B$32,0))))))/Skills!H5,1)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Skills!I5/Skills!H5,1)+IF(Skills!H5&gt;0,MIN(Skills!I5,MAX(0,MAX(0,Inputs!$B$43-B1055)-((R1021-1)*IF(Inputs!$B$38="pvp",15,MAX(0.1,Skills!D5-IF(TRUE=TRUE,Inputs!$B$32,0))))))/Skills!H5,1)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Skills!G6*IF(Skills!H6&gt;0,IF(Inputs!$B$38="pvp",MIN(Skills!I6,15),Skills!I6)/Skills!H6,1)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IFERROR(1/IF(Inputs!$B$38="pvp",15,MAX(0.1,Skills!D6-IF(TRUE=TRUE,Inputs!$B$32,0))),0)</f>
        <v/>
      </c>
      <c r="R1022">
        <f>IF(AND(Inputs!$B$38&lt;&gt;"pvp",Inputs!$B$43&gt;0),IF(MAX(0,Inputs!$B$43-B1055)&lt;=0,0,(INT(MAX(0,Inputs!$B$43-B1055)/IF(Inputs!$B$38="pvp",15,MAX(0.1,Skills!D6-IF(TRUE=TRUE,Inputs!$B$32,0))))+1)),0)</f>
        <v/>
      </c>
      <c r="S1022">
        <f>IFERROR((H1022*N1022*IF(AND(Inputs!$B$38&lt;&gt;"pvp",Inputs!$B$43&gt;0),((Skills!G6*((R1022-1)*IF(Skills!H6&gt;0,Skills!I6/Skills!H6,1)+IF(Skills!H6&gt;0,MIN(Skills!I6,MAX(0,MAX(0,Inputs!$B$43-B1055)-((R1022-1)*IF(Inputs!$B$38="pvp",15,MAX(0.1,Skills!D6-IF(TRUE=TRUE,Inputs!$B$32,0))))))/Skills!H6,1)))/Inputs!$B$43),G1022*Q1022))/N1022*IF(Inputs!$B$38="pvp",1,(1-Summary!$B$11)*1+Summary!$B$11*(MIN(Skills!R6,Inputs!$B$37))),0)</f>
        <v/>
      </c>
      <c r="T1022">
        <f>IF(C1022,(H1022*N1022*IF(AND(Inputs!$B$38&lt;&gt;"pvp",Inputs!$B$43&gt;0),((Skills!G6*((R1022-1)*IF(Skills!H6&gt;0,Skills!I6/Skills!H6,1)+IF(Skills!H6&gt;0,MIN(Skills!I6,MAX(0,MAX(0,Inputs!$B$43-B1055)-((R1022-1)*IF(Inputs!$B$38="pvp",15,MAX(0.1,Skills!D6-IF(TRUE=TRUE,Inputs!$B$32,0)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1055)-((R1022-1)*IF(Inputs!$B$38="pvp",15,MAX(0.1,Skills!D6-IF(TRUE=TRUE,Inputs!$B$32,0))))))/Skills!H6,1)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Skills!G7*IF(Skills!H7&gt;0,IF(Inputs!$B$38="pvp",MIN(Skills!I7,15),Skills!I7)/Skills!H7,1)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IFERROR(1/IF(Inputs!$B$38="pvp",15,MAX(0.1,Skills!D7-IF(TRUE=TRUE,Inputs!$B$32,0))),0)</f>
        <v/>
      </c>
      <c r="R1023">
        <f>IF(AND(Inputs!$B$38&lt;&gt;"pvp",Inputs!$B$43&gt;0),IF(MAX(0,Inputs!$B$43-B1055)&lt;=0,0,(INT(MAX(0,Inputs!$B$43-B1055)/IF(Inputs!$B$38="pvp",15,MAX(0.1,Skills!D7-IF(TRUE=TRUE,Inputs!$B$32,0))))+1)),0)</f>
        <v/>
      </c>
      <c r="S1023">
        <f>IFERROR((H1023*N1023*IF(AND(Inputs!$B$38&lt;&gt;"pvp",Inputs!$B$43&gt;0),((Skills!G7*((R1023-1)*IF(Skills!H7&gt;0,Skills!I7/Skills!H7,1)+IF(Skills!H7&gt;0,MIN(Skills!I7,MAX(0,MAX(0,Inputs!$B$43-B1055)-((R1023-1)*IF(Inputs!$B$38="pvp",15,MAX(0.1,Skills!D7-IF(TRUE=TRUE,Inputs!$B$32,0))))))/Skills!H7,1)))/Inputs!$B$43),G1023*Q1023))/N1023*IF(Inputs!$B$38="pvp",1,(1-Summary!$B$11)*1+Summary!$B$11*(MIN(Skills!R7,Inputs!$B$37))),0)</f>
        <v/>
      </c>
      <c r="T1023">
        <f>IF(C1023,(H1023*N1023*IF(AND(Inputs!$B$38&lt;&gt;"pvp",Inputs!$B$43&gt;0),((Skills!G7*((R1023-1)*IF(Skills!H7&gt;0,Skills!I7/Skills!H7,1)+IF(Skills!H7&gt;0,MIN(Skills!I7,MAX(0,MAX(0,Inputs!$B$43-B1055)-((R1023-1)*IF(Inputs!$B$38="pvp",15,MAX(0.1,Skills!D7-IF(TRUE=TRUE,Inputs!$B$32,0)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1055)-((R1023-1)*IF(Inputs!$B$38="pvp",15,MAX(0.1,Skills!D7-IF(TRUE=TRUE,Inputs!$B$32,0))))))/Skills!H7,1)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Skills!G9*IF(Skills!H9&gt;0,IF(Inputs!$B$38="pvp",MIN(Skills!I9,15),Skills!I9)/Skills!H9,1)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IFERROR(1/IF(Inputs!$B$38="pvp",15,MAX(0.1,Skills!D9-IF(TRUE=TRUE,Inputs!$B$32,0))),0)</f>
        <v/>
      </c>
      <c r="R1025">
        <f>IF(AND(Inputs!$B$38&lt;&gt;"pvp",Inputs!$B$43&gt;0),IF(MAX(0,Inputs!$B$43-B1055)&lt;=0,0,(INT(MAX(0,Inputs!$B$43-B1055)/IF(Inputs!$B$38="pvp",15,MAX(0.1,Skills!D9-IF(TRUE=TRUE,Inputs!$B$32,0))))+1)),0)</f>
        <v/>
      </c>
      <c r="S1025">
        <f>IFERROR((H1025*N1025*IF(AND(Inputs!$B$38&lt;&gt;"pvp",Inputs!$B$43&gt;0),((Skills!G9*((R1025-1)*IF(Skills!H9&gt;0,Skills!I9/Skills!H9,1)+IF(Skills!H9&gt;0,MIN(Skills!I9,MAX(0,MAX(0,Inputs!$B$43-B1055)-((R1025-1)*IF(Inputs!$B$38="pvp",15,MAX(0.1,Skills!D9-IF(TRUE=TRUE,Inputs!$B$32,0))))))/Skills!H9,1)))/Inputs!$B$43),G1025*Q1025))/N1025*IF(Inputs!$B$38="pvp",1,(1-Summary!$B$11)*1+Summary!$B$11*(MIN(Skills!R9,Inputs!$B$37))),0)</f>
        <v/>
      </c>
      <c r="T1025">
        <f>IF(C1025,(H1025*N1025*IF(AND(Inputs!$B$38&lt;&gt;"pvp",Inputs!$B$43&gt;0),((Skills!G9*((R1025-1)*IF(Skills!H9&gt;0,Skills!I9/Skills!H9,1)+IF(Skills!H9&gt;0,MIN(Skills!I9,MAX(0,MAX(0,Inputs!$B$43-B1055)-((R1025-1)*IF(Inputs!$B$38="pvp",15,MAX(0.1,Skills!D9-IF(TRUE=TRUE,Inputs!$B$32,0)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1055)-((R1025-1)*IF(Inputs!$B$38="pvp",15,MAX(0.1,Skills!D9-IF(TRUE=TRUE,Inputs!$B$32,0))))))/Skills!H9,1)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Skills!G10*IF(Skills!H10&gt;0,IF(Inputs!$B$38="pvp",MIN(Skills!I10,15),Skills!I10)/Skills!H10,1)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Skills!G11*IF(Skills!H11&gt;0,IF(Inputs!$B$38="pvp",MIN(Skills!I11,15),Skills!I11)/Skills!H11,1)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IFERROR(1/IF(Inputs!$B$38="pvp",15,MAX(0.1,Skills!D11-IF(TRUE=TRUE,Inputs!$B$32,0))),0)</f>
        <v/>
      </c>
      <c r="R1027">
        <f>IF(AND(Inputs!$B$38&lt;&gt;"pvp",Inputs!$B$43&gt;0),IF(MAX(0,Inputs!$B$43-B1055)&lt;=0,0,(INT(MAX(0,Inputs!$B$43-B1055)/IF(Inputs!$B$38="pvp",15,MAX(0.1,Skills!D11-IF(TRUE=TRUE,Inputs!$B$32,0))))+1)),0)</f>
        <v/>
      </c>
      <c r="S1027">
        <f>IFERROR((H1027*N1027*IF(AND(Inputs!$B$38&lt;&gt;"pvp",Inputs!$B$43&gt;0),((Skills!G11*((R1027-1)*IF(Skills!H11&gt;0,Skills!I11/Skills!H11,1)+IF(Skills!H11&gt;0,MIN(Skills!I11,MAX(0,MAX(0,Inputs!$B$43-B1055)-((R1027-1)*IF(Inputs!$B$38="pvp",15,MAX(0.1,Skills!D11-IF(TRUE=TRUE,Inputs!$B$32,0))))))/Skills!H11,1)))/Inputs!$B$43),G1027*Q1027))/N1027*IF(Inputs!$B$38="pvp",1,(1-Summary!$B$11)*1+Summary!$B$11*(MIN(Skills!R11,Inputs!$B$37))),0)</f>
        <v/>
      </c>
      <c r="T1027">
        <f>IF(C1027,(H1027*N1027*IF(AND(Inputs!$B$38&lt;&gt;"pvp",Inputs!$B$43&gt;0),((Skills!G11*((R1027-1)*IF(Skills!H11&gt;0,Skills!I11/Skills!H11,1)+IF(Skills!H11&gt;0,MIN(Skills!I11,MAX(0,MAX(0,Inputs!$B$43-B1055)-((R1027-1)*IF(Inputs!$B$38="pvp",15,MAX(0.1,Skills!D11-IF(TRUE=TRUE,Inputs!$B$32,0))))))/Skills!H11,1)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Inputs!$B$38&lt;&gt;"pvp",Inputs!$B$43=0),1,IF(IF(Inputs!$B$38="pvp",15,Inputs!$B$43)-(B1055)&lt;=0,1,MAX(0,IF(Inputs!$B$38="pvp",15,Inputs!$B$43)-MAX(5,B1055))/(IF(Inputs!$B$38="pvp",15,Inputs!$B$43)-(B1055))))*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Skills!I11/Skills!H11,1)+IF(Skills!H11&gt;0,MIN(Skills!I11,MAX(0,MAX(0,Inputs!$B$43-B1055)-((R1027-1)*IF(Inputs!$B$38="pvp",15,MAX(0.1,Skills!D11-IF(TRUE=TRUE,Inputs!$B$32,0))))))/Skills!H11,1)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Skills!G12*IF(Skills!H12&gt;0,IF(Inputs!$B$38="pvp",MIN(Skills!I12,15),Skills!I12)/Skills!H12,1)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Skills!G13*IF(Skills!H13&gt;0,IF(Inputs!$B$38="pvp",MIN(Skills!I13,15),Skills!I13)/Skills!H13,1)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Skills!G14*IF(Skills!H14&gt;0,IF(Inputs!$B$38="pvp",MIN(Skills!I14,15),Skills!I14)/Skills!H14,1)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Skills!G15*IF(Skills!H15&gt;0,IF(Inputs!$B$38="pvp",MIN(Skills!I15,15),Skills!I15)/Skills!H15,1)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IFERROR(1/IF(Inputs!$B$38="pvp",15,MAX(0.1,Skills!D15-IF(TRUE=TRUE,Inputs!$B$32,0))),0)</f>
        <v/>
      </c>
      <c r="R1031">
        <f>IF(AND(Inputs!$B$38&lt;&gt;"pvp",Inputs!$B$43&gt;0),IF(Inputs!$B$43&lt;=0,0,(INT(Inputs!$B$43/IF(Inputs!$B$38="pvp",15,MAX(0.1,Skills!D15-IF(TRUE=TRUE,Inputs!$B$32,0))))+1)),0)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Skills!G16*IF(Skills!H16&gt;0,IF(Inputs!$B$38="pvp",MIN(Skills!I16,15),Skills!I16)/Skills!H16,1)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IFERROR(1/IF(Inputs!$B$38="pvp",15,MAX(0.1,Skills!D16-IF(TRUE=TRUE,Inputs!$B$32,0))),0)</f>
        <v/>
      </c>
      <c r="R1032">
        <f>IF(AND(Inputs!$B$38&lt;&gt;"pvp",Inputs!$B$43&gt;0),IF(Inputs!$B$43&lt;=0,0,(INT(Inputs!$B$43/IF(Inputs!$B$38="pvp",15,MAX(0.1,Skills!D16-IF(TRUE=TRUE,Inputs!$B$32,0))))+1)),0)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Skills!G17*IF(Skills!H17&gt;0,IF(Inputs!$B$38="pvp",MIN(Skills!I17,15),Skills!I17)/Skills!H17,1)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Skills!G18*IF(Skills!H18&gt;0,IF(Inputs!$B$38="pvp",MIN(Skills!I18,15),Skills!I18)/Skills!H18,1)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IFERROR(1/IF(Inputs!$B$38="pvp",15,MAX(0.1,Skills!D18-IF(TRUE=TRUE,Inputs!$B$32,0))),0)</f>
        <v/>
      </c>
      <c r="R1034">
        <f>IF(AND(Inputs!$B$38&lt;&gt;"pvp",Inputs!$B$43&gt;0),IF(Inputs!$B$43&lt;=0,0,(INT(Inputs!$B$43/IF(Inputs!$B$38="pvp",15,MAX(0.1,Skills!D18-IF(TRUE=TRUE,Inputs!$B$32,0))))+1)),0)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Skills!G19*IF(Skills!H19&gt;0,IF(Inputs!$B$38="pvp",MIN(Skills!I19,15),Skills!I19)/Skills!H19,1)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Skills!G20*IF(Skills!H20&gt;0,IF(Inputs!$B$38="pvp",MIN(Skills!I20,15),Skills!I20)/Skills!H20,1)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Skills!G21*IF(Skills!H21&gt;0,IF(Inputs!$B$38="pvp",MIN(Skills!I21,15),Skills!I21)/Skills!H21,1)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Skills!G22*IF(Skills!H22&gt;0,IF(Inputs!$B$38="pvp",MIN(Skills!I22,15),Skills!I22)/Skills!H22,1)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Skills!G23*IF(Skills!H23&gt;0,IF(Inputs!$B$38="pvp",MIN(Skills!I23,15),Skills!I23)/Skills!H23,1)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Skills!G24*IF(Skills!H24&gt;0,IF(Inputs!$B$38="pvp",MIN(Skills!I24,15),Skills!I24)/Skills!H24,1)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Skills!G25*IF(Skills!H25&gt;0,IF(Inputs!$B$38="pvp",MIN(Skills!I25,15),Skills!I25)/Skills!H25,1)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Skills!G26*IF(Skills!H26&gt;0,IF(Inputs!$B$38="pvp",MIN(Skills!I26,15),Skills!I26)/Skills!H26,1)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Skills!G27*IF(Skills!H27&gt;0,IF(Inputs!$B$38="pvp",MIN(Skills!I27,15),Skills!I27)/Skills!H27,1)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Skills!G28*IF(Skills!H28&gt;0,IF(Inputs!$B$38="pvp",MIN(Skills!I28,15),Skills!I28)/Skills!H28,1)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Skills!G29*IF(Skills!H29&gt;0,IF(Inputs!$B$38="pvp",MIN(Skills!I29,15),Skills!I29)/Skills!H29,1)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MIN((Skills!T15*(1+Inputs!$B$34/100)),(1/Q1031))+MIN((Skills!T15*(1+Inputs!$B$34/100)),MAX(0,Inputs!$B$43-((R1031-1)*(1/Q1031)))))/Inputs!$B$43),IF(Inputs!$B$38="pvp",MIN((Skills!T15*(1+Inputs!$B$34/100)),15)/15,MIN(1,(Skills!T15*(1+Inputs!$B$34/100))/(1/Q1031)))))+((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t="n">
        <v>0</v>
      </c>
    </row>
    <row r="1049">
      <c r="A1049" t="inlineStr">
        <is>
          <t>Attack Speed Buff Bonus %</t>
        </is>
      </c>
      <c r="B1049">
        <f>((C1034=TRUE)*F1034*IF(AND(Inputs!$B$38&lt;&gt;"pvp",Inputs!$B$43&gt;0),(((R1034-1)*MIN((Skills!T18*(1+Inputs!$B$34/100)),(1/Q1034))+MIN((Skills!T18*(1+Inputs!$B$34/100)),MAX(0,Inputs!$B$43-((R1034-1)*(1/Q1034)))))/Inputs!$B$43),IF(Inputs!$B$38="pvp",MIN((Skills!T18*(1+Inputs!$B$34/100)),15)/15,MIN(1,(Skills!T18*(1+Inputs!$B$34/100))/(1/Q1034)))))</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MIN((Skills!T16*(1+Inputs!$B$34/100)),(1/Q1032))+MIN((Skills!T16*(1+Inputs!$B$34/100)),MAX(0,Inputs!$B$43-((R1032-1)*(1/Q1032)))))/Inputs!$B$43),IF(Inputs!$B$38="pvp",MIN((Skills!T16*(1+Inputs!$B$34/100)),15)/15,MIN(1,(Skills!T16*(1+Inputs!$B$34/100))/(1/Q1032))))</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Skills!G2*IF(Skills!H2&gt;0,IF(Inputs!$B$38="pvp",MIN(Skills!I2,15),Skills!I2)/Skills!H2,1)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Skills!G5*IF(Skills!H5&gt;0,IF(Inputs!$B$38="pvp",MIN(Skills!I5,15),Skills!I5)/Skills!H5,1)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IFERROR(1/IF(Inputs!$B$38="pvp",15,MAX(0.1,Skills!D5-IF(TRUE=TRUE,Inputs!$B$32,0))),0)</f>
        <v/>
      </c>
      <c r="R1066">
        <f>IF(AND(Inputs!$B$38&lt;&gt;"pvp",Inputs!$B$43&gt;0),IF(MAX(0,Inputs!$B$43-B1100)&lt;=0,0,(INT(MAX(0,Inputs!$B$43-B1100)/IF(Inputs!$B$38="pvp",15,MAX(0.1,Skills!D5-IF(TRUE=TRUE,Inputs!$B$32,0))))+1)),0)</f>
        <v/>
      </c>
      <c r="S1066">
        <f>IFERROR((H1066*N1066*IF(AND(Inputs!$B$38&lt;&gt;"pvp",Inputs!$B$43&gt;0),((Skills!G5*((R1066-1)*IF(Skills!H5&gt;0,Skills!I5/Skills!H5,1)+IF(Skills!H5&gt;0,MIN(Skills!I5,MAX(0,MAX(0,Inputs!$B$43-B1100)-((R1066-1)*IF(Inputs!$B$38="pvp",15,MAX(0.1,Skills!D5-IF(TRUE=TRUE,Inputs!$B$32,0))))))/Skills!H5,1)))/Inputs!$B$43),G1066*Q1066))/N1066*IF(Inputs!$B$38="pvp",1,(1-Summary!$B$11)*1+Summary!$B$11*(MIN(Skills!R5,Inputs!$B$37))),0)</f>
        <v/>
      </c>
      <c r="T1066">
        <f>IF(C1066,(H1066*N1066*IF(AND(Inputs!$B$38&lt;&gt;"pvp",Inputs!$B$43&gt;0),((Skills!G5*((R1066-1)*IF(Skills!H5&gt;0,Skills!I5/Skills!H5,1)+IF(Skills!H5&gt;0,MIN(Skills!I5,MAX(0,MAX(0,Inputs!$B$43-B1100)-((R1066-1)*IF(Inputs!$B$38="pvp",15,MAX(0.1,Skills!D5-IF(TRUE=TRUE,Inputs!$B$32,0))))))/Skills!H5,1)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Skills!I5/Skills!H5,1)+IF(Skills!H5&gt;0,MIN(Skills!I5,MAX(0,MAX(0,Inputs!$B$43-B1100)-((R1066-1)*IF(Inputs!$B$38="pvp",15,MAX(0.1,Skills!D5-IF(TRUE=TRUE,Inputs!$B$32,0))))))/Skills!H5,1)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Skills!G6*IF(Skills!H6&gt;0,IF(Inputs!$B$38="pvp",MIN(Skills!I6,15),Skills!I6)/Skills!H6,1)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IFERROR(1/IF(Inputs!$B$38="pvp",15,MAX(0.1,Skills!D6-IF(TRUE=TRUE,Inputs!$B$32,0))),0)</f>
        <v/>
      </c>
      <c r="R1067">
        <f>IF(AND(Inputs!$B$38&lt;&gt;"pvp",Inputs!$B$43&gt;0),IF(MAX(0,Inputs!$B$43-B1100)&lt;=0,0,(INT(MAX(0,Inputs!$B$43-B1100)/IF(Inputs!$B$38="pvp",15,MAX(0.1,Skills!D6-IF(TRUE=TRUE,Inputs!$B$32,0))))+1)),0)</f>
        <v/>
      </c>
      <c r="S1067">
        <f>IFERROR((H1067*N1067*IF(AND(Inputs!$B$38&lt;&gt;"pvp",Inputs!$B$43&gt;0),((Skills!G6*((R1067-1)*IF(Skills!H6&gt;0,Skills!I6/Skills!H6,1)+IF(Skills!H6&gt;0,MIN(Skills!I6,MAX(0,MAX(0,Inputs!$B$43-B1100)-((R1067-1)*IF(Inputs!$B$38="pvp",15,MAX(0.1,Skills!D6-IF(TRUE=TRUE,Inputs!$B$32,0))))))/Skills!H6,1)))/Inputs!$B$43),G1067*Q1067))/N1067*IF(Inputs!$B$38="pvp",1,(1-Summary!$B$11)*1+Summary!$B$11*(MIN(Skills!R6,Inputs!$B$37))),0)</f>
        <v/>
      </c>
      <c r="T1067">
        <f>IF(C1067,(H1067*N1067*IF(AND(Inputs!$B$38&lt;&gt;"pvp",Inputs!$B$43&gt;0),((Skills!G6*((R1067-1)*IF(Skills!H6&gt;0,Skills!I6/Skills!H6,1)+IF(Skills!H6&gt;0,MIN(Skills!I6,MAX(0,MAX(0,Inputs!$B$43-B1100)-((R1067-1)*IF(Inputs!$B$38="pvp",15,MAX(0.1,Skills!D6-IF(TRUE=TRUE,Inputs!$B$32,0)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1100)-((R1067-1)*IF(Inputs!$B$38="pvp",15,MAX(0.1,Skills!D6-IF(TRUE=TRUE,Inputs!$B$32,0))))))/Skills!H6,1)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Skills!G7*IF(Skills!H7&gt;0,IF(Inputs!$B$38="pvp",MIN(Skills!I7,15),Skills!I7)/Skills!H7,1)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IFERROR(1/IF(Inputs!$B$38="pvp",15,MAX(0.1,Skills!D7-IF(TRUE=TRUE,Inputs!$B$32,0))),0)</f>
        <v/>
      </c>
      <c r="R1068">
        <f>IF(AND(Inputs!$B$38&lt;&gt;"pvp",Inputs!$B$43&gt;0),IF(MAX(0,Inputs!$B$43-B1100)&lt;=0,0,(INT(MAX(0,Inputs!$B$43-B1100)/IF(Inputs!$B$38="pvp",15,MAX(0.1,Skills!D7-IF(TRUE=TRUE,Inputs!$B$32,0))))+1)),0)</f>
        <v/>
      </c>
      <c r="S1068">
        <f>IFERROR((H1068*N1068*IF(AND(Inputs!$B$38&lt;&gt;"pvp",Inputs!$B$43&gt;0),((Skills!G7*((R1068-1)*IF(Skills!H7&gt;0,Skills!I7/Skills!H7,1)+IF(Skills!H7&gt;0,MIN(Skills!I7,MAX(0,MAX(0,Inputs!$B$43-B1100)-((R1068-1)*IF(Inputs!$B$38="pvp",15,MAX(0.1,Skills!D7-IF(TRUE=TRUE,Inputs!$B$32,0))))))/Skills!H7,1)))/Inputs!$B$43),G1068*Q1068))/N1068*IF(Inputs!$B$38="pvp",1,(1-Summary!$B$11)*1+Summary!$B$11*(MIN(Skills!R7,Inputs!$B$37))),0)</f>
        <v/>
      </c>
      <c r="T1068">
        <f>IF(C1068,(H1068*N1068*IF(AND(Inputs!$B$38&lt;&gt;"pvp",Inputs!$B$43&gt;0),((Skills!G7*((R1068-1)*IF(Skills!H7&gt;0,Skills!I7/Skills!H7,1)+IF(Skills!H7&gt;0,MIN(Skills!I7,MAX(0,MAX(0,Inputs!$B$43-B1100)-((R1068-1)*IF(Inputs!$B$38="pvp",15,MAX(0.1,Skills!D7-IF(TRUE=TRUE,Inputs!$B$32,0)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1100)-((R1068-1)*IF(Inputs!$B$38="pvp",15,MAX(0.1,Skills!D7-IF(TRUE=TRUE,Inputs!$B$32,0))))))/Skills!H7,1)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Skills!G9*IF(Skills!H9&gt;0,IF(Inputs!$B$38="pvp",MIN(Skills!I9,15),Skills!I9)/Skills!H9,1)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IFERROR(1/IF(Inputs!$B$38="pvp",15,MAX(0.1,Skills!D9-IF(TRUE=TRUE,Inputs!$B$32,0))),0)</f>
        <v/>
      </c>
      <c r="R1070">
        <f>IF(AND(Inputs!$B$38&lt;&gt;"pvp",Inputs!$B$43&gt;0),IF(MAX(0,Inputs!$B$43-B1100)&lt;=0,0,(INT(MAX(0,Inputs!$B$43-B1100)/IF(Inputs!$B$38="pvp",15,MAX(0.1,Skills!D9-IF(TRUE=TRUE,Inputs!$B$32,0))))+1)),0)</f>
        <v/>
      </c>
      <c r="S1070">
        <f>IFERROR((H1070*N1070*IF(AND(Inputs!$B$38&lt;&gt;"pvp",Inputs!$B$43&gt;0),((Skills!G9*((R1070-1)*IF(Skills!H9&gt;0,Skills!I9/Skills!H9,1)+IF(Skills!H9&gt;0,MIN(Skills!I9,MAX(0,MAX(0,Inputs!$B$43-B1100)-((R1070-1)*IF(Inputs!$B$38="pvp",15,MAX(0.1,Skills!D9-IF(TRUE=TRUE,Inputs!$B$32,0))))))/Skills!H9,1)))/Inputs!$B$43),G1070*Q1070))/N1070*IF(Inputs!$B$38="pvp",1,(1-Summary!$B$11)*1+Summary!$B$11*(MIN(Skills!R9,Inputs!$B$37))),0)</f>
        <v/>
      </c>
      <c r="T1070">
        <f>IF(C1070,(H1070*N1070*IF(AND(Inputs!$B$38&lt;&gt;"pvp",Inputs!$B$43&gt;0),((Skills!G9*((R1070-1)*IF(Skills!H9&gt;0,Skills!I9/Skills!H9,1)+IF(Skills!H9&gt;0,MIN(Skills!I9,MAX(0,MAX(0,Inputs!$B$43-B1100)-((R1070-1)*IF(Inputs!$B$38="pvp",15,MAX(0.1,Skills!D9-IF(TRUE=TRUE,Inputs!$B$32,0)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1100)-((R1070-1)*IF(Inputs!$B$38="pvp",15,MAX(0.1,Skills!D9-IF(TRUE=TRUE,Inputs!$B$32,0))))))/Skills!H9,1)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Skills!G10*IF(Skills!H10&gt;0,IF(Inputs!$B$38="pvp",MIN(Skills!I10,15),Skills!I10)/Skills!H10,1)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Skills!G11*IF(Skills!H11&gt;0,IF(Inputs!$B$38="pvp",MIN(Skills!I11,15),Skills!I11)/Skills!H11,1)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IFERROR(1/IF(Inputs!$B$38="pvp",15,MAX(0.1,Skills!D11-IF(TRUE=TRUE,Inputs!$B$32,0))),0)</f>
        <v/>
      </c>
      <c r="R1072">
        <f>IF(AND(Inputs!$B$38&lt;&gt;"pvp",Inputs!$B$43&gt;0),IF(MAX(0,Inputs!$B$43-B1100)&lt;=0,0,(INT(MAX(0,Inputs!$B$43-B1100)/IF(Inputs!$B$38="pvp",15,MAX(0.1,Skills!D11-IF(TRUE=TRUE,Inputs!$B$32,0))))+1)),0)</f>
        <v/>
      </c>
      <c r="S1072">
        <f>IFERROR((H1072*N1072*IF(AND(Inputs!$B$38&lt;&gt;"pvp",Inputs!$B$43&gt;0),((Skills!G11*((R1072-1)*IF(Skills!H11&gt;0,Skills!I11/Skills!H11,1)+IF(Skills!H11&gt;0,MIN(Skills!I11,MAX(0,MAX(0,Inputs!$B$43-B1100)-((R1072-1)*IF(Inputs!$B$38="pvp",15,MAX(0.1,Skills!D11-IF(TRUE=TRUE,Inputs!$B$32,0))))))/Skills!H11,1)))/Inputs!$B$43),G1072*Q1072))/N1072*IF(Inputs!$B$38="pvp",1,(1-Summary!$B$11)*1+Summary!$B$11*(MIN(Skills!R11,Inputs!$B$37))),0)</f>
        <v/>
      </c>
      <c r="T1072">
        <f>IF(C1072,(H1072*N1072*IF(AND(Inputs!$B$38&lt;&gt;"pvp",Inputs!$B$43&gt;0),((Skills!G11*((R1072-1)*IF(Skills!H11&gt;0,Skills!I11/Skills!H11,1)+IF(Skills!H11&gt;0,MIN(Skills!I11,MAX(0,MAX(0,Inputs!$B$43-B1100)-((R1072-1)*IF(Inputs!$B$38="pvp",15,MAX(0.1,Skills!D11-IF(TRUE=TRUE,Inputs!$B$32,0))))))/Skills!H11,1)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Inputs!$B$38&lt;&gt;"pvp",Inputs!$B$43=0),1,IF(IF(Inputs!$B$38="pvp",15,Inputs!$B$43)-(B1100)&lt;=0,1,MAX(0,IF(Inputs!$B$38="pvp",15,Inputs!$B$43)-MAX(5,B1100))/(IF(Inputs!$B$38="pvp",15,Inputs!$B$43)-(B1100)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Skills!I11/Skills!H11,1)+IF(Skills!H11&gt;0,MIN(Skills!I11,MAX(0,MAX(0,Inputs!$B$43-B1100)-((R1072-1)*IF(Inputs!$B$38="pvp",15,MAX(0.1,Skills!D11-IF(TRUE=TRUE,Inputs!$B$32,0))))))/Skills!H11,1)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Skills!G12*IF(Skills!H12&gt;0,IF(Inputs!$B$38="pvp",MIN(Skills!I12,15),Skills!I12)/Skills!H12,1)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Skills!G13*IF(Skills!H13&gt;0,IF(Inputs!$B$38="pvp",MIN(Skills!I13,15),Skills!I13)/Skills!H13,1)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Skills!G14*IF(Skills!H14&gt;0,IF(Inputs!$B$38="pvp",MIN(Skills!I14,15),Skills!I14)/Skills!H14,1)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Skills!G15*IF(Skills!H15&gt;0,IF(Inputs!$B$38="pvp",MIN(Skills!I15,15),Skills!I15)/Skills!H15,1)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IFERROR(1/IF(Inputs!$B$38="pvp",15,MAX(0.1,Skills!D15-IF(TRUE=TRUE,Inputs!$B$32,0))),0)</f>
        <v/>
      </c>
      <c r="R1076">
        <f>IF(AND(Inputs!$B$38&lt;&gt;"pvp",Inputs!$B$43&gt;0),IF(Inputs!$B$43&lt;=0,0,(INT(Inputs!$B$43/IF(Inputs!$B$38="pvp",15,MAX(0.1,Skills!D15-IF(TRUE=TRUE,Inputs!$B$32,0))))+1)),0)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Skills!G16*IF(Skills!H16&gt;0,IF(Inputs!$B$38="pvp",MIN(Skills!I16,15),Skills!I16)/Skills!H16,1)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IFERROR(1/IF(Inputs!$B$38="pvp",15,MAX(0.1,Skills!D16-IF(TRUE=TRUE,Inputs!$B$32,0))),0)</f>
        <v/>
      </c>
      <c r="R1077">
        <f>IF(AND(Inputs!$B$38&lt;&gt;"pvp",Inputs!$B$43&gt;0),IF(Inputs!$B$43&lt;=0,0,(INT(Inputs!$B$43/IF(Inputs!$B$38="pvp",15,MAX(0.1,Skills!D16-IF(TRUE=TRUE,Inputs!$B$32,0))))+1)),0)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Skills!G17*IF(Skills!H17&gt;0,IF(Inputs!$B$38="pvp",MIN(Skills!I17,15),Skills!I17)/Skills!H17,1)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Skills!G18*IF(Skills!H18&gt;0,IF(Inputs!$B$38="pvp",MIN(Skills!I18,15),Skills!I18)/Skills!H18,1)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IFERROR(1/IF(Inputs!$B$38="pvp",15,MAX(0.1,Skills!D18-IF(TRUE=TRUE,Inputs!$B$32,0))),0)</f>
        <v/>
      </c>
      <c r="R1079">
        <f>IF(AND(Inputs!$B$38&lt;&gt;"pvp",Inputs!$B$43&gt;0),IF(Inputs!$B$43&lt;=0,0,(INT(Inputs!$B$43/IF(Inputs!$B$38="pvp",15,MAX(0.1,Skills!D18-IF(TRUE=TRUE,Inputs!$B$32,0))))+1)),0)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Skills!G19*IF(Skills!H19&gt;0,IF(Inputs!$B$38="pvp",MIN(Skills!I19,15),Skills!I19)/Skills!H19,1)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Skills!G20*IF(Skills!H20&gt;0,IF(Inputs!$B$38="pvp",MIN(Skills!I20,15),Skills!I20)/Skills!H20,1)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Skills!G21*IF(Skills!H21&gt;0,IF(Inputs!$B$38="pvp",MIN(Skills!I21,15),Skills!I21)/Skills!H21,1)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Skills!G22*IF(Skills!H22&gt;0,IF(Inputs!$B$38="pvp",MIN(Skills!I22,15),Skills!I22)/Skills!H22,1)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Skills!G23*IF(Skills!H23&gt;0,IF(Inputs!$B$38="pvp",MIN(Skills!I23,15),Skills!I23)/Skills!H23,1)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Skills!G24*IF(Skills!H24&gt;0,IF(Inputs!$B$38="pvp",MIN(Skills!I24,15),Skills!I24)/Skills!H24,1)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Skills!G25*IF(Skills!H25&gt;0,IF(Inputs!$B$38="pvp",MIN(Skills!I25,15),Skills!I25)/Skills!H25,1)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Skills!G26*IF(Skills!H26&gt;0,IF(Inputs!$B$38="pvp",MIN(Skills!I26,15),Skills!I26)/Skills!H26,1)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Skills!G27*IF(Skills!H27&gt;0,IF(Inputs!$B$38="pvp",MIN(Skills!I27,15),Skills!I27)/Skills!H27,1)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Skills!G28*IF(Skills!H28&gt;0,IF(Inputs!$B$38="pvp",MIN(Skills!I28,15),Skills!I28)/Skills!H28,1)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Skills!G29*IF(Skills!H29&gt;0,IF(Inputs!$B$38="pvp",MIN(Skills!I29,15),Skills!I29)/Skills!H29,1)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MIN((Skills!T15*(1+Inputs!$B$34/100)),(1/Q1076))+MIN((Skills!T15*(1+Inputs!$B$34/100)),MAX(0,Inputs!$B$43-((R1076-1)*(1/Q1076)))))/Inputs!$B$43),IF(Inputs!$B$38="pvp",MIN((Skills!T15*(1+Inputs!$B$34/100)),15)/15,MIN(1,(Skills!T15*(1+Inputs!$B$34/100))/(1/Q1076)))))+((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t="n">
        <v>0</v>
      </c>
    </row>
    <row r="1094">
      <c r="A1094" t="inlineStr">
        <is>
          <t>Attack Speed Buff Bonus %</t>
        </is>
      </c>
      <c r="B1094">
        <f>((C1079=TRUE)*F1079*IF(AND(Inputs!$B$38&lt;&gt;"pvp",Inputs!$B$43&gt;0),(((R1079-1)*MIN((Skills!T18*(1+Inputs!$B$34/100)),(1/Q1079))+MIN((Skills!T18*(1+Inputs!$B$34/100)),MAX(0,Inputs!$B$43-((R1079-1)*(1/Q1079)))))/Inputs!$B$43),IF(Inputs!$B$38="pvp",MIN((Skills!T18*(1+Inputs!$B$34/100)),15)/15,MIN(1,(Skills!T18*(1+Inputs!$B$34/100))/(1/Q1079)))))</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MIN((Skills!T16*(1+Inputs!$B$34/100)),(1/Q1077))+MIN((Skills!T16*(1+Inputs!$B$34/100)),MAX(0,Inputs!$B$43-((R1077-1)*(1/Q1077)))))/Inputs!$B$43),IF(Inputs!$B$38="pvp",MIN((Skills!T16*(1+Inputs!$B$34/100)),15)/15,MIN(1,(Skills!T16*(1+Inputs!$B$34/100))/(1/Q1077))))</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Skills!G2*IF(Skills!H2&gt;0,IF(Inputs!$B$38="pvp",MIN(Skills!I2,15),Skills!I2)/Skills!H2,1)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Skills!G5*IF(Skills!H5&gt;0,IF(Inputs!$B$38="pvp",MIN(Skills!I5,15),Skills!I5)/Skills!H5,1)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IFERROR(1/IF(Inputs!$B$38="pvp",15,MAX(0.1,Skills!D5-IF(TRUE=TRUE,(Inputs!$B$32+1),0))),0)</f>
        <v/>
      </c>
      <c r="R1111">
        <f>IF(AND(Inputs!$B$38&lt;&gt;"pvp",Inputs!$B$43&gt;0),IF(MAX(0,Inputs!$B$43-B1145)&lt;=0,0,(INT(MAX(0,Inputs!$B$43-B1145)/IF(Inputs!$B$38="pvp",15,MAX(0.1,Skills!D5-IF(TRUE=TRUE,(Inputs!$B$32+1),0))))+1)),0)</f>
        <v/>
      </c>
      <c r="S1111">
        <f>IFERROR((H1111*N1111*IF(AND(Inputs!$B$38&lt;&gt;"pvp",Inputs!$B$43&gt;0),((Skills!G5*((R1111-1)*IF(Skills!H5&gt;0,Skills!I5/Skills!H5,1)+IF(Skills!H5&gt;0,MIN(Skills!I5,MAX(0,MAX(0,Inputs!$B$43-B1145)-((R1111-1)*IF(Inputs!$B$38="pvp",15,MAX(0.1,Skills!D5-IF(TRUE=TRUE,(Inputs!$B$32+1),0))))))/Skills!H5,1)))/Inputs!$B$43),G1111*Q1111))/N1111*IF(Inputs!$B$38="pvp",1,(1-Summary!$B$11)*1+Summary!$B$11*(MIN(Skills!R5,Inputs!$B$37))),0)</f>
        <v/>
      </c>
      <c r="T1111">
        <f>IF(C1111,(H1111*N1111*IF(AND(Inputs!$B$38&lt;&gt;"pvp",Inputs!$B$43&gt;0),((Skills!G5*((R1111-1)*IF(Skills!H5&gt;0,Skills!I5/Skills!H5,1)+IF(Skills!H5&gt;0,MIN(Skills!I5,MAX(0,MAX(0,Inputs!$B$43-B1145)-((R1111-1)*IF(Inputs!$B$38="pvp",15,MAX(0.1,Skills!D5-IF(TRUE=TRUE,(Inputs!$B$32+1),0))))))/Skills!H5,1)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Skills!I5/Skills!H5,1)+IF(Skills!H5&gt;0,MIN(Skills!I5,MAX(0,MAX(0,Inputs!$B$43-B1145)-((R1111-1)*IF(Inputs!$B$38="pvp",15,MAX(0.1,Skills!D5-IF(TRUE=TRUE,(Inputs!$B$32+1),0))))))/Skills!H5,1)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Skills!G6*IF(Skills!H6&gt;0,IF(Inputs!$B$38="pvp",MIN(Skills!I6,15),Skills!I6)/Skills!H6,1)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IFERROR(1/IF(Inputs!$B$38="pvp",15,MAX(0.1,Skills!D6-IF(TRUE=TRUE,(Inputs!$B$32+1),0))),0)</f>
        <v/>
      </c>
      <c r="R1112">
        <f>IF(AND(Inputs!$B$38&lt;&gt;"pvp",Inputs!$B$43&gt;0),IF(MAX(0,Inputs!$B$43-B1145)&lt;=0,0,(INT(MAX(0,Inputs!$B$43-B1145)/IF(Inputs!$B$38="pvp",15,MAX(0.1,Skills!D6-IF(TRUE=TRUE,(Inputs!$B$32+1),0))))+1)),0)</f>
        <v/>
      </c>
      <c r="S1112">
        <f>IFERROR((H1112*N1112*IF(AND(Inputs!$B$38&lt;&gt;"pvp",Inputs!$B$43&gt;0),((Skills!G6*((R1112-1)*IF(Skills!H6&gt;0,Skills!I6/Skills!H6,1)+IF(Skills!H6&gt;0,MIN(Skills!I6,MAX(0,MAX(0,Inputs!$B$43-B1145)-((R1112-1)*IF(Inputs!$B$38="pvp",15,MAX(0.1,Skills!D6-IF(TRUE=TRUE,(Inputs!$B$32+1),0))))))/Skills!H6,1)))/Inputs!$B$43),G1112*Q1112))/N1112*IF(Inputs!$B$38="pvp",1,(1-Summary!$B$11)*1+Summary!$B$11*(MIN(Skills!R6,Inputs!$B$37))),0)</f>
        <v/>
      </c>
      <c r="T1112">
        <f>IF(C1112,(H1112*N1112*IF(AND(Inputs!$B$38&lt;&gt;"pvp",Inputs!$B$43&gt;0),((Skills!G6*((R1112-1)*IF(Skills!H6&gt;0,Skills!I6/Skills!H6,1)+IF(Skills!H6&gt;0,MIN(Skills!I6,MAX(0,MAX(0,Inputs!$B$43-B1145)-((R1112-1)*IF(Inputs!$B$38="pvp",15,MAX(0.1,Skills!D6-IF(TRUE=TRUE,(Inputs!$B$32+1),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1145)-((R1112-1)*IF(Inputs!$B$38="pvp",15,MAX(0.1,Skills!D6-IF(TRUE=TRUE,(Inputs!$B$32+1),0))))))/Skills!H6,1)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Skills!G7*IF(Skills!H7&gt;0,IF(Inputs!$B$38="pvp",MIN(Skills!I7,15),Skills!I7)/Skills!H7,1)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IFERROR(1/IF(Inputs!$B$38="pvp",15,MAX(0.1,Skills!D7-IF(TRUE=TRUE,(Inputs!$B$32+1),0))),0)</f>
        <v/>
      </c>
      <c r="R1113">
        <f>IF(AND(Inputs!$B$38&lt;&gt;"pvp",Inputs!$B$43&gt;0),IF(MAX(0,Inputs!$B$43-B1145)&lt;=0,0,(INT(MAX(0,Inputs!$B$43-B1145)/IF(Inputs!$B$38="pvp",15,MAX(0.1,Skills!D7-IF(TRUE=TRUE,(Inputs!$B$32+1),0))))+1)),0)</f>
        <v/>
      </c>
      <c r="S1113">
        <f>IFERROR((H1113*N1113*IF(AND(Inputs!$B$38&lt;&gt;"pvp",Inputs!$B$43&gt;0),((Skills!G7*((R1113-1)*IF(Skills!H7&gt;0,Skills!I7/Skills!H7,1)+IF(Skills!H7&gt;0,MIN(Skills!I7,MAX(0,MAX(0,Inputs!$B$43-B1145)-((R1113-1)*IF(Inputs!$B$38="pvp",15,MAX(0.1,Skills!D7-IF(TRUE=TRUE,(Inputs!$B$32+1),0))))))/Skills!H7,1)))/Inputs!$B$43),G1113*Q1113))/N1113*IF(Inputs!$B$38="pvp",1,(1-Summary!$B$11)*1+Summary!$B$11*(MIN(Skills!R7,Inputs!$B$37))),0)</f>
        <v/>
      </c>
      <c r="T1113">
        <f>IF(C1113,(H1113*N1113*IF(AND(Inputs!$B$38&lt;&gt;"pvp",Inputs!$B$43&gt;0),((Skills!G7*((R1113-1)*IF(Skills!H7&gt;0,Skills!I7/Skills!H7,1)+IF(Skills!H7&gt;0,MIN(Skills!I7,MAX(0,MAX(0,Inputs!$B$43-B1145)-((R1113-1)*IF(Inputs!$B$38="pvp",15,MAX(0.1,Skills!D7-IF(TRUE=TRUE,(Inputs!$B$32+1),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1145)-((R1113-1)*IF(Inputs!$B$38="pvp",15,MAX(0.1,Skills!D7-IF(TRUE=TRUE,(Inputs!$B$32+1),0))))))/Skills!H7,1)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Skills!G9*IF(Skills!H9&gt;0,IF(Inputs!$B$38="pvp",MIN(Skills!I9,15),Skills!I9)/Skills!H9,1)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IFERROR(1/IF(Inputs!$B$38="pvp",15,MAX(0.1,Skills!D9-IF(TRUE=TRUE,(Inputs!$B$32+1),0))),0)</f>
        <v/>
      </c>
      <c r="R1115">
        <f>IF(AND(Inputs!$B$38&lt;&gt;"pvp",Inputs!$B$43&gt;0),IF(MAX(0,Inputs!$B$43-B1145)&lt;=0,0,(INT(MAX(0,Inputs!$B$43-B1145)/IF(Inputs!$B$38="pvp",15,MAX(0.1,Skills!D9-IF(TRUE=TRUE,(Inputs!$B$32+1),0))))+1)),0)</f>
        <v/>
      </c>
      <c r="S1115">
        <f>IFERROR((H1115*N1115*IF(AND(Inputs!$B$38&lt;&gt;"pvp",Inputs!$B$43&gt;0),((Skills!G9*((R1115-1)*IF(Skills!H9&gt;0,Skills!I9/Skills!H9,1)+IF(Skills!H9&gt;0,MIN(Skills!I9,MAX(0,MAX(0,Inputs!$B$43-B1145)-((R1115-1)*IF(Inputs!$B$38="pvp",15,MAX(0.1,Skills!D9-IF(TRUE=TRUE,(Inputs!$B$32+1),0))))))/Skills!H9,1)))/Inputs!$B$43),G1115*Q1115))/N1115*IF(Inputs!$B$38="pvp",1,(1-Summary!$B$11)*1+Summary!$B$11*(MIN(Skills!R9,Inputs!$B$37))),0)</f>
        <v/>
      </c>
      <c r="T1115">
        <f>IF(C1115,(H1115*N1115*IF(AND(Inputs!$B$38&lt;&gt;"pvp",Inputs!$B$43&gt;0),((Skills!G9*((R1115-1)*IF(Skills!H9&gt;0,Skills!I9/Skills!H9,1)+IF(Skills!H9&gt;0,MIN(Skills!I9,MAX(0,MAX(0,Inputs!$B$43-B1145)-((R1115-1)*IF(Inputs!$B$38="pvp",15,MAX(0.1,Skills!D9-IF(TRUE=TRUE,(Inputs!$B$32+1),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1145)-((R1115-1)*IF(Inputs!$B$38="pvp",15,MAX(0.1,Skills!D9-IF(TRUE=TRUE,(Inputs!$B$32+1),0))))))/Skills!H9,1)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Skills!G10*IF(Skills!H10&gt;0,IF(Inputs!$B$38="pvp",MIN(Skills!I10,15),Skills!I10)/Skills!H10,1)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Skills!G11*IF(Skills!H11&gt;0,IF(Inputs!$B$38="pvp",MIN(Skills!I11,15),Skills!I11)/Skills!H11,1)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IFERROR(1/IF(Inputs!$B$38="pvp",15,MAX(0.1,Skills!D11-IF(TRUE=TRUE,(Inputs!$B$32+1),0))),0)</f>
        <v/>
      </c>
      <c r="R1117">
        <f>IF(AND(Inputs!$B$38&lt;&gt;"pvp",Inputs!$B$43&gt;0),IF(MAX(0,Inputs!$B$43-B1145)&lt;=0,0,(INT(MAX(0,Inputs!$B$43-B1145)/IF(Inputs!$B$38="pvp",15,MAX(0.1,Skills!D11-IF(TRUE=TRUE,(Inputs!$B$32+1),0))))+1)),0)</f>
        <v/>
      </c>
      <c r="S1117">
        <f>IFERROR((H1117*N1117*IF(AND(Inputs!$B$38&lt;&gt;"pvp",Inputs!$B$43&gt;0),((Skills!G11*((R1117-1)*IF(Skills!H11&gt;0,Skills!I11/Skills!H11,1)+IF(Skills!H11&gt;0,MIN(Skills!I11,MAX(0,MAX(0,Inputs!$B$43-B1145)-((R1117-1)*IF(Inputs!$B$38="pvp",15,MAX(0.1,Skills!D11-IF(TRUE=TRUE,(Inputs!$B$32+1),0))))))/Skills!H11,1)))/Inputs!$B$43),G1117*Q1117))/N1117*IF(Inputs!$B$38="pvp",1,(1-Summary!$B$11)*1+Summary!$B$11*(MIN(Skills!R11,Inputs!$B$37))),0)</f>
        <v/>
      </c>
      <c r="T1117">
        <f>IF(C1117,(H1117*N1117*IF(AND(Inputs!$B$38&lt;&gt;"pvp",Inputs!$B$43&gt;0),((Skills!G11*((R1117-1)*IF(Skills!H11&gt;0,Skills!I11/Skills!H11,1)+IF(Skills!H11&gt;0,MIN(Skills!I11,MAX(0,MAX(0,Inputs!$B$43-B1145)-((R1117-1)*IF(Inputs!$B$38="pvp",15,MAX(0.1,Skills!D11-IF(TRUE=TRUE,(Inputs!$B$32+1),0))))))/Skills!H11,1)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Inputs!$B$38&lt;&gt;"pvp",Inputs!$B$43=0),1,IF(IF(Inputs!$B$38="pvp",15,Inputs!$B$43)-(B1145)&lt;=0,1,MAX(0,IF(Inputs!$B$38="pvp",15,Inputs!$B$43)-MAX(5,B1145))/(IF(Inputs!$B$38="pvp",15,Inputs!$B$43)-(B1145))))*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Skills!I11/Skills!H11,1)+IF(Skills!H11&gt;0,MIN(Skills!I11,MAX(0,MAX(0,Inputs!$B$43-B1145)-((R1117-1)*IF(Inputs!$B$38="pvp",15,MAX(0.1,Skills!D11-IF(TRUE=TRUE,(Inputs!$B$32+1),0))))))/Skills!H11,1)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Skills!G12*IF(Skills!H12&gt;0,IF(Inputs!$B$38="pvp",MIN(Skills!I12,15),Skills!I12)/Skills!H12,1)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Skills!G13*IF(Skills!H13&gt;0,IF(Inputs!$B$38="pvp",MIN(Skills!I13,15),Skills!I13)/Skills!H13,1)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Skills!G14*IF(Skills!H14&gt;0,IF(Inputs!$B$38="pvp",MIN(Skills!I14,15),Skills!I14)/Skills!H14,1)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Skills!G15*IF(Skills!H15&gt;0,IF(Inputs!$B$38="pvp",MIN(Skills!I15,15),Skills!I15)/Skills!H15,1)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IFERROR(1/IF(Inputs!$B$38="pvp",15,MAX(0.1,Skills!D15-IF(TRUE=TRUE,(Inputs!$B$32+1),0))),0)</f>
        <v/>
      </c>
      <c r="R1121">
        <f>IF(AND(Inputs!$B$38&lt;&gt;"pvp",Inputs!$B$43&gt;0),IF(Inputs!$B$43&lt;=0,0,(INT(Inputs!$B$43/IF(Inputs!$B$38="pvp",15,MAX(0.1,Skills!D15-IF(TRUE=TRUE,(Inputs!$B$32+1),0))))+1)),0)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Skills!G16*IF(Skills!H16&gt;0,IF(Inputs!$B$38="pvp",MIN(Skills!I16,15),Skills!I16)/Skills!H16,1)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IFERROR(1/IF(Inputs!$B$38="pvp",15,MAX(0.1,Skills!D16-IF(TRUE=TRUE,(Inputs!$B$32+1),0))),0)</f>
        <v/>
      </c>
      <c r="R1122">
        <f>IF(AND(Inputs!$B$38&lt;&gt;"pvp",Inputs!$B$43&gt;0),IF(Inputs!$B$43&lt;=0,0,(INT(Inputs!$B$43/IF(Inputs!$B$38="pvp",15,MAX(0.1,Skills!D16-IF(TRUE=TRUE,(Inputs!$B$32+1),0))))+1)),0)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Skills!G17*IF(Skills!H17&gt;0,IF(Inputs!$B$38="pvp",MIN(Skills!I17,15),Skills!I17)/Skills!H17,1)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Skills!G18*IF(Skills!H18&gt;0,IF(Inputs!$B$38="pvp",MIN(Skills!I18,15),Skills!I18)/Skills!H18,1)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IFERROR(1/IF(Inputs!$B$38="pvp",15,MAX(0.1,Skills!D18-IF(TRUE=TRUE,(Inputs!$B$32+1),0))),0)</f>
        <v/>
      </c>
      <c r="R1124">
        <f>IF(AND(Inputs!$B$38&lt;&gt;"pvp",Inputs!$B$43&gt;0),IF(Inputs!$B$43&lt;=0,0,(INT(Inputs!$B$43/IF(Inputs!$B$38="pvp",15,MAX(0.1,Skills!D18-IF(TRUE=TRUE,(Inputs!$B$32+1),0))))+1)),0)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Skills!G19*IF(Skills!H19&gt;0,IF(Inputs!$B$38="pvp",MIN(Skills!I19,15),Skills!I19)/Skills!H19,1)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Skills!G20*IF(Skills!H20&gt;0,IF(Inputs!$B$38="pvp",MIN(Skills!I20,15),Skills!I20)/Skills!H20,1)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Skills!G21*IF(Skills!H21&gt;0,IF(Inputs!$B$38="pvp",MIN(Skills!I21,15),Skills!I21)/Skills!H21,1)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Skills!G22*IF(Skills!H22&gt;0,IF(Inputs!$B$38="pvp",MIN(Skills!I22,15),Skills!I22)/Skills!H22,1)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Skills!G23*IF(Skills!H23&gt;0,IF(Inputs!$B$38="pvp",MIN(Skills!I23,15),Skills!I23)/Skills!H23,1)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Skills!G24*IF(Skills!H24&gt;0,IF(Inputs!$B$38="pvp",MIN(Skills!I24,15),Skills!I24)/Skills!H24,1)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Skills!G25*IF(Skills!H25&gt;0,IF(Inputs!$B$38="pvp",MIN(Skills!I25,15),Skills!I25)/Skills!H25,1)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Skills!G26*IF(Skills!H26&gt;0,IF(Inputs!$B$38="pvp",MIN(Skills!I26,15),Skills!I26)/Skills!H26,1)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Skills!G27*IF(Skills!H27&gt;0,IF(Inputs!$B$38="pvp",MIN(Skills!I27,15),Skills!I27)/Skills!H27,1)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Skills!G28*IF(Skills!H28&gt;0,IF(Inputs!$B$38="pvp",MIN(Skills!I28,15),Skills!I28)/Skills!H28,1)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Skills!G29*IF(Skills!H29&gt;0,IF(Inputs!$B$38="pvp",MIN(Skills!I29,15),Skills!I29)/Skills!H29,1)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MIN((Skills!T15*(1+Inputs!$B$34/100)),(1/Q1121))+MIN((Skills!T15*(1+Inputs!$B$34/100)),MAX(0,Inputs!$B$43-((R1121-1)*(1/Q1121)))))/Inputs!$B$43),IF(Inputs!$B$38="pvp",MIN((Skills!T15*(1+Inputs!$B$34/100)),15)/15,MIN(1,(Skills!T15*(1+Inputs!$B$34/100))/(1/Q1121)))))+((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1124=TRUE)*F1124*IF(AND(Inputs!$B$38&lt;&gt;"pvp",Inputs!$B$43&gt;0),(((R1124-1)*MIN((Skills!T18*(1+Inputs!$B$34/100)),(1/Q1124))+MIN((Skills!T18*(1+Inputs!$B$34/100)),MAX(0,Inputs!$B$43-((R1124-1)*(1/Q1124)))))/Inputs!$B$43),IF(Inputs!$B$38="pvp",MIN((Skills!T18*(1+Inputs!$B$34/100)),15)/15,MIN(1,(Skills!T18*(1+Inputs!$B$34/100))/(1/Q1124)))))</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MIN((Skills!T16*(1+Inputs!$B$34/100)),(1/Q1122))+MIN((Skills!T16*(1+Inputs!$B$34/100)),MAX(0,Inputs!$B$43-((R1122-1)*(1/Q1122)))))/Inputs!$B$43),IF(Inputs!$B$38="pvp",MIN((Skills!T16*(1+Inputs!$B$34/100)),15)/15,MIN(1,(Skills!T16*(1+Inputs!$B$34/100))/(1/Q1122))))</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Skills!G2*IF(Skills!H2&gt;0,IF(Inputs!$B$38="pvp",MIN(Skills!I2,15),Skills!I2)/Skills!H2,1)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Skills!G5*IF(Skills!H5&gt;0,IF(Inputs!$B$38="pvp",MIN(Skills!I5,15),Skills!I5)/Skills!H5,1)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IFERROR(1/IF(Inputs!$B$38="pvp",15,MAX(0.1,Skills!D5-IF(TRUE=TRUE,Inputs!$B$32,0))),0)</f>
        <v/>
      </c>
      <c r="R1156">
        <f>IF(AND(Inputs!$B$38&lt;&gt;"pvp",Inputs!$B$43&gt;0),IF(MAX(0,Inputs!$B$43-B1190)&lt;=0,0,(INT(MAX(0,Inputs!$B$43-B1190)/IF(Inputs!$B$38="pvp",15,MAX(0.1,Skills!D5-IF(TRUE=TRUE,Inputs!$B$32,0))))+1)),0)</f>
        <v/>
      </c>
      <c r="S1156">
        <f>IFERROR((H1156*N1156*IF(AND(Inputs!$B$38&lt;&gt;"pvp",Inputs!$B$43&gt;0),((Skills!G5*((R1156-1)*IF(Skills!H5&gt;0,Skills!I5/Skills!H5,1)+IF(Skills!H5&gt;0,MIN(Skills!I5,MAX(0,MAX(0,Inputs!$B$43-B1190)-((R1156-1)*IF(Inputs!$B$38="pvp",15,MAX(0.1,Skills!D5-IF(TRUE=TRUE,Inputs!$B$32,0))))))/Skills!H5,1)))/Inputs!$B$43),G1156*Q1156))/N1156*IF(Inputs!$B$38="pvp",1,(1-Summary!$B$11)*1+Summary!$B$11*(MIN(Skills!R5,Inputs!$B$37))),0)</f>
        <v/>
      </c>
      <c r="T1156">
        <f>IF(C1156,(H1156*N1156*IF(AND(Inputs!$B$38&lt;&gt;"pvp",Inputs!$B$43&gt;0),((Skills!G5*((R1156-1)*IF(Skills!H5&gt;0,Skills!I5/Skills!H5,1)+IF(Skills!H5&gt;0,MIN(Skills!I5,MAX(0,MAX(0,Inputs!$B$43-B1190)-((R1156-1)*IF(Inputs!$B$38="pvp",15,MAX(0.1,Skills!D5-IF(TRUE=TRUE,Inputs!$B$32,0)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1190)-((R1156-1)*IF(Inputs!$B$38="pvp",15,MAX(0.1,Skills!D5-IF(TRUE=TRUE,Inputs!$B$32,0))))))/Skills!H5,1)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Skills!G6*IF(Skills!H6&gt;0,IF(Inputs!$B$38="pvp",MIN(Skills!I6,15),Skills!I6)/Skills!H6,1)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IFERROR(1/IF(Inputs!$B$38="pvp",15,MAX(0.1,Skills!D6-IF(TRUE=TRUE,Inputs!$B$32,0))),0)</f>
        <v/>
      </c>
      <c r="R1157">
        <f>IF(AND(Inputs!$B$38&lt;&gt;"pvp",Inputs!$B$43&gt;0),IF(MAX(0,Inputs!$B$43-B1190)&lt;=0,0,(INT(MAX(0,Inputs!$B$43-B1190)/IF(Inputs!$B$38="pvp",15,MAX(0.1,Skills!D6-IF(TRUE=TRUE,Inputs!$B$32,0))))+1)),0)</f>
        <v/>
      </c>
      <c r="S1157">
        <f>IFERROR((H1157*N1157*IF(AND(Inputs!$B$38&lt;&gt;"pvp",Inputs!$B$43&gt;0),((Skills!G6*((R1157-1)*IF(Skills!H6&gt;0,Skills!I6/Skills!H6,1)+IF(Skills!H6&gt;0,MIN(Skills!I6,MAX(0,MAX(0,Inputs!$B$43-B1190)-((R1157-1)*IF(Inputs!$B$38="pvp",15,MAX(0.1,Skills!D6-IF(TRUE=TRUE,Inputs!$B$32,0))))))/Skills!H6,1)))/Inputs!$B$43),G1157*Q1157))/N1157*IF(Inputs!$B$38="pvp",1,(1-Summary!$B$11)*1+Summary!$B$11*(MIN(Skills!R6,Inputs!$B$37))),0)</f>
        <v/>
      </c>
      <c r="T1157">
        <f>IF(C1157,(H1157*N1157*IF(AND(Inputs!$B$38&lt;&gt;"pvp",Inputs!$B$43&gt;0),((Skills!G6*((R1157-1)*IF(Skills!H6&gt;0,Skills!I6/Skills!H6,1)+IF(Skills!H6&gt;0,MIN(Skills!I6,MAX(0,MAX(0,Inputs!$B$43-B1190)-((R1157-1)*IF(Inputs!$B$38="pvp",15,MAX(0.1,Skills!D6-IF(TRUE=TRUE,Inputs!$B$32,0)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1190)-((R1157-1)*IF(Inputs!$B$38="pvp",15,MAX(0.1,Skills!D6-IF(TRUE=TRUE,Inputs!$B$32,0))))))/Skills!H6,1)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Skills!G7*IF(Skills!H7&gt;0,IF(Inputs!$B$38="pvp",MIN(Skills!I7,15),Skills!I7)/Skills!H7,1)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IFERROR(1/IF(Inputs!$B$38="pvp",15,MAX(0.1,Skills!D7-IF(TRUE=TRUE,Inputs!$B$32,0))),0)</f>
        <v/>
      </c>
      <c r="R1158">
        <f>IF(AND(Inputs!$B$38&lt;&gt;"pvp",Inputs!$B$43&gt;0),IF(MAX(0,Inputs!$B$43-B1190)&lt;=0,0,(INT(MAX(0,Inputs!$B$43-B1190)/IF(Inputs!$B$38="pvp",15,MAX(0.1,Skills!D7-IF(TRUE=TRUE,Inputs!$B$32,0))))+1)),0)</f>
        <v/>
      </c>
      <c r="S1158">
        <f>IFERROR((H1158*N1158*IF(AND(Inputs!$B$38&lt;&gt;"pvp",Inputs!$B$43&gt;0),((Skills!G7*((R1158-1)*IF(Skills!H7&gt;0,Skills!I7/Skills!H7,1)+IF(Skills!H7&gt;0,MIN(Skills!I7,MAX(0,MAX(0,Inputs!$B$43-B1190)-((R1158-1)*IF(Inputs!$B$38="pvp",15,MAX(0.1,Skills!D7-IF(TRUE=TRUE,Inputs!$B$32,0))))))/Skills!H7,1)))/Inputs!$B$43),G1158*Q1158))/N1158*IF(Inputs!$B$38="pvp",1,(1-Summary!$B$11)*1+Summary!$B$11*(MIN(Skills!R7,Inputs!$B$37))),0)</f>
        <v/>
      </c>
      <c r="T1158">
        <f>IF(C1158,(H1158*N1158*IF(AND(Inputs!$B$38&lt;&gt;"pvp",Inputs!$B$43&gt;0),((Skills!G7*((R1158-1)*IF(Skills!H7&gt;0,Skills!I7/Skills!H7,1)+IF(Skills!H7&gt;0,MIN(Skills!I7,MAX(0,MAX(0,Inputs!$B$43-B1190)-((R1158-1)*IF(Inputs!$B$38="pvp",15,MAX(0.1,Skills!D7-IF(TRUE=TRUE,Inputs!$B$32,0)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1190)-((R1158-1)*IF(Inputs!$B$38="pvp",15,MAX(0.1,Skills!D7-IF(TRUE=TRUE,Inputs!$B$32,0))))))/Skills!H7,1)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Skills!G9*IF(Skills!H9&gt;0,IF(Inputs!$B$38="pvp",MIN(Skills!I9,15),Skills!I9)/Skills!H9,1)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IFERROR(1/IF(Inputs!$B$38="pvp",15,MAX(0.1,Skills!D9-IF(TRUE=TRUE,Inputs!$B$32,0))),0)</f>
        <v/>
      </c>
      <c r="R1160">
        <f>IF(AND(Inputs!$B$38&lt;&gt;"pvp",Inputs!$B$43&gt;0),IF(MAX(0,Inputs!$B$43-B1190)&lt;=0,0,(INT(MAX(0,Inputs!$B$43-B1190)/IF(Inputs!$B$38="pvp",15,MAX(0.1,Skills!D9-IF(TRUE=TRUE,Inputs!$B$32,0))))+1)),0)</f>
        <v/>
      </c>
      <c r="S1160">
        <f>IFERROR((H1160*N1160*IF(AND(Inputs!$B$38&lt;&gt;"pvp",Inputs!$B$43&gt;0),((Skills!G9*((R1160-1)*IF(Skills!H9&gt;0,Skills!I9/Skills!H9,1)+IF(Skills!H9&gt;0,MIN(Skills!I9,MAX(0,MAX(0,Inputs!$B$43-B1190)-((R1160-1)*IF(Inputs!$B$38="pvp",15,MAX(0.1,Skills!D9-IF(TRUE=TRUE,Inputs!$B$32,0))))))/Skills!H9,1)))/Inputs!$B$43),G1160*Q1160))/N1160*IF(Inputs!$B$38="pvp",1,(1-Summary!$B$11)*1+Summary!$B$11*(MIN(Skills!R9,Inputs!$B$37))),0)</f>
        <v/>
      </c>
      <c r="T1160">
        <f>IF(C1160,(H1160*N1160*IF(AND(Inputs!$B$38&lt;&gt;"pvp",Inputs!$B$43&gt;0),((Skills!G9*((R1160-1)*IF(Skills!H9&gt;0,Skills!I9/Skills!H9,1)+IF(Skills!H9&gt;0,MIN(Skills!I9,MAX(0,MAX(0,Inputs!$B$43-B1190)-((R1160-1)*IF(Inputs!$B$38="pvp",15,MAX(0.1,Skills!D9-IF(TRUE=TRUE,Inputs!$B$32,0)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1190)-((R1160-1)*IF(Inputs!$B$38="pvp",15,MAX(0.1,Skills!D9-IF(TRUE=TRUE,Inputs!$B$32,0))))))/Skills!H9,1)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Skills!G10*IF(Skills!H10&gt;0,IF(Inputs!$B$38="pvp",MIN(Skills!I10,15),Skills!I10)/Skills!H10,1)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Skills!G11*IF(Skills!H11&gt;0,IF(Inputs!$B$38="pvp",MIN(Skills!I11,15),Skills!I11)/Skills!H11,1)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IFERROR(1/IF(Inputs!$B$38="pvp",15,MAX(0.1,Skills!D11-IF(TRUE=TRUE,Inputs!$B$32,0))),0)</f>
        <v/>
      </c>
      <c r="R1162">
        <f>IF(AND(Inputs!$B$38&lt;&gt;"pvp",Inputs!$B$43&gt;0),IF(MAX(0,Inputs!$B$43-B1190)&lt;=0,0,(INT(MAX(0,Inputs!$B$43-B1190)/IF(Inputs!$B$38="pvp",15,MAX(0.1,Skills!D11-IF(TRUE=TRUE,Inputs!$B$32,0))))+1)),0)</f>
        <v/>
      </c>
      <c r="S1162">
        <f>IFERROR((H1162*N1162*IF(AND(Inputs!$B$38&lt;&gt;"pvp",Inputs!$B$43&gt;0),((Skills!G11*((R1162-1)*IF(Skills!H11&gt;0,Skills!I11/Skills!H11,1)+IF(Skills!H11&gt;0,MIN(Skills!I11,MAX(0,MAX(0,Inputs!$B$43-B1190)-((R1162-1)*IF(Inputs!$B$38="pvp",15,MAX(0.1,Skills!D11-IF(TRUE=TRUE,Inputs!$B$32,0))))))/Skills!H11,1)))/Inputs!$B$43),G1162*Q1162))/N1162*IF(Inputs!$B$38="pvp",1,(1-Summary!$B$11)*1+Summary!$B$11*(MIN(Skills!R11,Inputs!$B$37))),0)</f>
        <v/>
      </c>
      <c r="T1162">
        <f>IF(C1162,(H1162*N1162*IF(AND(Inputs!$B$38&lt;&gt;"pvp",Inputs!$B$43&gt;0),((Skills!G11*((R1162-1)*IF(Skills!H11&gt;0,Skills!I11/Skills!H11,1)+IF(Skills!H11&gt;0,MIN(Skills!I11,MAX(0,MAX(0,Inputs!$B$43-B1190)-((R1162-1)*IF(Inputs!$B$38="pvp",15,MAX(0.1,Skills!D11-IF(TRUE=TRUE,Inputs!$B$32,0)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Inputs!$B$38&lt;&gt;"pvp",Inputs!$B$43=0),1,IF(IF(Inputs!$B$38="pvp",15,Inputs!$B$43)-(B1190)&lt;=0,1,MAX(0,IF(Inputs!$B$38="pvp",15,Inputs!$B$43)-MAX(5,B1190))/(IF(Inputs!$B$38="pvp",15,Inputs!$B$43)-(B1190)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1190)-((R1162-1)*IF(Inputs!$B$38="pvp",15,MAX(0.1,Skills!D11-IF(TRUE=TRUE,Inputs!$B$32,0))))))/Skills!H11,1)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Skills!G12*IF(Skills!H12&gt;0,IF(Inputs!$B$38="pvp",MIN(Skills!I12,15),Skills!I12)/Skills!H12,1)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Skills!G13*IF(Skills!H13&gt;0,IF(Inputs!$B$38="pvp",MIN(Skills!I13,15),Skills!I13)/Skills!H13,1)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Skills!G14*IF(Skills!H14&gt;0,IF(Inputs!$B$38="pvp",MIN(Skills!I14,15),Skills!I14)/Skills!H14,1)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Skills!G15*IF(Skills!H15&gt;0,IF(Inputs!$B$38="pvp",MIN(Skills!I15,15),Skills!I15)/Skills!H15,1)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IFERROR(1/IF(Inputs!$B$38="pvp",15,MAX(0.1,Skills!D15-IF(TRUE=TRUE,Inputs!$B$32,0))),0)</f>
        <v/>
      </c>
      <c r="R1166">
        <f>IF(AND(Inputs!$B$38&lt;&gt;"pvp",Inputs!$B$43&gt;0),IF(Inputs!$B$43&lt;=0,0,(INT(Inputs!$B$43/IF(Inputs!$B$38="pvp",15,MAX(0.1,Skills!D15-IF(TRUE=TRUE,Inputs!$B$32,0))))+1)),0)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Skills!G16*IF(Skills!H16&gt;0,IF(Inputs!$B$38="pvp",MIN(Skills!I16,15),Skills!I16)/Skills!H16,1)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IFERROR(1/IF(Inputs!$B$38="pvp",15,MAX(0.1,Skills!D16-IF(TRUE=TRUE,Inputs!$B$32,0))),0)</f>
        <v/>
      </c>
      <c r="R1167">
        <f>IF(AND(Inputs!$B$38&lt;&gt;"pvp",Inputs!$B$43&gt;0),IF(Inputs!$B$43&lt;=0,0,(INT(Inputs!$B$43/IF(Inputs!$B$38="pvp",15,MAX(0.1,Skills!D16-IF(TRUE=TRUE,Inputs!$B$32,0))))+1)),0)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Skills!G17*IF(Skills!H17&gt;0,IF(Inputs!$B$38="pvp",MIN(Skills!I17,15),Skills!I17)/Skills!H17,1)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Skills!G18*IF(Skills!H18&gt;0,IF(Inputs!$B$38="pvp",MIN(Skills!I18,15),Skills!I18)/Skills!H18,1)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IFERROR(1/IF(Inputs!$B$38="pvp",15,MAX(0.1,Skills!D18-IF(TRUE=TRUE,Inputs!$B$32,0))),0)</f>
        <v/>
      </c>
      <c r="R1169">
        <f>IF(AND(Inputs!$B$38&lt;&gt;"pvp",Inputs!$B$43&gt;0),IF(Inputs!$B$43&lt;=0,0,(INT(Inputs!$B$43/IF(Inputs!$B$38="pvp",15,MAX(0.1,Skills!D18-IF(TRUE=TRUE,Inputs!$B$32,0))))+1)),0)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Skills!G19*IF(Skills!H19&gt;0,IF(Inputs!$B$38="pvp",MIN(Skills!I19,15),Skills!I19)/Skills!H19,1)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Skills!G20*IF(Skills!H20&gt;0,IF(Inputs!$B$38="pvp",MIN(Skills!I20,15),Skills!I20)/Skills!H20,1)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Skills!G21*IF(Skills!H21&gt;0,IF(Inputs!$B$38="pvp",MIN(Skills!I21,15),Skills!I21)/Skills!H21,1)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Skills!G22*IF(Skills!H22&gt;0,IF(Inputs!$B$38="pvp",MIN(Skills!I22,15),Skills!I22)/Skills!H22,1)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Skills!G23*IF(Skills!H23&gt;0,IF(Inputs!$B$38="pvp",MIN(Skills!I23,15),Skills!I23)/Skills!H23,1)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Skills!G24*IF(Skills!H24&gt;0,IF(Inputs!$B$38="pvp",MIN(Skills!I24,15),Skills!I24)/Skills!H24,1)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Skills!G25*IF(Skills!H25&gt;0,IF(Inputs!$B$38="pvp",MIN(Skills!I25,15),Skills!I25)/Skills!H25,1)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Skills!G26*IF(Skills!H26&gt;0,IF(Inputs!$B$38="pvp",MIN(Skills!I26,15),Skills!I26)/Skills!H26,1)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Skills!G27*IF(Skills!H27&gt;0,IF(Inputs!$B$38="pvp",MIN(Skills!I27,15),Skills!I27)/Skills!H27,1)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Skills!G28*IF(Skills!H28&gt;0,IF(Inputs!$B$38="pvp",MIN(Skills!I28,15),Skills!I28)/Skills!H28,1)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Skills!G29*IF(Skills!H29&gt;0,IF(Inputs!$B$38="pvp",MIN(Skills!I29,15),Skills!I29)/Skills!H29,1)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MIN((Skills!T15*(1+Inputs!$B$34/100)),(1/Q1166))+MIN((Skills!T15*(1+Inputs!$B$34/100)),MAX(0,Inputs!$B$43-((R1166-1)*(1/Q1166)))))/Inputs!$B$43),IF(Inputs!$B$38="pvp",MIN((Skills!T15*(1+Inputs!$B$34/100)),15)/15,MIN(1,(Skills!T15*(1+Inputs!$B$34/100))/(1/Q1166)))))+((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t="n">
        <v>0</v>
      </c>
    </row>
    <row r="1184">
      <c r="A1184" t="inlineStr">
        <is>
          <t>Attack Speed Buff Bonus %</t>
        </is>
      </c>
      <c r="B1184">
        <f>((C1169=TRUE)*F1169*IF(AND(Inputs!$B$38&lt;&gt;"pvp",Inputs!$B$43&gt;0),(((R1169-1)*MIN((Skills!T18*(1+Inputs!$B$34/100)),(1/Q1169))+MIN((Skills!T18*(1+Inputs!$B$34/100)),MAX(0,Inputs!$B$43-((R1169-1)*(1/Q1169)))))/Inputs!$B$43),IF(Inputs!$B$38="pvp",MIN((Skills!T18*(1+Inputs!$B$34/100)),15)/15,MIN(1,(Skills!T18*(1+Inputs!$B$34/100))/(1/Q1169)))))</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MIN((Skills!T16*(1+Inputs!$B$34/100)),(1/Q1167))+MIN((Skills!T16*(1+Inputs!$B$34/100)),MAX(0,Inputs!$B$43-((R1167-1)*(1/Q1167)))))/Inputs!$B$43),IF(Inputs!$B$38="pvp",MIN((Skills!T16*(1+Inputs!$B$34/100)),15)/15,MIN(1,(Skills!T16*(1+Inputs!$B$34/100))/(1/Q1167))))</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Skills!G2*IF(Skills!H2&gt;0,IF(Inputs!$B$38="pvp",MIN(Skills!I2,15),Skills!I2)/Skills!H2,1)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Skills!G5*IF(Skills!H5&gt;0,IF(Inputs!$B$38="pvp",MIN(Skills!I5,15),Skills!I5)/Skills!H5,1)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IFERROR(1/IF(Inputs!$B$38="pvp",15,MAX(0.1,Skills!D5-IF(TRUE=TRUE,Inputs!$B$32,0))),0)</f>
        <v/>
      </c>
      <c r="R1201">
        <f>IF(AND(Inputs!$B$38&lt;&gt;"pvp",Inputs!$B$43&gt;0),IF(MAX(0,Inputs!$B$43-B1235)&lt;=0,0,(INT(MAX(0,Inputs!$B$43-B1235)/IF(Inputs!$B$38="pvp",15,MAX(0.1,Skills!D5-IF(TRUE=TRUE,Inputs!$B$32,0))))+1)),0)</f>
        <v/>
      </c>
      <c r="S1201">
        <f>IFERROR((H1201*N1201*IF(AND(Inputs!$B$38&lt;&gt;"pvp",Inputs!$B$43&gt;0),((Skills!G5*((R1201-1)*IF(Skills!H5&gt;0,Skills!I5/Skills!H5,1)+IF(Skills!H5&gt;0,MIN(Skills!I5,MAX(0,MAX(0,Inputs!$B$43-B1235)-((R1201-1)*IF(Inputs!$B$38="pvp",15,MAX(0.1,Skills!D5-IF(TRUE=TRUE,Inputs!$B$32,0))))))/Skills!H5,1)))/Inputs!$B$43),G1201*Q1201))/N1201*IF(Inputs!$B$38="pvp",1,(1-Summary!$B$11)*1+Summary!$B$11*(MIN(Skills!R5,Inputs!$B$37))),0)</f>
        <v/>
      </c>
      <c r="T1201">
        <f>IF(C1201,(H1201*N1201*IF(AND(Inputs!$B$38&lt;&gt;"pvp",Inputs!$B$43&gt;0),((Skills!G5*((R1201-1)*IF(Skills!H5&gt;0,Skills!I5/Skills!H5,1)+IF(Skills!H5&gt;0,MIN(Skills!I5,MAX(0,MAX(0,Inputs!$B$43-B1235)-((R1201-1)*IF(Inputs!$B$38="pvp",15,MAX(0.1,Skills!D5-IF(TRUE=TRUE,Inputs!$B$32,0))))))/Skills!H5,1)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Skills!I5/Skills!H5,1)+IF(Skills!H5&gt;0,MIN(Skills!I5,MAX(0,MAX(0,Inputs!$B$43-B1235)-((R1201-1)*IF(Inputs!$B$38="pvp",15,MAX(0.1,Skills!D5-IF(TRUE=TRUE,Inputs!$B$32,0))))))/Skills!H5,1)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Skills!G6*IF(Skills!H6&gt;0,IF(Inputs!$B$38="pvp",MIN(Skills!I6,15),Skills!I6)/Skills!H6,1)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IFERROR(1/IF(Inputs!$B$38="pvp",15,MAX(0.1,Skills!D6-IF(TRUE=TRUE,Inputs!$B$32,0))),0)</f>
        <v/>
      </c>
      <c r="R1202">
        <f>IF(AND(Inputs!$B$38&lt;&gt;"pvp",Inputs!$B$43&gt;0),IF(MAX(0,Inputs!$B$43-B1235)&lt;=0,0,(INT(MAX(0,Inputs!$B$43-B1235)/IF(Inputs!$B$38="pvp",15,MAX(0.1,Skills!D6-IF(TRUE=TRUE,Inputs!$B$32,0))))+1)),0)</f>
        <v/>
      </c>
      <c r="S1202">
        <f>IFERROR((H1202*N1202*IF(AND(Inputs!$B$38&lt;&gt;"pvp",Inputs!$B$43&gt;0),((Skills!G6*((R1202-1)*IF(Skills!H6&gt;0,Skills!I6/Skills!H6,1)+IF(Skills!H6&gt;0,MIN(Skills!I6,MAX(0,MAX(0,Inputs!$B$43-B1235)-((R1202-1)*IF(Inputs!$B$38="pvp",15,MAX(0.1,Skills!D6-IF(TRUE=TRUE,Inputs!$B$32,0))))))/Skills!H6,1)))/Inputs!$B$43),G1202*Q1202))/N1202*IF(Inputs!$B$38="pvp",1,(1-Summary!$B$11)*1+Summary!$B$11*(MIN(Skills!R6,Inputs!$B$37))),0)</f>
        <v/>
      </c>
      <c r="T1202">
        <f>IF(C1202,(H1202*N1202*IF(AND(Inputs!$B$38&lt;&gt;"pvp",Inputs!$B$43&gt;0),((Skills!G6*((R1202-1)*IF(Skills!H6&gt;0,Skills!I6/Skills!H6,1)+IF(Skills!H6&gt;0,MIN(Skills!I6,MAX(0,MAX(0,Inputs!$B$43-B1235)-((R1202-1)*IF(Inputs!$B$38="pvp",15,MAX(0.1,Skills!D6-IF(TRUE=TRUE,Inputs!$B$32,0)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1235)-((R1202-1)*IF(Inputs!$B$38="pvp",15,MAX(0.1,Skills!D6-IF(TRUE=TRUE,Inputs!$B$32,0))))))/Skills!H6,1)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Skills!G7*IF(Skills!H7&gt;0,IF(Inputs!$B$38="pvp",MIN(Skills!I7,15),Skills!I7)/Skills!H7,1)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IFERROR(1/IF(Inputs!$B$38="pvp",15,MAX(0.1,Skills!D7-IF(TRUE=TRUE,Inputs!$B$32,0))),0)</f>
        <v/>
      </c>
      <c r="R1203">
        <f>IF(AND(Inputs!$B$38&lt;&gt;"pvp",Inputs!$B$43&gt;0),IF(MAX(0,Inputs!$B$43-B1235)&lt;=0,0,(INT(MAX(0,Inputs!$B$43-B1235)/IF(Inputs!$B$38="pvp",15,MAX(0.1,Skills!D7-IF(TRUE=TRUE,Inputs!$B$32,0))))+1)),0)</f>
        <v/>
      </c>
      <c r="S1203">
        <f>IFERROR((H1203*N1203*IF(AND(Inputs!$B$38&lt;&gt;"pvp",Inputs!$B$43&gt;0),((Skills!G7*((R1203-1)*IF(Skills!H7&gt;0,Skills!I7/Skills!H7,1)+IF(Skills!H7&gt;0,MIN(Skills!I7,MAX(0,MAX(0,Inputs!$B$43-B1235)-((R1203-1)*IF(Inputs!$B$38="pvp",15,MAX(0.1,Skills!D7-IF(TRUE=TRUE,Inputs!$B$32,0))))))/Skills!H7,1)))/Inputs!$B$43),G1203*Q1203))/N1203*IF(Inputs!$B$38="pvp",1,(1-Summary!$B$11)*1+Summary!$B$11*(MIN(Skills!R7,Inputs!$B$37))),0)</f>
        <v/>
      </c>
      <c r="T1203">
        <f>IF(C1203,(H1203*N1203*IF(AND(Inputs!$B$38&lt;&gt;"pvp",Inputs!$B$43&gt;0),((Skills!G7*((R1203-1)*IF(Skills!H7&gt;0,Skills!I7/Skills!H7,1)+IF(Skills!H7&gt;0,MIN(Skills!I7,MAX(0,MAX(0,Inputs!$B$43-B1235)-((R1203-1)*IF(Inputs!$B$38="pvp",15,MAX(0.1,Skills!D7-IF(TRUE=TRUE,Inputs!$B$32,0)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1235)-((R1203-1)*IF(Inputs!$B$38="pvp",15,MAX(0.1,Skills!D7-IF(TRUE=TRUE,Inputs!$B$32,0))))))/Skills!H7,1)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Skills!G9*IF(Skills!H9&gt;0,IF(Inputs!$B$38="pvp",MIN(Skills!I9,15),Skills!I9)/Skills!H9,1)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IFERROR(1/IF(Inputs!$B$38="pvp",15,MAX(0.1,Skills!D9-IF(TRUE=TRUE,Inputs!$B$32,0))),0)</f>
        <v/>
      </c>
      <c r="R1205">
        <f>IF(AND(Inputs!$B$38&lt;&gt;"pvp",Inputs!$B$43&gt;0),IF(MAX(0,Inputs!$B$43-B1235)&lt;=0,0,(INT(MAX(0,Inputs!$B$43-B1235)/IF(Inputs!$B$38="pvp",15,MAX(0.1,Skills!D9-IF(TRUE=TRUE,Inputs!$B$32,0))))+1)),0)</f>
        <v/>
      </c>
      <c r="S1205">
        <f>IFERROR((H1205*N1205*IF(AND(Inputs!$B$38&lt;&gt;"pvp",Inputs!$B$43&gt;0),((Skills!G9*((R1205-1)*IF(Skills!H9&gt;0,Skills!I9/Skills!H9,1)+IF(Skills!H9&gt;0,MIN(Skills!I9,MAX(0,MAX(0,Inputs!$B$43-B1235)-((R1205-1)*IF(Inputs!$B$38="pvp",15,MAX(0.1,Skills!D9-IF(TRUE=TRUE,Inputs!$B$32,0))))))/Skills!H9,1)))/Inputs!$B$43),G1205*Q1205))/N1205*IF(Inputs!$B$38="pvp",1,(1-Summary!$B$11)*1+Summary!$B$11*(MIN(Skills!R9,Inputs!$B$37))),0)</f>
        <v/>
      </c>
      <c r="T1205">
        <f>IF(C1205,(H1205*N1205*IF(AND(Inputs!$B$38&lt;&gt;"pvp",Inputs!$B$43&gt;0),((Skills!G9*((R1205-1)*IF(Skills!H9&gt;0,Skills!I9/Skills!H9,1)+IF(Skills!H9&gt;0,MIN(Skills!I9,MAX(0,MAX(0,Inputs!$B$43-B1235)-((R1205-1)*IF(Inputs!$B$38="pvp",15,MAX(0.1,Skills!D9-IF(TRUE=TRUE,Inputs!$B$32,0)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1235)-((R1205-1)*IF(Inputs!$B$38="pvp",15,MAX(0.1,Skills!D9-IF(TRUE=TRUE,Inputs!$B$32,0))))))/Skills!H9,1)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Skills!G10*IF(Skills!H10&gt;0,IF(Inputs!$B$38="pvp",MIN(Skills!I10,15),Skills!I10)/Skills!H10,1)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Skills!G11*IF(Skills!H11&gt;0,IF(Inputs!$B$38="pvp",MIN(Skills!I11,15),Skills!I11)/Skills!H11,1)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IFERROR(1/IF(Inputs!$B$38="pvp",15,MAX(0.1,Skills!D11-IF(TRUE=TRUE,Inputs!$B$32,0))),0)</f>
        <v/>
      </c>
      <c r="R1207">
        <f>IF(AND(Inputs!$B$38&lt;&gt;"pvp",Inputs!$B$43&gt;0),IF(MAX(0,Inputs!$B$43-B1235)&lt;=0,0,(INT(MAX(0,Inputs!$B$43-B1235)/IF(Inputs!$B$38="pvp",15,MAX(0.1,Skills!D11-IF(TRUE=TRUE,Inputs!$B$32,0))))+1)),0)</f>
        <v/>
      </c>
      <c r="S1207">
        <f>IFERROR((H1207*N1207*IF(AND(Inputs!$B$38&lt;&gt;"pvp",Inputs!$B$43&gt;0),((Skills!G11*((R1207-1)*IF(Skills!H11&gt;0,Skills!I11/Skills!H11,1)+IF(Skills!H11&gt;0,MIN(Skills!I11,MAX(0,MAX(0,Inputs!$B$43-B1235)-((R1207-1)*IF(Inputs!$B$38="pvp",15,MAX(0.1,Skills!D11-IF(TRUE=TRUE,Inputs!$B$32,0))))))/Skills!H11,1)))/Inputs!$B$43),G1207*Q1207))/N1207*IF(Inputs!$B$38="pvp",1,(1-Summary!$B$11)*1+Summary!$B$11*(MIN(Skills!R11,Inputs!$B$37))),0)</f>
        <v/>
      </c>
      <c r="T1207">
        <f>IF(C1207,(H1207*N1207*IF(AND(Inputs!$B$38&lt;&gt;"pvp",Inputs!$B$43&gt;0),((Skills!G11*((R1207-1)*IF(Skills!H11&gt;0,Skills!I11/Skills!H11,1)+IF(Skills!H11&gt;0,MIN(Skills!I11,MAX(0,MAX(0,Inputs!$B$43-B1235)-((R1207-1)*IF(Inputs!$B$38="pvp",15,MAX(0.1,Skills!D11-IF(TRUE=TRUE,Inputs!$B$32,0))))))/Skills!H11,1)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Inputs!$B$38&lt;&gt;"pvp",Inputs!$B$43=0),1,IF(IF(Inputs!$B$38="pvp",15,Inputs!$B$43)-(B1235)&lt;=0,1,MAX(0,IF(Inputs!$B$38="pvp",15,Inputs!$B$43)-MAX(5,B1235))/(IF(Inputs!$B$38="pvp",15,Inputs!$B$43)-(B1235))))*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Skills!I11/Skills!H11,1)+IF(Skills!H11&gt;0,MIN(Skills!I11,MAX(0,MAX(0,Inputs!$B$43-B1235)-((R1207-1)*IF(Inputs!$B$38="pvp",15,MAX(0.1,Skills!D11-IF(TRUE=TRUE,Inputs!$B$32,0))))))/Skills!H11,1)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Skills!G12*IF(Skills!H12&gt;0,IF(Inputs!$B$38="pvp",MIN(Skills!I12,15),Skills!I12)/Skills!H12,1)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Skills!G13*IF(Skills!H13&gt;0,IF(Inputs!$B$38="pvp",MIN(Skills!I13,15),Skills!I13)/Skills!H13,1)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Skills!G14*IF(Skills!H14&gt;0,IF(Inputs!$B$38="pvp",MIN(Skills!I14,15),Skills!I14)/Skills!H14,1)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Skills!G15*IF(Skills!H15&gt;0,IF(Inputs!$B$38="pvp",MIN(Skills!I15,15),Skills!I15)/Skills!H15,1)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IFERROR(1/IF(Inputs!$B$38="pvp",15,MAX(0.1,Skills!D15-IF(TRUE=TRUE,Inputs!$B$32,0))),0)</f>
        <v/>
      </c>
      <c r="R1211">
        <f>IF(AND(Inputs!$B$38&lt;&gt;"pvp",Inputs!$B$43&gt;0),IF(Inputs!$B$43&lt;=0,0,(INT(Inputs!$B$43/IF(Inputs!$B$38="pvp",15,MAX(0.1,Skills!D15-IF(TRUE=TRUE,Inputs!$B$32,0))))+1)),0)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Skills!G16*IF(Skills!H16&gt;0,IF(Inputs!$B$38="pvp",MIN(Skills!I16,15),Skills!I16)/Skills!H16,1)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IFERROR(1/IF(Inputs!$B$38="pvp",15,MAX(0.1,Skills!D16-IF(TRUE=TRUE,Inputs!$B$32,0))),0)</f>
        <v/>
      </c>
      <c r="R1212">
        <f>IF(AND(Inputs!$B$38&lt;&gt;"pvp",Inputs!$B$43&gt;0),IF(Inputs!$B$43&lt;=0,0,(INT(Inputs!$B$43/IF(Inputs!$B$38="pvp",15,MAX(0.1,Skills!D16-IF(TRUE=TRUE,Inputs!$B$32,0))))+1)),0)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Skills!G17*IF(Skills!H17&gt;0,IF(Inputs!$B$38="pvp",MIN(Skills!I17,15),Skills!I17)/Skills!H17,1)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Skills!G18*IF(Skills!H18&gt;0,IF(Inputs!$B$38="pvp",MIN(Skills!I18,15),Skills!I18)/Skills!H18,1)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IFERROR(1/IF(Inputs!$B$38="pvp",15,MAX(0.1,Skills!D18-IF(TRUE=TRUE,Inputs!$B$32,0))),0)</f>
        <v/>
      </c>
      <c r="R1214">
        <f>IF(AND(Inputs!$B$38&lt;&gt;"pvp",Inputs!$B$43&gt;0),IF(Inputs!$B$43&lt;=0,0,(INT(Inputs!$B$43/IF(Inputs!$B$38="pvp",15,MAX(0.1,Skills!D18-IF(TRUE=TRUE,Inputs!$B$32,0))))+1)),0)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Skills!G19*IF(Skills!H19&gt;0,IF(Inputs!$B$38="pvp",MIN(Skills!I19,15),Skills!I19)/Skills!H19,1)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Skills!G20*IF(Skills!H20&gt;0,IF(Inputs!$B$38="pvp",MIN(Skills!I20,15),Skills!I20)/Skills!H20,1)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Skills!G21*IF(Skills!H21&gt;0,IF(Inputs!$B$38="pvp",MIN(Skills!I21,15),Skills!I21)/Skills!H21,1)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Skills!G22*IF(Skills!H22&gt;0,IF(Inputs!$B$38="pvp",MIN(Skills!I22,15),Skills!I22)/Skills!H22,1)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Skills!G23*IF(Skills!H23&gt;0,IF(Inputs!$B$38="pvp",MIN(Skills!I23,15),Skills!I23)/Skills!H23,1)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Skills!G24*IF(Skills!H24&gt;0,IF(Inputs!$B$38="pvp",MIN(Skills!I24,15),Skills!I24)/Skills!H24,1)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Skills!G25*IF(Skills!H25&gt;0,IF(Inputs!$B$38="pvp",MIN(Skills!I25,15),Skills!I25)/Skills!H25,1)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Skills!G26*IF(Skills!H26&gt;0,IF(Inputs!$B$38="pvp",MIN(Skills!I26,15),Skills!I26)/Skills!H26,1)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Skills!G27*IF(Skills!H27&gt;0,IF(Inputs!$B$38="pvp",MIN(Skills!I27,15),Skills!I27)/Skills!H27,1)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Skills!G28*IF(Skills!H28&gt;0,IF(Inputs!$B$38="pvp",MIN(Skills!I28,15),Skills!I28)/Skills!H28,1)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Skills!G29*IF(Skills!H29&gt;0,IF(Inputs!$B$38="pvp",MIN(Skills!I29,15),Skills!I29)/Skills!H29,1)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MIN((Skills!T15*(1+(Inputs!$B$34+1)/100)),(1/Q1211))+MIN((Skills!T15*(1+(Inputs!$B$34+1)/100)),MAX(0,Inputs!$B$43-((R1211-1)*(1/Q1211)))))/Inputs!$B$43),IF(Inputs!$B$38="pvp",MIN((Skills!T15*(1+(Inputs!$B$34+1)/100)),15)/15,MIN(1,(Skills!T15*(1+(Inputs!$B$34+1)/100))/(1/Q1211)))))+((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t>
        </is>
      </c>
      <c r="B1229">
        <f>((C1214=TRUE)*F1214*IF(AND(Inputs!$B$38&lt;&gt;"pvp",Inputs!$B$43&gt;0),(((R1214-1)*MIN((Skills!T18*(1+(Inputs!$B$34+1)/100)),(1/Q1214))+MIN((Skills!T18*(1+(Inputs!$B$34+1)/100)),MAX(0,Inputs!$B$43-((R1214-1)*(1/Q1214)))))/Inputs!$B$43),IF(Inputs!$B$38="pvp",MIN((Skills!T18*(1+(Inputs!$B$34+1)/100)),15)/15,MIN(1,(Skills!T18*(1+(Inputs!$B$34+1)/100))/(1/Q1214)))))</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MIN((Skills!T16*(1+(Inputs!$B$34+1)/100)),(1/Q1212))+MIN((Skills!T16*(1+(Inputs!$B$34+1)/100)),MAX(0,Inputs!$B$43-((R1212-1)*(1/Q1212)))))/Inputs!$B$43),IF(Inputs!$B$38="pvp",MIN((Skills!T16*(1+(Inputs!$B$34+1)/100)),15)/15,MIN(1,(Skills!T16*(1+(Inputs!$B$34+1)/100))/(1/Q1212))))</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Skills!G2*IF(Skills!H2&gt;0,IF(Inputs!$B$38="pvp",MIN(Skills!I2,15),Skills!I2)/Skills!H2,1)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Skills!G5*IF(Skills!H5&gt;0,IF(Inputs!$B$38="pvp",MIN(Skills!I5,15),Skills!I5)/Skills!H5,1)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IFERROR(1/IF(Inputs!$B$38="pvp",15,MAX(0.1,Skills!D5-IF(TRUE=TRUE,Inputs!$B$32,0))),0)</f>
        <v/>
      </c>
      <c r="R1246">
        <f>IF(AND(Inputs!$B$38&lt;&gt;"pvp",Inputs!$B$43&gt;0),IF(MAX(0,Inputs!$B$43-B1280)&lt;=0,0,(INT(MAX(0,Inputs!$B$43-B1280)/IF(Inputs!$B$38="pvp",15,MAX(0.1,Skills!D5-IF(TRUE=TRUE,Inputs!$B$32,0))))+1)),0)</f>
        <v/>
      </c>
      <c r="S1246">
        <f>IFERROR((H1246*N1246*IF(AND(Inputs!$B$38&lt;&gt;"pvp",Inputs!$B$43&gt;0),((Skills!G5*((R1246-1)*IF(Skills!H5&gt;0,Skills!I5/Skills!H5,1)+IF(Skills!H5&gt;0,MIN(Skills!I5,MAX(0,MAX(0,Inputs!$B$43-B1280)-((R1246-1)*IF(Inputs!$B$38="pvp",15,MAX(0.1,Skills!D5-IF(TRUE=TRUE,Inputs!$B$32,0))))))/Skills!H5,1)))/Inputs!$B$43),G1246*Q1246))/N1246*IF(Inputs!$B$38="pvp",1,(1-Summary!$B$11)*1+Summary!$B$11*(MIN(Skills!R5,Inputs!$B$37))),0)</f>
        <v/>
      </c>
      <c r="T1246">
        <f>IF(C1246,(H1246*N1246*IF(AND(Inputs!$B$38&lt;&gt;"pvp",Inputs!$B$43&gt;0),((Skills!G5*((R1246-1)*IF(Skills!H5&gt;0,Skills!I5/Skills!H5,1)+IF(Skills!H5&gt;0,MIN(Skills!I5,MAX(0,MAX(0,Inputs!$B$43-B1280)-((R1246-1)*IF(Inputs!$B$38="pvp",15,MAX(0.1,Skills!D5-IF(TRUE=TRUE,Inputs!$B$32,0))))))/Skills!H5,1)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Skills!I5/Skills!H5,1)+IF(Skills!H5&gt;0,MIN(Skills!I5,MAX(0,MAX(0,Inputs!$B$43-B1280)-((R1246-1)*IF(Inputs!$B$38="pvp",15,MAX(0.1,Skills!D5-IF(TRUE=TRUE,Inputs!$B$32,0))))))/Skills!H5,1)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Skills!G6*IF(Skills!H6&gt;0,IF(Inputs!$B$38="pvp",MIN(Skills!I6,15),Skills!I6)/Skills!H6,1)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IFERROR(1/IF(Inputs!$B$38="pvp",15,MAX(0.1,Skills!D6-IF(TRUE=TRUE,Inputs!$B$32,0))),0)</f>
        <v/>
      </c>
      <c r="R1247">
        <f>IF(AND(Inputs!$B$38&lt;&gt;"pvp",Inputs!$B$43&gt;0),IF(MAX(0,Inputs!$B$43-B1280)&lt;=0,0,(INT(MAX(0,Inputs!$B$43-B1280)/IF(Inputs!$B$38="pvp",15,MAX(0.1,Skills!D6-IF(TRUE=TRUE,Inputs!$B$32,0))))+1)),0)</f>
        <v/>
      </c>
      <c r="S1247">
        <f>IFERROR((H1247*N1247*IF(AND(Inputs!$B$38&lt;&gt;"pvp",Inputs!$B$43&gt;0),((Skills!G6*((R1247-1)*IF(Skills!H6&gt;0,Skills!I6/Skills!H6,1)+IF(Skills!H6&gt;0,MIN(Skills!I6,MAX(0,MAX(0,Inputs!$B$43-B1280)-((R1247-1)*IF(Inputs!$B$38="pvp",15,MAX(0.1,Skills!D6-IF(TRUE=TRUE,Inputs!$B$32,0))))))/Skills!H6,1)))/Inputs!$B$43),G1247*Q1247))/N1247*IF(Inputs!$B$38="pvp",1,(1-Summary!$B$11)*1+Summary!$B$11*(MIN(Skills!R6,Inputs!$B$37))),0)</f>
        <v/>
      </c>
      <c r="T1247">
        <f>IF(C1247,(H1247*N1247*IF(AND(Inputs!$B$38&lt;&gt;"pvp",Inputs!$B$43&gt;0),((Skills!G6*((R1247-1)*IF(Skills!H6&gt;0,Skills!I6/Skills!H6,1)+IF(Skills!H6&gt;0,MIN(Skills!I6,MAX(0,MAX(0,Inputs!$B$43-B1280)-((R1247-1)*IF(Inputs!$B$38="pvp",15,MAX(0.1,Skills!D6-IF(TRUE=TRUE,Inputs!$B$32,0)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1280)-((R1247-1)*IF(Inputs!$B$38="pvp",15,MAX(0.1,Skills!D6-IF(TRUE=TRUE,Inputs!$B$32,0))))))/Skills!H6,1)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Skills!G7*IF(Skills!H7&gt;0,IF(Inputs!$B$38="pvp",MIN(Skills!I7,15),Skills!I7)/Skills!H7,1)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IFERROR(1/IF(Inputs!$B$38="pvp",15,MAX(0.1,Skills!D7-IF(TRUE=TRUE,Inputs!$B$32,0))),0)</f>
        <v/>
      </c>
      <c r="R1248">
        <f>IF(AND(Inputs!$B$38&lt;&gt;"pvp",Inputs!$B$43&gt;0),IF(MAX(0,Inputs!$B$43-B1280)&lt;=0,0,(INT(MAX(0,Inputs!$B$43-B1280)/IF(Inputs!$B$38="pvp",15,MAX(0.1,Skills!D7-IF(TRUE=TRUE,Inputs!$B$32,0))))+1)),0)</f>
        <v/>
      </c>
      <c r="S1248">
        <f>IFERROR((H1248*N1248*IF(AND(Inputs!$B$38&lt;&gt;"pvp",Inputs!$B$43&gt;0),((Skills!G7*((R1248-1)*IF(Skills!H7&gt;0,Skills!I7/Skills!H7,1)+IF(Skills!H7&gt;0,MIN(Skills!I7,MAX(0,MAX(0,Inputs!$B$43-B1280)-((R1248-1)*IF(Inputs!$B$38="pvp",15,MAX(0.1,Skills!D7-IF(TRUE=TRUE,Inputs!$B$32,0))))))/Skills!H7,1)))/Inputs!$B$43),G1248*Q1248))/N1248*IF(Inputs!$B$38="pvp",1,(1-Summary!$B$11)*1+Summary!$B$11*(MIN(Skills!R7,Inputs!$B$37))),0)</f>
        <v/>
      </c>
      <c r="T1248">
        <f>IF(C1248,(H1248*N1248*IF(AND(Inputs!$B$38&lt;&gt;"pvp",Inputs!$B$43&gt;0),((Skills!G7*((R1248-1)*IF(Skills!H7&gt;0,Skills!I7/Skills!H7,1)+IF(Skills!H7&gt;0,MIN(Skills!I7,MAX(0,MAX(0,Inputs!$B$43-B1280)-((R1248-1)*IF(Inputs!$B$38="pvp",15,MAX(0.1,Skills!D7-IF(TRUE=TRUE,Inputs!$B$32,0)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1280)-((R1248-1)*IF(Inputs!$B$38="pvp",15,MAX(0.1,Skills!D7-IF(TRUE=TRUE,Inputs!$B$32,0))))))/Skills!H7,1)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Skills!G9*IF(Skills!H9&gt;0,IF(Inputs!$B$38="pvp",MIN(Skills!I9,15),Skills!I9)/Skills!H9,1)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IFERROR(1/IF(Inputs!$B$38="pvp",15,MAX(0.1,Skills!D9-IF(TRUE=TRUE,Inputs!$B$32,0))),0)</f>
        <v/>
      </c>
      <c r="R1250">
        <f>IF(AND(Inputs!$B$38&lt;&gt;"pvp",Inputs!$B$43&gt;0),IF(MAX(0,Inputs!$B$43-B1280)&lt;=0,0,(INT(MAX(0,Inputs!$B$43-B1280)/IF(Inputs!$B$38="pvp",15,MAX(0.1,Skills!D9-IF(TRUE=TRUE,Inputs!$B$32,0))))+1)),0)</f>
        <v/>
      </c>
      <c r="S1250">
        <f>IFERROR((H1250*N1250*IF(AND(Inputs!$B$38&lt;&gt;"pvp",Inputs!$B$43&gt;0),((Skills!G9*((R1250-1)*IF(Skills!H9&gt;0,Skills!I9/Skills!H9,1)+IF(Skills!H9&gt;0,MIN(Skills!I9,MAX(0,MAX(0,Inputs!$B$43-B1280)-((R1250-1)*IF(Inputs!$B$38="pvp",15,MAX(0.1,Skills!D9-IF(TRUE=TRUE,Inputs!$B$32,0))))))/Skills!H9,1)))/Inputs!$B$43),G1250*Q1250))/N1250*IF(Inputs!$B$38="pvp",1,(1-Summary!$B$11)*1+Summary!$B$11*(MIN(Skills!R9,Inputs!$B$37))),0)</f>
        <v/>
      </c>
      <c r="T1250">
        <f>IF(C1250,(H1250*N1250*IF(AND(Inputs!$B$38&lt;&gt;"pvp",Inputs!$B$43&gt;0),((Skills!G9*((R1250-1)*IF(Skills!H9&gt;0,Skills!I9/Skills!H9,1)+IF(Skills!H9&gt;0,MIN(Skills!I9,MAX(0,MAX(0,Inputs!$B$43-B1280)-((R1250-1)*IF(Inputs!$B$38="pvp",15,MAX(0.1,Skills!D9-IF(TRUE=TRUE,Inputs!$B$32,0)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1280)-((R1250-1)*IF(Inputs!$B$38="pvp",15,MAX(0.1,Skills!D9-IF(TRUE=TRUE,Inputs!$B$32,0))))))/Skills!H9,1)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Skills!G10*IF(Skills!H10&gt;0,IF(Inputs!$B$38="pvp",MIN(Skills!I10,15),Skills!I10)/Skills!H10,1)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Skills!G11*IF(Skills!H11&gt;0,IF(Inputs!$B$38="pvp",MIN(Skills!I11,15),Skills!I11)/Skills!H11,1)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IFERROR(1/IF(Inputs!$B$38="pvp",15,MAX(0.1,Skills!D11-IF(TRUE=TRUE,Inputs!$B$32,0))),0)</f>
        <v/>
      </c>
      <c r="R1252">
        <f>IF(AND(Inputs!$B$38&lt;&gt;"pvp",Inputs!$B$43&gt;0),IF(MAX(0,Inputs!$B$43-B1280)&lt;=0,0,(INT(MAX(0,Inputs!$B$43-B1280)/IF(Inputs!$B$38="pvp",15,MAX(0.1,Skills!D11-IF(TRUE=TRUE,Inputs!$B$32,0))))+1)),0)</f>
        <v/>
      </c>
      <c r="S1252">
        <f>IFERROR((H1252*N1252*IF(AND(Inputs!$B$38&lt;&gt;"pvp",Inputs!$B$43&gt;0),((Skills!G11*((R1252-1)*IF(Skills!H11&gt;0,Skills!I11/Skills!H11,1)+IF(Skills!H11&gt;0,MIN(Skills!I11,MAX(0,MAX(0,Inputs!$B$43-B1280)-((R1252-1)*IF(Inputs!$B$38="pvp",15,MAX(0.1,Skills!D11-IF(TRUE=TRUE,Inputs!$B$32,0))))))/Skills!H11,1)))/Inputs!$B$43),G1252*Q1252))/N1252*IF(Inputs!$B$38="pvp",1,(1-Summary!$B$11)*1+Summary!$B$11*(MIN(Skills!R11,Inputs!$B$37))),0)</f>
        <v/>
      </c>
      <c r="T1252">
        <f>IF(C1252,(H1252*N1252*IF(AND(Inputs!$B$38&lt;&gt;"pvp",Inputs!$B$43&gt;0),((Skills!G11*((R1252-1)*IF(Skills!H11&gt;0,Skills!I11/Skills!H11,1)+IF(Skills!H11&gt;0,MIN(Skills!I11,MAX(0,MAX(0,Inputs!$B$43-B1280)-((R1252-1)*IF(Inputs!$B$38="pvp",15,MAX(0.1,Skills!D11-IF(TRUE=TRUE,Inputs!$B$32,0)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Inputs!$B$38&lt;&gt;"pvp",Inputs!$B$43=0),1,IF(IF(Inputs!$B$38="pvp",15,Inputs!$B$43)-(B1280)&lt;=0,1,MAX(0,IF(Inputs!$B$38="pvp",15,Inputs!$B$43)-MAX(5,B1280))/(IF(Inputs!$B$38="pvp",15,Inputs!$B$43)-(B1280)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1280)-((R1252-1)*IF(Inputs!$B$38="pvp",15,MAX(0.1,Skills!D11-IF(TRUE=TRUE,Inputs!$B$32,0))))))/Skills!H11,1)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Skills!G12*IF(Skills!H12&gt;0,IF(Inputs!$B$38="pvp",MIN(Skills!I12,15),Skills!I12)/Skills!H12,1)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Skills!G13*IF(Skills!H13&gt;0,IF(Inputs!$B$38="pvp",MIN(Skills!I13,15),Skills!I13)/Skills!H13,1)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Skills!G14*IF(Skills!H14&gt;0,IF(Inputs!$B$38="pvp",MIN(Skills!I14,15),Skills!I14)/Skills!H14,1)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Skills!G15*IF(Skills!H15&gt;0,IF(Inputs!$B$38="pvp",MIN(Skills!I15,15),Skills!I15)/Skills!H15,1)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IFERROR(1/IF(Inputs!$B$38="pvp",15,MAX(0.1,Skills!D15-IF(TRUE=TRUE,Inputs!$B$32,0))),0)</f>
        <v/>
      </c>
      <c r="R1256">
        <f>IF(AND(Inputs!$B$38&lt;&gt;"pvp",Inputs!$B$43&gt;0),IF(Inputs!$B$43&lt;=0,0,(INT(Inputs!$B$43/IF(Inputs!$B$38="pvp",15,MAX(0.1,Skills!D15-IF(TRUE=TRUE,Inputs!$B$32,0))))+1)),0)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Skills!G16*IF(Skills!H16&gt;0,IF(Inputs!$B$38="pvp",MIN(Skills!I16,15),Skills!I16)/Skills!H16,1)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IFERROR(1/IF(Inputs!$B$38="pvp",15,MAX(0.1,Skills!D16-IF(TRUE=TRUE,Inputs!$B$32,0))),0)</f>
        <v/>
      </c>
      <c r="R1257">
        <f>IF(AND(Inputs!$B$38&lt;&gt;"pvp",Inputs!$B$43&gt;0),IF(Inputs!$B$43&lt;=0,0,(INT(Inputs!$B$43/IF(Inputs!$B$38="pvp",15,MAX(0.1,Skills!D16-IF(TRUE=TRUE,Inputs!$B$32,0))))+1)),0)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Skills!G17*IF(Skills!H17&gt;0,IF(Inputs!$B$38="pvp",MIN(Skills!I17,15),Skills!I17)/Skills!H17,1)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Skills!G18*IF(Skills!H18&gt;0,IF(Inputs!$B$38="pvp",MIN(Skills!I18,15),Skills!I18)/Skills!H18,1)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IFERROR(1/IF(Inputs!$B$38="pvp",15,MAX(0.1,Skills!D18-IF(TRUE=TRUE,Inputs!$B$32,0))),0)</f>
        <v/>
      </c>
      <c r="R1259">
        <f>IF(AND(Inputs!$B$38&lt;&gt;"pvp",Inputs!$B$43&gt;0),IF(Inputs!$B$43&lt;=0,0,(INT(Inputs!$B$43/IF(Inputs!$B$38="pvp",15,MAX(0.1,Skills!D18-IF(TRUE=TRUE,Inputs!$B$32,0))))+1)),0)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Skills!G19*IF(Skills!H19&gt;0,IF(Inputs!$B$38="pvp",MIN(Skills!I19,15),Skills!I19)/Skills!H19,1)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Skills!G20*IF(Skills!H20&gt;0,IF(Inputs!$B$38="pvp",MIN(Skills!I20,15),Skills!I20)/Skills!H20,1)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Skills!G21*IF(Skills!H21&gt;0,IF(Inputs!$B$38="pvp",MIN(Skills!I21,15),Skills!I21)/Skills!H21,1)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Skills!G22*IF(Skills!H22&gt;0,IF(Inputs!$B$38="pvp",MIN(Skills!I22,15),Skills!I22)/Skills!H22,1)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Skills!G23*IF(Skills!H23&gt;0,IF(Inputs!$B$38="pvp",MIN(Skills!I23,15),Skills!I23)/Skills!H23,1)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Skills!G24*IF(Skills!H24&gt;0,IF(Inputs!$B$38="pvp",MIN(Skills!I24,15),Skills!I24)/Skills!H24,1)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Skills!G25*IF(Skills!H25&gt;0,IF(Inputs!$B$38="pvp",MIN(Skills!I25,15),Skills!I25)/Skills!H25,1)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Skills!G26*IF(Skills!H26&gt;0,IF(Inputs!$B$38="pvp",MIN(Skills!I26,15),Skills!I26)/Skills!H26,1)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Skills!G27*IF(Skills!H27&gt;0,IF(Inputs!$B$38="pvp",MIN(Skills!I27,15),Skills!I27)/Skills!H27,1)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Skills!G28*IF(Skills!H28&gt;0,IF(Inputs!$B$38="pvp",MIN(Skills!I28,15),Skills!I28)/Skills!H28,1)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Skills!G29*IF(Skills!H29&gt;0,IF(Inputs!$B$38="pvp",MIN(Skills!I29,15),Skills!I29)/Skills!H29,1)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MIN((Skills!T15*(1+Inputs!$B$34/100)),(1/Q1256))+MIN((Skills!T15*(1+Inputs!$B$34/100)),MAX(0,Inputs!$B$43-((R1256-1)*(1/Q1256)))))/Inputs!$B$43),IF(Inputs!$B$38="pvp",MIN((Skills!T15*(1+Inputs!$B$34/100)),15)/15,MIN(1,(Skills!T15*(1+Inputs!$B$34/100))/(1/Q1256)))))+((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t="n">
        <v>0</v>
      </c>
    </row>
    <row r="1274">
      <c r="A1274" t="inlineStr">
        <is>
          <t>Attack Speed Buff Bonus %</t>
        </is>
      </c>
      <c r="B1274">
        <f>((C1259=TRUE)*F1259*IF(AND(Inputs!$B$38&lt;&gt;"pvp",Inputs!$B$43&gt;0),(((R1259-1)*MIN((Skills!T18*(1+Inputs!$B$34/100)),(1/Q1259))+MIN((Skills!T18*(1+Inputs!$B$34/100)),MAX(0,Inputs!$B$43-((R1259-1)*(1/Q1259)))))/Inputs!$B$43),IF(Inputs!$B$38="pvp",MIN((Skills!T18*(1+Inputs!$B$34/100)),15)/15,MIN(1,(Skills!T18*(1+Inputs!$B$34/100))/(1/Q1259)))))</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MIN((Skills!T16*(1+Inputs!$B$34/100)),(1/Q1257))+MIN((Skills!T16*(1+Inputs!$B$34/100)),MAX(0,Inputs!$B$43-((R1257-1)*(1/Q1257)))))/Inputs!$B$43),IF(Inputs!$B$38="pvp",MIN((Skills!T16*(1+Inputs!$B$34/100)),15)/15,MIN(1,(Skills!T16*(1+Inputs!$B$34/100))/(1/Q1257))))</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Skills!G2*IF(Skills!H2&gt;0,IF(Inputs!$B$38="pvp",MIN(Skills!I2,15),Skills!I2)/Skills!H2,1)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Skills!G5*IF(Skills!H5&gt;0,IF(Inputs!$B$38="pvp",MIN(Skills!I5,15),Skills!I5)/Skills!H5,1)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IFERROR(1/IF(Inputs!$B$38="pvp",15,MAX(0.1,Skills!D5-IF(TRUE=TRUE,Inputs!$B$32,0))),0)</f>
        <v/>
      </c>
      <c r="R1291">
        <f>IF(AND(Inputs!$B$38&lt;&gt;"pvp",Inputs!$B$43&gt;0),IF(MAX(0,Inputs!$B$43-B1325)&lt;=0,0,(INT(MAX(0,Inputs!$B$43-B1325)/IF(Inputs!$B$38="pvp",15,MAX(0.1,Skills!D5-IF(TRUE=TRUE,Inputs!$B$32,0))))+1)),0)</f>
        <v/>
      </c>
      <c r="S1291">
        <f>IFERROR((H1291*N1291*IF(AND(Inputs!$B$38&lt;&gt;"pvp",Inputs!$B$43&gt;0),((Skills!G5*((R1291-1)*IF(Skills!H5&gt;0,Skills!I5/Skills!H5,1)+IF(Skills!H5&gt;0,MIN(Skills!I5,MAX(0,MAX(0,Inputs!$B$43-B1325)-((R1291-1)*IF(Inputs!$B$38="pvp",15,MAX(0.1,Skills!D5-IF(TRUE=TRUE,Inputs!$B$32,0))))))/Skills!H5,1)))/Inputs!$B$43),G1291*Q1291))/N1291*IF(Inputs!$B$38="pvp",1,(1-Summary!$B$11)*1+Summary!$B$11*(MIN(Skills!R5,Inputs!$B$37))),0)</f>
        <v/>
      </c>
      <c r="T1291">
        <f>IF(C1291,(H1291*N1291*IF(AND(Inputs!$B$38&lt;&gt;"pvp",Inputs!$B$43&gt;0),((Skills!G5*((R1291-1)*IF(Skills!H5&gt;0,Skills!I5/Skills!H5,1)+IF(Skills!H5&gt;0,MIN(Skills!I5,MAX(0,MAX(0,Inputs!$B$43-B1325)-((R1291-1)*IF(Inputs!$B$38="pvp",15,MAX(0.1,Skills!D5-IF(TRUE=TRUE,Inputs!$B$32,0))))))/Skills!H5,1)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Skills!I5/Skills!H5,1)+IF(Skills!H5&gt;0,MIN(Skills!I5,MAX(0,MAX(0,Inputs!$B$43-B1325)-((R1291-1)*IF(Inputs!$B$38="pvp",15,MAX(0.1,Skills!D5-IF(TRUE=TRUE,Inputs!$B$32,0))))))/Skills!H5,1)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Skills!G6*IF(Skills!H6&gt;0,IF(Inputs!$B$38="pvp",MIN(Skills!I6,15),Skills!I6)/Skills!H6,1)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IFERROR(1/IF(Inputs!$B$38="pvp",15,MAX(0.1,Skills!D6-IF(TRUE=TRUE,Inputs!$B$32,0))),0)</f>
        <v/>
      </c>
      <c r="R1292">
        <f>IF(AND(Inputs!$B$38&lt;&gt;"pvp",Inputs!$B$43&gt;0),IF(MAX(0,Inputs!$B$43-B1325)&lt;=0,0,(INT(MAX(0,Inputs!$B$43-B1325)/IF(Inputs!$B$38="pvp",15,MAX(0.1,Skills!D6-IF(TRUE=TRUE,Inputs!$B$32,0))))+1)),0)</f>
        <v/>
      </c>
      <c r="S1292">
        <f>IFERROR((H1292*N1292*IF(AND(Inputs!$B$38&lt;&gt;"pvp",Inputs!$B$43&gt;0),((Skills!G6*((R1292-1)*IF(Skills!H6&gt;0,Skills!I6/Skills!H6,1)+IF(Skills!H6&gt;0,MIN(Skills!I6,MAX(0,MAX(0,Inputs!$B$43-B1325)-((R1292-1)*IF(Inputs!$B$38="pvp",15,MAX(0.1,Skills!D6-IF(TRUE=TRUE,Inputs!$B$32,0))))))/Skills!H6,1)))/Inputs!$B$43),G1292*Q1292))/N1292*IF(Inputs!$B$38="pvp",1,(1-Summary!$B$11)*1+Summary!$B$11*(MIN(Skills!R6,Inputs!$B$37))),0)</f>
        <v/>
      </c>
      <c r="T1292">
        <f>IF(C1292,(H1292*N1292*IF(AND(Inputs!$B$38&lt;&gt;"pvp",Inputs!$B$43&gt;0),((Skills!G6*((R1292-1)*IF(Skills!H6&gt;0,Skills!I6/Skills!H6,1)+IF(Skills!H6&gt;0,MIN(Skills!I6,MAX(0,MAX(0,Inputs!$B$43-B1325)-((R1292-1)*IF(Inputs!$B$38="pvp",15,MAX(0.1,Skills!D6-IF(TRUE=TRUE,Inputs!$B$32,0)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1325)-((R1292-1)*IF(Inputs!$B$38="pvp",15,MAX(0.1,Skills!D6-IF(TRUE=TRUE,Inputs!$B$32,0))))))/Skills!H6,1)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Skills!G7*IF(Skills!H7&gt;0,IF(Inputs!$B$38="pvp",MIN(Skills!I7,15),Skills!I7)/Skills!H7,1)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IFERROR(1/IF(Inputs!$B$38="pvp",15,MAX(0.1,Skills!D7-IF(TRUE=TRUE,Inputs!$B$32,0))),0)</f>
        <v/>
      </c>
      <c r="R1293">
        <f>IF(AND(Inputs!$B$38&lt;&gt;"pvp",Inputs!$B$43&gt;0),IF(MAX(0,Inputs!$B$43-B1325)&lt;=0,0,(INT(MAX(0,Inputs!$B$43-B1325)/IF(Inputs!$B$38="pvp",15,MAX(0.1,Skills!D7-IF(TRUE=TRUE,Inputs!$B$32,0))))+1)),0)</f>
        <v/>
      </c>
      <c r="S1293">
        <f>IFERROR((H1293*N1293*IF(AND(Inputs!$B$38&lt;&gt;"pvp",Inputs!$B$43&gt;0),((Skills!G7*((R1293-1)*IF(Skills!H7&gt;0,Skills!I7/Skills!H7,1)+IF(Skills!H7&gt;0,MIN(Skills!I7,MAX(0,MAX(0,Inputs!$B$43-B1325)-((R1293-1)*IF(Inputs!$B$38="pvp",15,MAX(0.1,Skills!D7-IF(TRUE=TRUE,Inputs!$B$32,0))))))/Skills!H7,1)))/Inputs!$B$43),G1293*Q1293))/N1293*IF(Inputs!$B$38="pvp",1,(1-Summary!$B$11)*1+Summary!$B$11*(MIN(Skills!R7,Inputs!$B$37))),0)</f>
        <v/>
      </c>
      <c r="T1293">
        <f>IF(C1293,(H1293*N1293*IF(AND(Inputs!$B$38&lt;&gt;"pvp",Inputs!$B$43&gt;0),((Skills!G7*((R1293-1)*IF(Skills!H7&gt;0,Skills!I7/Skills!H7,1)+IF(Skills!H7&gt;0,MIN(Skills!I7,MAX(0,MAX(0,Inputs!$B$43-B1325)-((R1293-1)*IF(Inputs!$B$38="pvp",15,MAX(0.1,Skills!D7-IF(TRUE=TRUE,Inputs!$B$32,0)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1325)-((R1293-1)*IF(Inputs!$B$38="pvp",15,MAX(0.1,Skills!D7-IF(TRUE=TRUE,Inputs!$B$32,0))))))/Skills!H7,1)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Skills!G9*IF(Skills!H9&gt;0,IF(Inputs!$B$38="pvp",MIN(Skills!I9,15),Skills!I9)/Skills!H9,1)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IFERROR(1/IF(Inputs!$B$38="pvp",15,MAX(0.1,Skills!D9-IF(TRUE=TRUE,Inputs!$B$32,0))),0)</f>
        <v/>
      </c>
      <c r="R1295">
        <f>IF(AND(Inputs!$B$38&lt;&gt;"pvp",Inputs!$B$43&gt;0),IF(MAX(0,Inputs!$B$43-B1325)&lt;=0,0,(INT(MAX(0,Inputs!$B$43-B1325)/IF(Inputs!$B$38="pvp",15,MAX(0.1,Skills!D9-IF(TRUE=TRUE,Inputs!$B$32,0))))+1)),0)</f>
        <v/>
      </c>
      <c r="S1295">
        <f>IFERROR((H1295*N1295*IF(AND(Inputs!$B$38&lt;&gt;"pvp",Inputs!$B$43&gt;0),((Skills!G9*((R1295-1)*IF(Skills!H9&gt;0,Skills!I9/Skills!H9,1)+IF(Skills!H9&gt;0,MIN(Skills!I9,MAX(0,MAX(0,Inputs!$B$43-B1325)-((R1295-1)*IF(Inputs!$B$38="pvp",15,MAX(0.1,Skills!D9-IF(TRUE=TRUE,Inputs!$B$32,0))))))/Skills!H9,1)))/Inputs!$B$43),G1295*Q1295))/N1295*IF(Inputs!$B$38="pvp",1,(1-Summary!$B$11)*1+Summary!$B$11*(MIN(Skills!R9,Inputs!$B$37))),0)</f>
        <v/>
      </c>
      <c r="T1295">
        <f>IF(C1295,(H1295*N1295*IF(AND(Inputs!$B$38&lt;&gt;"pvp",Inputs!$B$43&gt;0),((Skills!G9*((R1295-1)*IF(Skills!H9&gt;0,Skills!I9/Skills!H9,1)+IF(Skills!H9&gt;0,MIN(Skills!I9,MAX(0,MAX(0,Inputs!$B$43-B1325)-((R1295-1)*IF(Inputs!$B$38="pvp",15,MAX(0.1,Skills!D9-IF(TRUE=TRUE,Inputs!$B$32,0)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1325)-((R1295-1)*IF(Inputs!$B$38="pvp",15,MAX(0.1,Skills!D9-IF(TRUE=TRUE,Inputs!$B$32,0))))))/Skills!H9,1)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Skills!G10*IF(Skills!H10&gt;0,IF(Inputs!$B$38="pvp",MIN(Skills!I10,15),Skills!I10)/Skills!H10,1)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Skills!G11*IF(Skills!H11&gt;0,IF(Inputs!$B$38="pvp",MIN(Skills!I11,15),Skills!I11)/Skills!H11,1)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IFERROR(1/IF(Inputs!$B$38="pvp",15,MAX(0.1,Skills!D11-IF(TRUE=TRUE,Inputs!$B$32,0))),0)</f>
        <v/>
      </c>
      <c r="R1297">
        <f>IF(AND(Inputs!$B$38&lt;&gt;"pvp",Inputs!$B$43&gt;0),IF(MAX(0,Inputs!$B$43-B1325)&lt;=0,0,(INT(MAX(0,Inputs!$B$43-B1325)/IF(Inputs!$B$38="pvp",15,MAX(0.1,Skills!D11-IF(TRUE=TRUE,Inputs!$B$32,0))))+1)),0)</f>
        <v/>
      </c>
      <c r="S1297">
        <f>IFERROR((H1297*N1297*IF(AND(Inputs!$B$38&lt;&gt;"pvp",Inputs!$B$43&gt;0),((Skills!G11*((R1297-1)*IF(Skills!H11&gt;0,Skills!I11/Skills!H11,1)+IF(Skills!H11&gt;0,MIN(Skills!I11,MAX(0,MAX(0,Inputs!$B$43-B1325)-((R1297-1)*IF(Inputs!$B$38="pvp",15,MAX(0.1,Skills!D11-IF(TRUE=TRUE,Inputs!$B$32,0))))))/Skills!H11,1)))/Inputs!$B$43),G1297*Q1297))/N1297*IF(Inputs!$B$38="pvp",1,(1-Summary!$B$11)*1+Summary!$B$11*(MIN(Skills!R11,Inputs!$B$37))),0)</f>
        <v/>
      </c>
      <c r="T1297">
        <f>IF(C1297,(H1297*N1297*IF(AND(Inputs!$B$38&lt;&gt;"pvp",Inputs!$B$43&gt;0),((Skills!G11*((R1297-1)*IF(Skills!H11&gt;0,Skills!I11/Skills!H11,1)+IF(Skills!H11&gt;0,MIN(Skills!I11,MAX(0,MAX(0,Inputs!$B$43-B1325)-((R1297-1)*IF(Inputs!$B$38="pvp",15,MAX(0.1,Skills!D11-IF(TRUE=TRUE,Inputs!$B$32,0))))))/Skills!H11,1)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Inputs!$B$38&lt;&gt;"pvp",Inputs!$B$43=0),1,IF(IF(Inputs!$B$38="pvp",15,Inputs!$B$43)-(B1325)&lt;=0,1,MAX(0,IF(Inputs!$B$38="pvp",15,Inputs!$B$43)-MAX(5,B1325))/(IF(Inputs!$B$38="pvp",15,Inputs!$B$43)-(B1325))))*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Skills!I11/Skills!H11,1)+IF(Skills!H11&gt;0,MIN(Skills!I11,MAX(0,MAX(0,Inputs!$B$43-B1325)-((R1297-1)*IF(Inputs!$B$38="pvp",15,MAX(0.1,Skills!D11-IF(TRUE=TRUE,Inputs!$B$32,0))))))/Skills!H11,1)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Skills!G12*IF(Skills!H12&gt;0,IF(Inputs!$B$38="pvp",MIN(Skills!I12,15),Skills!I12)/Skills!H12,1)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Skills!G13*IF(Skills!H13&gt;0,IF(Inputs!$B$38="pvp",MIN(Skills!I13,15),Skills!I13)/Skills!H13,1)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Skills!G14*IF(Skills!H14&gt;0,IF(Inputs!$B$38="pvp",MIN(Skills!I14,15),Skills!I14)/Skills!H14,1)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Skills!G15*IF(Skills!H15&gt;0,IF(Inputs!$B$38="pvp",MIN(Skills!I15,15),Skills!I15)/Skills!H15,1)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IFERROR(1/IF(Inputs!$B$38="pvp",15,MAX(0.1,Skills!D15-IF(TRUE=TRUE,Inputs!$B$32,0))),0)</f>
        <v/>
      </c>
      <c r="R1301">
        <f>IF(AND(Inputs!$B$38&lt;&gt;"pvp",Inputs!$B$43&gt;0),IF(Inputs!$B$43&lt;=0,0,(INT(Inputs!$B$43/IF(Inputs!$B$38="pvp",15,MAX(0.1,Skills!D15-IF(TRUE=TRUE,Inputs!$B$32,0))))+1)),0)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Skills!G16*IF(Skills!H16&gt;0,IF(Inputs!$B$38="pvp",MIN(Skills!I16,15),Skills!I16)/Skills!H16,1)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IFERROR(1/IF(Inputs!$B$38="pvp",15,MAX(0.1,Skills!D16-IF(TRUE=TRUE,Inputs!$B$32,0))),0)</f>
        <v/>
      </c>
      <c r="R1302">
        <f>IF(AND(Inputs!$B$38&lt;&gt;"pvp",Inputs!$B$43&gt;0),IF(Inputs!$B$43&lt;=0,0,(INT(Inputs!$B$43/IF(Inputs!$B$38="pvp",15,MAX(0.1,Skills!D16-IF(TRUE=TRUE,Inputs!$B$32,0))))+1)),0)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Skills!G17*IF(Skills!H17&gt;0,IF(Inputs!$B$38="pvp",MIN(Skills!I17,15),Skills!I17)/Skills!H17,1)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Skills!G18*IF(Skills!H18&gt;0,IF(Inputs!$B$38="pvp",MIN(Skills!I18,15),Skills!I18)/Skills!H18,1)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IFERROR(1/IF(Inputs!$B$38="pvp",15,MAX(0.1,Skills!D18-IF(TRUE=TRUE,Inputs!$B$32,0))),0)</f>
        <v/>
      </c>
      <c r="R1304">
        <f>IF(AND(Inputs!$B$38&lt;&gt;"pvp",Inputs!$B$43&gt;0),IF(Inputs!$B$43&lt;=0,0,(INT(Inputs!$B$43/IF(Inputs!$B$38="pvp",15,MAX(0.1,Skills!D18-IF(TRUE=TRUE,Inputs!$B$32,0))))+1)),0)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Skills!G19*IF(Skills!H19&gt;0,IF(Inputs!$B$38="pvp",MIN(Skills!I19,15),Skills!I19)/Skills!H19,1)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Skills!G20*IF(Skills!H20&gt;0,IF(Inputs!$B$38="pvp",MIN(Skills!I20,15),Skills!I20)/Skills!H20,1)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Skills!G21*IF(Skills!H21&gt;0,IF(Inputs!$B$38="pvp",MIN(Skills!I21,15),Skills!I21)/Skills!H21,1)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Skills!G22*IF(Skills!H22&gt;0,IF(Inputs!$B$38="pvp",MIN(Skills!I22,15),Skills!I22)/Skills!H22,1)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Skills!G23*IF(Skills!H23&gt;0,IF(Inputs!$B$38="pvp",MIN(Skills!I23,15),Skills!I23)/Skills!H23,1)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Skills!G24*IF(Skills!H24&gt;0,IF(Inputs!$B$38="pvp",MIN(Skills!I24,15),Skills!I24)/Skills!H24,1)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Skills!G25*IF(Skills!H25&gt;0,IF(Inputs!$B$38="pvp",MIN(Skills!I25,15),Skills!I25)/Skills!H25,1)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Skills!G26*IF(Skills!H26&gt;0,IF(Inputs!$B$38="pvp",MIN(Skills!I26,15),Skills!I26)/Skills!H26,1)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Skills!G27*IF(Skills!H27&gt;0,IF(Inputs!$B$38="pvp",MIN(Skills!I27,15),Skills!I27)/Skills!H27,1)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Skills!G28*IF(Skills!H28&gt;0,IF(Inputs!$B$38="pvp",MIN(Skills!I28,15),Skills!I28)/Skills!H28,1)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Skills!G29*IF(Skills!H29&gt;0,IF(Inputs!$B$38="pvp",MIN(Skills!I29,15),Skills!I29)/Skills!H29,1)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MIN((Skills!T15*(1+Inputs!$B$34/100)),(1/Q1301))+MIN((Skills!T15*(1+Inputs!$B$34/100)),MAX(0,Inputs!$B$43-((R1301-1)*(1/Q1301)))))/Inputs!$B$43),IF(Inputs!$B$38="pvp",MIN((Skills!T15*(1+Inputs!$B$34/100)),15)/15,MIN(1,(Skills!T15*(1+Inputs!$B$34/100))/(1/Q1301)))))+((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1304=TRUE)*F1304*IF(AND(Inputs!$B$38&lt;&gt;"pvp",Inputs!$B$43&gt;0),(((R1304-1)*MIN((Skills!T18*(1+Inputs!$B$34/100)),(1/Q1304))+MIN((Skills!T18*(1+Inputs!$B$34/100)),MAX(0,Inputs!$B$43-((R1304-1)*(1/Q1304)))))/Inputs!$B$43),IF(Inputs!$B$38="pvp",MIN((Skills!T18*(1+Inputs!$B$34/100)),15)/15,MIN(1,(Skills!T18*(1+Inputs!$B$34/100))/(1/Q1304)))))</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MIN((Skills!T16*(1+Inputs!$B$34/100)),(1/Q1302))+MIN((Skills!T16*(1+Inputs!$B$34/100)),MAX(0,Inputs!$B$43-((R1302-1)*(1/Q1302)))))/Inputs!$B$43),IF(Inputs!$B$38="pvp",MIN((Skills!T16*(1+Inputs!$B$34/100)),15)/15,MIN(1,(Skills!T16*(1+Inputs!$B$34/100))/(1/Q1302))))</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Skills!G2*IF(Skills!H2&gt;0,IF(Inputs!$B$38="pvp",MIN(Skills!I2,15),Skills!I2)/Skills!H2,1)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Skills!G5*IF(Skills!H5&gt;0,IF(Inputs!$B$38="pvp",MIN(Skills!I5,15),Skills!I5)/Skills!H5,1)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IFERROR(1/IF(Inputs!$B$38="pvp",15,MAX(0.1,Skills!D5-IF(TRUE=TRUE,Inputs!$B$32,0))),0)</f>
        <v/>
      </c>
      <c r="R1336">
        <f>IF(AND(Inputs!$B$38&lt;&gt;"pvp",Inputs!$B$43&gt;0),IF(MAX(0,Inputs!$B$43-B1370)&lt;=0,0,(INT(MAX(0,Inputs!$B$43-B1370)/IF(Inputs!$B$38="pvp",15,MAX(0.1,Skills!D5-IF(TRUE=TRUE,Inputs!$B$32,0))))+1)),0)</f>
        <v/>
      </c>
      <c r="S1336">
        <f>IFERROR((H1336*N1336*IF(AND(Inputs!$B$38&lt;&gt;"pvp",Inputs!$B$43&gt;0),((Skills!G5*((R1336-1)*IF(Skills!H5&gt;0,Skills!I5/Skills!H5,1)+IF(Skills!H5&gt;0,MIN(Skills!I5,MAX(0,MAX(0,Inputs!$B$43-B1370)-((R1336-1)*IF(Inputs!$B$38="pvp",15,MAX(0.1,Skills!D5-IF(TRUE=TRUE,Inputs!$B$32,0))))))/Skills!H5,1)))/Inputs!$B$43),G1336*Q1336))/N1336*IF(Inputs!$B$38="pvp",1,(1-Summary!$B$11)*1+Summary!$B$11*(MIN(Skills!R5,Inputs!$B$37))),0)</f>
        <v/>
      </c>
      <c r="T1336">
        <f>IF(C1336,(H1336*N1336*IF(AND(Inputs!$B$38&lt;&gt;"pvp",Inputs!$B$43&gt;0),((Skills!G5*((R1336-1)*IF(Skills!H5&gt;0,Skills!I5/Skills!H5,1)+IF(Skills!H5&gt;0,MIN(Skills!I5,MAX(0,MAX(0,Inputs!$B$43-B1370)-((R1336-1)*IF(Inputs!$B$38="pvp",15,MAX(0.1,Skills!D5-IF(TRUE=TRUE,Inputs!$B$32,0)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1370)-((R1336-1)*IF(Inputs!$B$38="pvp",15,MAX(0.1,Skills!D5-IF(TRUE=TRUE,Inputs!$B$32,0))))))/Skills!H5,1)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Skills!G6*IF(Skills!H6&gt;0,IF(Inputs!$B$38="pvp",MIN(Skills!I6,15),Skills!I6)/Skills!H6,1)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IFERROR(1/IF(Inputs!$B$38="pvp",15,MAX(0.1,Skills!D6-IF(TRUE=TRUE,Inputs!$B$32,0))),0)</f>
        <v/>
      </c>
      <c r="R1337">
        <f>IF(AND(Inputs!$B$38&lt;&gt;"pvp",Inputs!$B$43&gt;0),IF(MAX(0,Inputs!$B$43-B1370)&lt;=0,0,(INT(MAX(0,Inputs!$B$43-B1370)/IF(Inputs!$B$38="pvp",15,MAX(0.1,Skills!D6-IF(TRUE=TRUE,Inputs!$B$32,0))))+1)),0)</f>
        <v/>
      </c>
      <c r="S1337">
        <f>IFERROR((H1337*N1337*IF(AND(Inputs!$B$38&lt;&gt;"pvp",Inputs!$B$43&gt;0),((Skills!G6*((R1337-1)*IF(Skills!H6&gt;0,Skills!I6/Skills!H6,1)+IF(Skills!H6&gt;0,MIN(Skills!I6,MAX(0,MAX(0,Inputs!$B$43-B1370)-((R1337-1)*IF(Inputs!$B$38="pvp",15,MAX(0.1,Skills!D6-IF(TRUE=TRUE,Inputs!$B$32,0))))))/Skills!H6,1)))/Inputs!$B$43),G1337*Q1337))/N1337*IF(Inputs!$B$38="pvp",1,(1-Summary!$B$11)*1+Summary!$B$11*(MIN(Skills!R6,Inputs!$B$37))),0)</f>
        <v/>
      </c>
      <c r="T1337">
        <f>IF(C1337,(H1337*N1337*IF(AND(Inputs!$B$38&lt;&gt;"pvp",Inputs!$B$43&gt;0),((Skills!G6*((R1337-1)*IF(Skills!H6&gt;0,Skills!I6/Skills!H6,1)+IF(Skills!H6&gt;0,MIN(Skills!I6,MAX(0,MAX(0,Inputs!$B$43-B1370)-((R1337-1)*IF(Inputs!$B$38="pvp",15,MAX(0.1,Skills!D6-IF(TRUE=TRUE,Inputs!$B$32,0)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1370)-((R1337-1)*IF(Inputs!$B$38="pvp",15,MAX(0.1,Skills!D6-IF(TRUE=TRUE,Inputs!$B$32,0))))))/Skills!H6,1)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Skills!G7*IF(Skills!H7&gt;0,IF(Inputs!$B$38="pvp",MIN(Skills!I7,15),Skills!I7)/Skills!H7,1)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IFERROR(1/IF(Inputs!$B$38="pvp",15,MAX(0.1,Skills!D7-IF(TRUE=TRUE,Inputs!$B$32,0))),0)</f>
        <v/>
      </c>
      <c r="R1338">
        <f>IF(AND(Inputs!$B$38&lt;&gt;"pvp",Inputs!$B$43&gt;0),IF(MAX(0,Inputs!$B$43-B1370)&lt;=0,0,(INT(MAX(0,Inputs!$B$43-B1370)/IF(Inputs!$B$38="pvp",15,MAX(0.1,Skills!D7-IF(TRUE=TRUE,Inputs!$B$32,0))))+1)),0)</f>
        <v/>
      </c>
      <c r="S1338">
        <f>IFERROR((H1338*N1338*IF(AND(Inputs!$B$38&lt;&gt;"pvp",Inputs!$B$43&gt;0),((Skills!G7*((R1338-1)*IF(Skills!H7&gt;0,Skills!I7/Skills!H7,1)+IF(Skills!H7&gt;0,MIN(Skills!I7,MAX(0,MAX(0,Inputs!$B$43-B1370)-((R1338-1)*IF(Inputs!$B$38="pvp",15,MAX(0.1,Skills!D7-IF(TRUE=TRUE,Inputs!$B$32,0))))))/Skills!H7,1)))/Inputs!$B$43),G1338*Q1338))/N1338*IF(Inputs!$B$38="pvp",1,(1-Summary!$B$11)*1+Summary!$B$11*(MIN(Skills!R7,Inputs!$B$37))),0)</f>
        <v/>
      </c>
      <c r="T1338">
        <f>IF(C1338,(H1338*N1338*IF(AND(Inputs!$B$38&lt;&gt;"pvp",Inputs!$B$43&gt;0),((Skills!G7*((R1338-1)*IF(Skills!H7&gt;0,Skills!I7/Skills!H7,1)+IF(Skills!H7&gt;0,MIN(Skills!I7,MAX(0,MAX(0,Inputs!$B$43-B1370)-((R1338-1)*IF(Inputs!$B$38="pvp",15,MAX(0.1,Skills!D7-IF(TRUE=TRUE,Inputs!$B$32,0)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1370)-((R1338-1)*IF(Inputs!$B$38="pvp",15,MAX(0.1,Skills!D7-IF(TRUE=TRUE,Inputs!$B$32,0))))))/Skills!H7,1)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Skills!G9*IF(Skills!H9&gt;0,IF(Inputs!$B$38="pvp",MIN(Skills!I9,15),Skills!I9)/Skills!H9,1)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IFERROR(1/IF(Inputs!$B$38="pvp",15,MAX(0.1,Skills!D9-IF(TRUE=TRUE,Inputs!$B$32,0))),0)</f>
        <v/>
      </c>
      <c r="R1340">
        <f>IF(AND(Inputs!$B$38&lt;&gt;"pvp",Inputs!$B$43&gt;0),IF(MAX(0,Inputs!$B$43-B1370)&lt;=0,0,(INT(MAX(0,Inputs!$B$43-B1370)/IF(Inputs!$B$38="pvp",15,MAX(0.1,Skills!D9-IF(TRUE=TRUE,Inputs!$B$32,0))))+1)),0)</f>
        <v/>
      </c>
      <c r="S1340">
        <f>IFERROR((H1340*N1340*IF(AND(Inputs!$B$38&lt;&gt;"pvp",Inputs!$B$43&gt;0),((Skills!G9*((R1340-1)*IF(Skills!H9&gt;0,Skills!I9/Skills!H9,1)+IF(Skills!H9&gt;0,MIN(Skills!I9,MAX(0,MAX(0,Inputs!$B$43-B1370)-((R1340-1)*IF(Inputs!$B$38="pvp",15,MAX(0.1,Skills!D9-IF(TRUE=TRUE,Inputs!$B$32,0))))))/Skills!H9,1)))/Inputs!$B$43),G1340*Q1340))/N1340*IF(Inputs!$B$38="pvp",1,(1-Summary!$B$11)*1+Summary!$B$11*(MIN(Skills!R9,Inputs!$B$37))),0)</f>
        <v/>
      </c>
      <c r="T1340">
        <f>IF(C1340,(H1340*N1340*IF(AND(Inputs!$B$38&lt;&gt;"pvp",Inputs!$B$43&gt;0),((Skills!G9*((R1340-1)*IF(Skills!H9&gt;0,Skills!I9/Skills!H9,1)+IF(Skills!H9&gt;0,MIN(Skills!I9,MAX(0,MAX(0,Inputs!$B$43-B1370)-((R1340-1)*IF(Inputs!$B$38="pvp",15,MAX(0.1,Skills!D9-IF(TRUE=TRUE,Inputs!$B$32,0)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1370)-((R1340-1)*IF(Inputs!$B$38="pvp",15,MAX(0.1,Skills!D9-IF(TRUE=TRUE,Inputs!$B$32,0))))))/Skills!H9,1)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Skills!G10*IF(Skills!H10&gt;0,IF(Inputs!$B$38="pvp",MIN(Skills!I10,15),Skills!I10)/Skills!H10,1)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Skills!G11*IF(Skills!H11&gt;0,IF(Inputs!$B$38="pvp",MIN(Skills!I11,15),Skills!I11)/Skills!H11,1)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IFERROR(1/IF(Inputs!$B$38="pvp",15,MAX(0.1,Skills!D11-IF(TRUE=TRUE,Inputs!$B$32,0))),0)</f>
        <v/>
      </c>
      <c r="R1342">
        <f>IF(AND(Inputs!$B$38&lt;&gt;"pvp",Inputs!$B$43&gt;0),IF(MAX(0,Inputs!$B$43-B1370)&lt;=0,0,(INT(MAX(0,Inputs!$B$43-B1370)/IF(Inputs!$B$38="pvp",15,MAX(0.1,Skills!D11-IF(TRUE=TRUE,Inputs!$B$32,0))))+1)),0)</f>
        <v/>
      </c>
      <c r="S1342">
        <f>IFERROR((H1342*N1342*IF(AND(Inputs!$B$38&lt;&gt;"pvp",Inputs!$B$43&gt;0),((Skills!G11*((R1342-1)*IF(Skills!H11&gt;0,Skills!I11/Skills!H11,1)+IF(Skills!H11&gt;0,MIN(Skills!I11,MAX(0,MAX(0,Inputs!$B$43-B1370)-((R1342-1)*IF(Inputs!$B$38="pvp",15,MAX(0.1,Skills!D11-IF(TRUE=TRUE,Inputs!$B$32,0))))))/Skills!H11,1)))/Inputs!$B$43),G1342*Q1342))/N1342*IF(Inputs!$B$38="pvp",1,(1-Summary!$B$11)*1+Summary!$B$11*(MIN(Skills!R11,Inputs!$B$37))),0)</f>
        <v/>
      </c>
      <c r="T1342">
        <f>IF(C1342,(H1342*N1342*IF(AND(Inputs!$B$38&lt;&gt;"pvp",Inputs!$B$43&gt;0),((Skills!G11*((R1342-1)*IF(Skills!H11&gt;0,Skills!I11/Skills!H11,1)+IF(Skills!H11&gt;0,MIN(Skills!I11,MAX(0,MAX(0,Inputs!$B$43-B1370)-((R1342-1)*IF(Inputs!$B$38="pvp",15,MAX(0.1,Skills!D11-IF(TRUE=TRUE,Inputs!$B$32,0)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Inputs!$B$38&lt;&gt;"pvp",Inputs!$B$43=0),1,IF(IF(Inputs!$B$38="pvp",15,Inputs!$B$43)-(B1370)&lt;=0,1,MAX(0,IF(Inputs!$B$38="pvp",15,Inputs!$B$43)-MAX(5,B1370))/(IF(Inputs!$B$38="pvp",15,Inputs!$B$43)-(B1370)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1370)-((R1342-1)*IF(Inputs!$B$38="pvp",15,MAX(0.1,Skills!D11-IF(TRUE=TRUE,Inputs!$B$32,0))))))/Skills!H11,1)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Skills!G12*IF(Skills!H12&gt;0,IF(Inputs!$B$38="pvp",MIN(Skills!I12,15),Skills!I12)/Skills!H12,1)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Skills!G13*IF(Skills!H13&gt;0,IF(Inputs!$B$38="pvp",MIN(Skills!I13,15),Skills!I13)/Skills!H13,1)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Skills!G14*IF(Skills!H14&gt;0,IF(Inputs!$B$38="pvp",MIN(Skills!I14,15),Skills!I14)/Skills!H14,1)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Skills!G15*IF(Skills!H15&gt;0,IF(Inputs!$B$38="pvp",MIN(Skills!I15,15),Skills!I15)/Skills!H15,1)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IFERROR(1/IF(Inputs!$B$38="pvp",15,MAX(0.1,Skills!D15-IF(TRUE=TRUE,Inputs!$B$32,0))),0)</f>
        <v/>
      </c>
      <c r="R1346">
        <f>IF(AND(Inputs!$B$38&lt;&gt;"pvp",Inputs!$B$43&gt;0),IF(Inputs!$B$43&lt;=0,0,(INT(Inputs!$B$43/IF(Inputs!$B$38="pvp",15,MAX(0.1,Skills!D15-IF(TRUE=TRUE,Inputs!$B$32,0))))+1)),0)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Skills!G16*IF(Skills!H16&gt;0,IF(Inputs!$B$38="pvp",MIN(Skills!I16,15),Skills!I16)/Skills!H16,1)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IFERROR(1/IF(Inputs!$B$38="pvp",15,MAX(0.1,Skills!D16-IF(TRUE=TRUE,Inputs!$B$32,0))),0)</f>
        <v/>
      </c>
      <c r="R1347">
        <f>IF(AND(Inputs!$B$38&lt;&gt;"pvp",Inputs!$B$43&gt;0),IF(Inputs!$B$43&lt;=0,0,(INT(Inputs!$B$43/IF(Inputs!$B$38="pvp",15,MAX(0.1,Skills!D16-IF(TRUE=TRUE,Inputs!$B$32,0))))+1)),0)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Skills!G17*IF(Skills!H17&gt;0,IF(Inputs!$B$38="pvp",MIN(Skills!I17,15),Skills!I17)/Skills!H17,1)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Skills!G18*IF(Skills!H18&gt;0,IF(Inputs!$B$38="pvp",MIN(Skills!I18,15),Skills!I18)/Skills!H18,1)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IFERROR(1/IF(Inputs!$B$38="pvp",15,MAX(0.1,Skills!D18-IF(TRUE=TRUE,Inputs!$B$32,0))),0)</f>
        <v/>
      </c>
      <c r="R1349">
        <f>IF(AND(Inputs!$B$38&lt;&gt;"pvp",Inputs!$B$43&gt;0),IF(Inputs!$B$43&lt;=0,0,(INT(Inputs!$B$43/IF(Inputs!$B$38="pvp",15,MAX(0.1,Skills!D18-IF(TRUE=TRUE,Inputs!$B$32,0))))+1)),0)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Skills!G19*IF(Skills!H19&gt;0,IF(Inputs!$B$38="pvp",MIN(Skills!I19,15),Skills!I19)/Skills!H19,1)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Skills!G20*IF(Skills!H20&gt;0,IF(Inputs!$B$38="pvp",MIN(Skills!I20,15),Skills!I20)/Skills!H20,1)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Skills!G21*IF(Skills!H21&gt;0,IF(Inputs!$B$38="pvp",MIN(Skills!I21,15),Skills!I21)/Skills!H21,1)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Skills!G22*IF(Skills!H22&gt;0,IF(Inputs!$B$38="pvp",MIN(Skills!I22,15),Skills!I22)/Skills!H22,1)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Skills!G23*IF(Skills!H23&gt;0,IF(Inputs!$B$38="pvp",MIN(Skills!I23,15),Skills!I23)/Skills!H23,1)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Skills!G24*IF(Skills!H24&gt;0,IF(Inputs!$B$38="pvp",MIN(Skills!I24,15),Skills!I24)/Skills!H24,1)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Skills!G25*IF(Skills!H25&gt;0,IF(Inputs!$B$38="pvp",MIN(Skills!I25,15),Skills!I25)/Skills!H25,1)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Skills!G26*IF(Skills!H26&gt;0,IF(Inputs!$B$38="pvp",MIN(Skills!I26,15),Skills!I26)/Skills!H26,1)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Skills!G27*IF(Skills!H27&gt;0,IF(Inputs!$B$38="pvp",MIN(Skills!I27,15),Skills!I27)/Skills!H27,1)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Skills!G28*IF(Skills!H28&gt;0,IF(Inputs!$B$38="pvp",MIN(Skills!I28,15),Skills!I28)/Skills!H28,1)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Skills!G29*IF(Skills!H29&gt;0,IF(Inputs!$B$38="pvp",MIN(Skills!I29,15),Skills!I29)/Skills!H29,1)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MIN((Skills!T15*(1+Inputs!$B$34/100)),(1/Q1346))+MIN((Skills!T15*(1+Inputs!$B$34/100)),MAX(0,Inputs!$B$43-((R1346-1)*(1/Q1346)))))/Inputs!$B$43),IF(Inputs!$B$38="pvp",MIN((Skills!T15*(1+Inputs!$B$34/100)),15)/15,MIN(1,(Skills!T15*(1+Inputs!$B$34/100))/(1/Q1346)))))+((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t="n">
        <v>0</v>
      </c>
    </row>
    <row r="1364">
      <c r="A1364" t="inlineStr">
        <is>
          <t>Attack Speed Buff Bonus %</t>
        </is>
      </c>
      <c r="B1364">
        <f>((C1349=TRUE)*F1349*IF(AND(Inputs!$B$38&lt;&gt;"pvp",Inputs!$B$43&gt;0),(((R1349-1)*MIN((Skills!T18*(1+Inputs!$B$34/100)),(1/Q1349))+MIN((Skills!T18*(1+Inputs!$B$34/100)),MAX(0,Inputs!$B$43-((R1349-1)*(1/Q1349)))))/Inputs!$B$43),IF(Inputs!$B$38="pvp",MIN((Skills!T18*(1+Inputs!$B$34/100)),15)/15,MIN(1,(Skills!T18*(1+Inputs!$B$34/100))/(1/Q1349)))))</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MIN((Skills!T16*(1+Inputs!$B$34/100)),(1/Q1347))+MIN((Skills!T16*(1+Inputs!$B$34/100)),MAX(0,Inputs!$B$43-((R1347-1)*(1/Q1347)))))/Inputs!$B$43),IF(Inputs!$B$38="pvp",MIN((Skills!T16*(1+Inputs!$B$34/100)),15)/15,MIN(1,(Skills!T16*(1+Inputs!$B$34/100))/(1/Q1347))))</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Skills!G2*IF(Skills!H2&gt;0,IF(Inputs!$B$38="pvp",MIN(Skills!I2,15),Skills!I2)/Skills!H2,1)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Skills!G5*IF(Skills!H5&gt;0,IF(Inputs!$B$38="pvp",MIN(Skills!I5,15),Skills!I5)/Skills!H5,1)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IFERROR(1/IF(Inputs!$B$38="pvp",15,MAX(0.1,Skills!D5-IF(TRUE=TRUE,Inputs!$B$32,0))),0)</f>
        <v/>
      </c>
      <c r="R1381">
        <f>IF(AND(Inputs!$B$38&lt;&gt;"pvp",Inputs!$B$43&gt;0),IF(MAX(0,Inputs!$B$43-B1415)&lt;=0,0,(INT(MAX(0,Inputs!$B$43-B1415)/IF(Inputs!$B$38="pvp",15,MAX(0.1,Skills!D5-IF(TRUE=TRUE,Inputs!$B$32,0))))+1)),0)</f>
        <v/>
      </c>
      <c r="S1381">
        <f>IFERROR((H1381*N1381*IF(AND(Inputs!$B$38&lt;&gt;"pvp",Inputs!$B$43&gt;0),((Skills!G5*((R1381-1)*IF(Skills!H5&gt;0,Skills!I5/Skills!H5,1)+IF(Skills!H5&gt;0,MIN(Skills!I5,MAX(0,MAX(0,Inputs!$B$43-B1415)-((R1381-1)*IF(Inputs!$B$38="pvp",15,MAX(0.1,Skills!D5-IF(TRUE=TRUE,Inputs!$B$32,0))))))/Skills!H5,1)))/Inputs!$B$43),G1381*Q1381))/N1381*IF(Inputs!$B$38="pvp",1,(1-Summary!$B$11)*1+Summary!$B$11*(MIN(Skills!R5,Inputs!$B$37))),0)</f>
        <v/>
      </c>
      <c r="T1381">
        <f>IF(C1381,(H1381*N1381*IF(AND(Inputs!$B$38&lt;&gt;"pvp",Inputs!$B$43&gt;0),((Skills!G5*((R1381-1)*IF(Skills!H5&gt;0,Skills!I5/Skills!H5,1)+IF(Skills!H5&gt;0,MIN(Skills!I5,MAX(0,MAX(0,Inputs!$B$43-B1415)-((R1381-1)*IF(Inputs!$B$38="pvp",15,MAX(0.1,Skills!D5-IF(TRUE=TRUE,Inputs!$B$32,0))))))/Skills!H5,1)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Skills!I5/Skills!H5,1)+IF(Skills!H5&gt;0,MIN(Skills!I5,MAX(0,MAX(0,Inputs!$B$43-B1415)-((R1381-1)*IF(Inputs!$B$38="pvp",15,MAX(0.1,Skills!D5-IF(TRUE=TRUE,Inputs!$B$32,0))))))/Skills!H5,1)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Skills!G6*IF(Skills!H6&gt;0,IF(Inputs!$B$38="pvp",MIN(Skills!I6,15),Skills!I6)/Skills!H6,1)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IFERROR(1/IF(Inputs!$B$38="pvp",15,MAX(0.1,Skills!D6-IF(TRUE=TRUE,Inputs!$B$32,0))),0)</f>
        <v/>
      </c>
      <c r="R1382">
        <f>IF(AND(Inputs!$B$38&lt;&gt;"pvp",Inputs!$B$43&gt;0),IF(MAX(0,Inputs!$B$43-B1415)&lt;=0,0,(INT(MAX(0,Inputs!$B$43-B1415)/IF(Inputs!$B$38="pvp",15,MAX(0.1,Skills!D6-IF(TRUE=TRUE,Inputs!$B$32,0))))+1)),0)</f>
        <v/>
      </c>
      <c r="S1382">
        <f>IFERROR((H1382*N1382*IF(AND(Inputs!$B$38&lt;&gt;"pvp",Inputs!$B$43&gt;0),((Skills!G6*((R1382-1)*IF(Skills!H6&gt;0,Skills!I6/Skills!H6,1)+IF(Skills!H6&gt;0,MIN(Skills!I6,MAX(0,MAX(0,Inputs!$B$43-B1415)-((R1382-1)*IF(Inputs!$B$38="pvp",15,MAX(0.1,Skills!D6-IF(TRUE=TRUE,Inputs!$B$32,0))))))/Skills!H6,1)))/Inputs!$B$43),G1382*Q1382))/N1382*IF(Inputs!$B$38="pvp",1,(1-Summary!$B$11)*1+Summary!$B$11*(MIN(Skills!R6,Inputs!$B$37))),0)</f>
        <v/>
      </c>
      <c r="T1382">
        <f>IF(C1382,(H1382*N1382*IF(AND(Inputs!$B$38&lt;&gt;"pvp",Inputs!$B$43&gt;0),((Skills!G6*((R1382-1)*IF(Skills!H6&gt;0,Skills!I6/Skills!H6,1)+IF(Skills!H6&gt;0,MIN(Skills!I6,MAX(0,MAX(0,Inputs!$B$43-B1415)-((R1382-1)*IF(Inputs!$B$38="pvp",15,MAX(0.1,Skills!D6-IF(TRUE=TRUE,Inputs!$B$32,0)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1415)-((R1382-1)*IF(Inputs!$B$38="pvp",15,MAX(0.1,Skills!D6-IF(TRUE=TRUE,Inputs!$B$32,0))))))/Skills!H6,1)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Skills!G7*IF(Skills!H7&gt;0,IF(Inputs!$B$38="pvp",MIN(Skills!I7,15),Skills!I7)/Skills!H7,1)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IFERROR(1/IF(Inputs!$B$38="pvp",15,MAX(0.1,Skills!D7-IF(TRUE=TRUE,Inputs!$B$32,0))),0)</f>
        <v/>
      </c>
      <c r="R1383">
        <f>IF(AND(Inputs!$B$38&lt;&gt;"pvp",Inputs!$B$43&gt;0),IF(MAX(0,Inputs!$B$43-B1415)&lt;=0,0,(INT(MAX(0,Inputs!$B$43-B1415)/IF(Inputs!$B$38="pvp",15,MAX(0.1,Skills!D7-IF(TRUE=TRUE,Inputs!$B$32,0))))+1)),0)</f>
        <v/>
      </c>
      <c r="S1383">
        <f>IFERROR((H1383*N1383*IF(AND(Inputs!$B$38&lt;&gt;"pvp",Inputs!$B$43&gt;0),((Skills!G7*((R1383-1)*IF(Skills!H7&gt;0,Skills!I7/Skills!H7,1)+IF(Skills!H7&gt;0,MIN(Skills!I7,MAX(0,MAX(0,Inputs!$B$43-B1415)-((R1383-1)*IF(Inputs!$B$38="pvp",15,MAX(0.1,Skills!D7-IF(TRUE=TRUE,Inputs!$B$32,0))))))/Skills!H7,1)))/Inputs!$B$43),G1383*Q1383))/N1383*IF(Inputs!$B$38="pvp",1,(1-Summary!$B$11)*1+Summary!$B$11*(MIN(Skills!R7,Inputs!$B$37))),0)</f>
        <v/>
      </c>
      <c r="T1383">
        <f>IF(C1383,(H1383*N1383*IF(AND(Inputs!$B$38&lt;&gt;"pvp",Inputs!$B$43&gt;0),((Skills!G7*((R1383-1)*IF(Skills!H7&gt;0,Skills!I7/Skills!H7,1)+IF(Skills!H7&gt;0,MIN(Skills!I7,MAX(0,MAX(0,Inputs!$B$43-B1415)-((R1383-1)*IF(Inputs!$B$38="pvp",15,MAX(0.1,Skills!D7-IF(TRUE=TRUE,Inputs!$B$32,0)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1415)-((R1383-1)*IF(Inputs!$B$38="pvp",15,MAX(0.1,Skills!D7-IF(TRUE=TRUE,Inputs!$B$32,0))))))/Skills!H7,1)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Skills!G9*IF(Skills!H9&gt;0,IF(Inputs!$B$38="pvp",MIN(Skills!I9,15),Skills!I9)/Skills!H9,1)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IFERROR(1/IF(Inputs!$B$38="pvp",15,MAX(0.1,Skills!D9-IF(TRUE=TRUE,Inputs!$B$32,0))),0)</f>
        <v/>
      </c>
      <c r="R1385">
        <f>IF(AND(Inputs!$B$38&lt;&gt;"pvp",Inputs!$B$43&gt;0),IF(MAX(0,Inputs!$B$43-B1415)&lt;=0,0,(INT(MAX(0,Inputs!$B$43-B1415)/IF(Inputs!$B$38="pvp",15,MAX(0.1,Skills!D9-IF(TRUE=TRUE,Inputs!$B$32,0))))+1)),0)</f>
        <v/>
      </c>
      <c r="S1385">
        <f>IFERROR((H1385*N1385*IF(AND(Inputs!$B$38&lt;&gt;"pvp",Inputs!$B$43&gt;0),((Skills!G9*((R1385-1)*IF(Skills!H9&gt;0,Skills!I9/Skills!H9,1)+IF(Skills!H9&gt;0,MIN(Skills!I9,MAX(0,MAX(0,Inputs!$B$43-B1415)-((R1385-1)*IF(Inputs!$B$38="pvp",15,MAX(0.1,Skills!D9-IF(TRUE=TRUE,Inputs!$B$32,0))))))/Skills!H9,1)))/Inputs!$B$43),G1385*Q1385))/N1385*IF(Inputs!$B$38="pvp",1,(1-Summary!$B$11)*1+Summary!$B$11*(MIN(Skills!R9,Inputs!$B$37))),0)</f>
        <v/>
      </c>
      <c r="T1385">
        <f>IF(C1385,(H1385*N1385*IF(AND(Inputs!$B$38&lt;&gt;"pvp",Inputs!$B$43&gt;0),((Skills!G9*((R1385-1)*IF(Skills!H9&gt;0,Skills!I9/Skills!H9,1)+IF(Skills!H9&gt;0,MIN(Skills!I9,MAX(0,MAX(0,Inputs!$B$43-B1415)-((R1385-1)*IF(Inputs!$B$38="pvp",15,MAX(0.1,Skills!D9-IF(TRUE=TRUE,Inputs!$B$32,0)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1415)-((R1385-1)*IF(Inputs!$B$38="pvp",15,MAX(0.1,Skills!D9-IF(TRUE=TRUE,Inputs!$B$32,0))))))/Skills!H9,1)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Skills!G10*IF(Skills!H10&gt;0,IF(Inputs!$B$38="pvp",MIN(Skills!I10,15),Skills!I10)/Skills!H10,1)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Skills!G11*IF(Skills!H11&gt;0,IF(Inputs!$B$38="pvp",MIN(Skills!I11,15),Skills!I11)/Skills!H11,1)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IFERROR(1/IF(Inputs!$B$38="pvp",15,MAX(0.1,Skills!D11-IF(TRUE=TRUE,Inputs!$B$32,0))),0)</f>
        <v/>
      </c>
      <c r="R1387">
        <f>IF(AND(Inputs!$B$38&lt;&gt;"pvp",Inputs!$B$43&gt;0),IF(MAX(0,Inputs!$B$43-B1415)&lt;=0,0,(INT(MAX(0,Inputs!$B$43-B1415)/IF(Inputs!$B$38="pvp",15,MAX(0.1,Skills!D11-IF(TRUE=TRUE,Inputs!$B$32,0))))+1)),0)</f>
        <v/>
      </c>
      <c r="S1387">
        <f>IFERROR((H1387*N1387*IF(AND(Inputs!$B$38&lt;&gt;"pvp",Inputs!$B$43&gt;0),((Skills!G11*((R1387-1)*IF(Skills!H11&gt;0,Skills!I11/Skills!H11,1)+IF(Skills!H11&gt;0,MIN(Skills!I11,MAX(0,MAX(0,Inputs!$B$43-B1415)-((R1387-1)*IF(Inputs!$B$38="pvp",15,MAX(0.1,Skills!D11-IF(TRUE=TRUE,Inputs!$B$32,0))))))/Skills!H11,1)))/Inputs!$B$43),G1387*Q1387))/N1387*IF(Inputs!$B$38="pvp",1,(1-Summary!$B$11)*1+Summary!$B$11*(MIN(Skills!R11,Inputs!$B$37))),0)</f>
        <v/>
      </c>
      <c r="T1387">
        <f>IF(C1387,(H1387*N1387*IF(AND(Inputs!$B$38&lt;&gt;"pvp",Inputs!$B$43&gt;0),((Skills!G11*((R1387-1)*IF(Skills!H11&gt;0,Skills!I11/Skills!H11,1)+IF(Skills!H11&gt;0,MIN(Skills!I11,MAX(0,MAX(0,Inputs!$B$43-B1415)-((R1387-1)*IF(Inputs!$B$38="pvp",15,MAX(0.1,Skills!D11-IF(TRUE=TRUE,Inputs!$B$32,0))))))/Skills!H11,1)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Inputs!$B$38&lt;&gt;"pvp",Inputs!$B$43=0),1,IF(IF(Inputs!$B$38="pvp",15,Inputs!$B$43)-(B1415)&lt;=0,1,MAX(0,IF(Inputs!$B$38="pvp",15,Inputs!$B$43)-MAX(5,B1415))/(IF(Inputs!$B$38="pvp",15,Inputs!$B$43)-(B1415))))*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Skills!I11/Skills!H11,1)+IF(Skills!H11&gt;0,MIN(Skills!I11,MAX(0,MAX(0,Inputs!$B$43-B1415)-((R1387-1)*IF(Inputs!$B$38="pvp",15,MAX(0.1,Skills!D11-IF(TRUE=TRUE,Inputs!$B$32,0))))))/Skills!H11,1)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Skills!G12*IF(Skills!H12&gt;0,IF(Inputs!$B$38="pvp",MIN(Skills!I12,15),Skills!I12)/Skills!H12,1)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Skills!G13*IF(Skills!H13&gt;0,IF(Inputs!$B$38="pvp",MIN(Skills!I13,15),Skills!I13)/Skills!H13,1)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Skills!G14*IF(Skills!H14&gt;0,IF(Inputs!$B$38="pvp",MIN(Skills!I14,15),Skills!I14)/Skills!H14,1)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Skills!G15*IF(Skills!H15&gt;0,IF(Inputs!$B$38="pvp",MIN(Skills!I15,15),Skills!I15)/Skills!H15,1)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IFERROR(1/IF(Inputs!$B$38="pvp",15,MAX(0.1,Skills!D15-IF(TRUE=TRUE,Inputs!$B$32,0))),0)</f>
        <v/>
      </c>
      <c r="R1391">
        <f>IF(AND(Inputs!$B$38&lt;&gt;"pvp",Inputs!$B$43&gt;0),IF(Inputs!$B$43&lt;=0,0,(INT(Inputs!$B$43/IF(Inputs!$B$38="pvp",15,MAX(0.1,Skills!D15-IF(TRUE=TRUE,Inputs!$B$32,0))))+1)),0)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Skills!G16*IF(Skills!H16&gt;0,IF(Inputs!$B$38="pvp",MIN(Skills!I16,15),Skills!I16)/Skills!H16,1)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IFERROR(1/IF(Inputs!$B$38="pvp",15,MAX(0.1,Skills!D16-IF(TRUE=TRUE,Inputs!$B$32,0))),0)</f>
        <v/>
      </c>
      <c r="R1392">
        <f>IF(AND(Inputs!$B$38&lt;&gt;"pvp",Inputs!$B$43&gt;0),IF(Inputs!$B$43&lt;=0,0,(INT(Inputs!$B$43/IF(Inputs!$B$38="pvp",15,MAX(0.1,Skills!D16-IF(TRUE=TRUE,Inputs!$B$32,0))))+1)),0)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Skills!G17*IF(Skills!H17&gt;0,IF(Inputs!$B$38="pvp",MIN(Skills!I17,15),Skills!I17)/Skills!H17,1)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Skills!G18*IF(Skills!H18&gt;0,IF(Inputs!$B$38="pvp",MIN(Skills!I18,15),Skills!I18)/Skills!H18,1)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IFERROR(1/IF(Inputs!$B$38="pvp",15,MAX(0.1,Skills!D18-IF(TRUE=TRUE,Inputs!$B$32,0))),0)</f>
        <v/>
      </c>
      <c r="R1394">
        <f>IF(AND(Inputs!$B$38&lt;&gt;"pvp",Inputs!$B$43&gt;0),IF(Inputs!$B$43&lt;=0,0,(INT(Inputs!$B$43/IF(Inputs!$B$38="pvp",15,MAX(0.1,Skills!D18-IF(TRUE=TRUE,Inputs!$B$32,0))))+1)),0)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Skills!G19*IF(Skills!H19&gt;0,IF(Inputs!$B$38="pvp",MIN(Skills!I19,15),Skills!I19)/Skills!H19,1)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Skills!G20*IF(Skills!H20&gt;0,IF(Inputs!$B$38="pvp",MIN(Skills!I20,15),Skills!I20)/Skills!H20,1)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Skills!G21*IF(Skills!H21&gt;0,IF(Inputs!$B$38="pvp",MIN(Skills!I21,15),Skills!I21)/Skills!H21,1)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Skills!G22*IF(Skills!H22&gt;0,IF(Inputs!$B$38="pvp",MIN(Skills!I22,15),Skills!I22)/Skills!H22,1)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Skills!G23*IF(Skills!H23&gt;0,IF(Inputs!$B$38="pvp",MIN(Skills!I23,15),Skills!I23)/Skills!H23,1)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Skills!G24*IF(Skills!H24&gt;0,IF(Inputs!$B$38="pvp",MIN(Skills!I24,15),Skills!I24)/Skills!H24,1)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Skills!G25*IF(Skills!H25&gt;0,IF(Inputs!$B$38="pvp",MIN(Skills!I25,15),Skills!I25)/Skills!H25,1)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Skills!G26*IF(Skills!H26&gt;0,IF(Inputs!$B$38="pvp",MIN(Skills!I26,15),Skills!I26)/Skills!H26,1)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Skills!G27*IF(Skills!H27&gt;0,IF(Inputs!$B$38="pvp",MIN(Skills!I27,15),Skills!I27)/Skills!H27,1)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Skills!G28*IF(Skills!H28&gt;0,IF(Inputs!$B$38="pvp",MIN(Skills!I28,15),Skills!I28)/Skills!H28,1)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Skills!G29*IF(Skills!H29&gt;0,IF(Inputs!$B$38="pvp",MIN(Skills!I29,15),Skills!I29)/Skills!H29,1)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MIN((Skills!T15*(1+Inputs!$B$34/100)),(1/Q1391))+MIN((Skills!T15*(1+Inputs!$B$34/100)),MAX(0,Inputs!$B$43-((R1391-1)*(1/Q1391)))))/Inputs!$B$43),IF(Inputs!$B$38="pvp",MIN((Skills!T15*(1+Inputs!$B$34/100)),15)/15,MIN(1,(Skills!T15*(1+Inputs!$B$34/100))/(1/Q1391)))))+((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t="n">
        <v>0</v>
      </c>
    </row>
    <row r="1409">
      <c r="A1409" t="inlineStr">
        <is>
          <t>Attack Speed Buff Bonus %</t>
        </is>
      </c>
      <c r="B1409">
        <f>((C1394=TRUE)*F1394*IF(AND(Inputs!$B$38&lt;&gt;"pvp",Inputs!$B$43&gt;0),(((R1394-1)*MIN((Skills!T18*(1+Inputs!$B$34/100)),(1/Q1394))+MIN((Skills!T18*(1+Inputs!$B$34/100)),MAX(0,Inputs!$B$43-((R1394-1)*(1/Q1394)))))/Inputs!$B$43),IF(Inputs!$B$38="pvp",MIN((Skills!T18*(1+Inputs!$B$34/100)),15)/15,MIN(1,(Skills!T18*(1+Inputs!$B$34/100))/(1/Q1394)))))</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MIN((Skills!T16*(1+Inputs!$B$34/100)),(1/Q1392))+MIN((Skills!T16*(1+Inputs!$B$34/100)),MAX(0,Inputs!$B$43-((R1392-1)*(1/Q1392)))))/Inputs!$B$43),IF(Inputs!$B$38="pvp",MIN((Skills!T16*(1+Inputs!$B$34/100)),15)/15,MIN(1,(Skills!T16*(1+Inputs!$B$34/100))/(1/Q1392))))</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Skills!G2*IF(Skills!H2&gt;0,IF(Inputs!$B$38="pvp",MIN(Skills!I2,15),Skills!I2)/Skills!H2,1)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Skills!G5*IF(Skills!H5&gt;0,IF(Inputs!$B$38="pvp",MIN(Skills!I5,15),Skills!I5)/Skills!H5,1)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IFERROR(1/IF(Inputs!$B$38="pvp",15,MAX(0.1,Skills!D5-IF(TRUE=TRUE,Inputs!$B$32,0))),0)</f>
        <v/>
      </c>
      <c r="R1426">
        <f>IF(AND(Inputs!$B$38&lt;&gt;"pvp",Inputs!$B$43&gt;0),IF(MAX(0,Inputs!$B$43-B1460)&lt;=0,0,(INT(MAX(0,Inputs!$B$43-B1460)/IF(Inputs!$B$38="pvp",15,MAX(0.1,Skills!D5-IF(TRUE=TRUE,Inputs!$B$32,0))))+1)),0)</f>
        <v/>
      </c>
      <c r="S1426">
        <f>IFERROR((H1426*N1426*IF(AND(Inputs!$B$38&lt;&gt;"pvp",Inputs!$B$43&gt;0),((Skills!G5*((R1426-1)*IF(Skills!H5&gt;0,Skills!I5/Skills!H5,1)+IF(Skills!H5&gt;0,MIN(Skills!I5,MAX(0,MAX(0,Inputs!$B$43-B1460)-((R1426-1)*IF(Inputs!$B$38="pvp",15,MAX(0.1,Skills!D5-IF(TRUE=TRUE,Inputs!$B$32,0))))))/Skills!H5,1)))/Inputs!$B$43),G1426*Q1426))/N1426*IF(Inputs!$B$38="pvp",1,(1-Summary!$B$11)*1+Summary!$B$11*(MIN(Skills!R5,Inputs!$B$37))),0)</f>
        <v/>
      </c>
      <c r="T1426">
        <f>IF(C1426,(H1426*N1426*IF(AND(Inputs!$B$38&lt;&gt;"pvp",Inputs!$B$43&gt;0),((Skills!G5*((R1426-1)*IF(Skills!H5&gt;0,Skills!I5/Skills!H5,1)+IF(Skills!H5&gt;0,MIN(Skills!I5,MAX(0,MAX(0,Inputs!$B$43-B1460)-((R1426-1)*IF(Inputs!$B$38="pvp",15,MAX(0.1,Skills!D5-IF(TRUE=TRUE,Inputs!$B$32,0))))))/Skills!H5,1)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Skills!I5/Skills!H5,1)+IF(Skills!H5&gt;0,MIN(Skills!I5,MAX(0,MAX(0,Inputs!$B$43-B1460)-((R1426-1)*IF(Inputs!$B$38="pvp",15,MAX(0.1,Skills!D5-IF(TRUE=TRUE,Inputs!$B$32,0))))))/Skills!H5,1)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Skills!G6*IF(Skills!H6&gt;0,IF(Inputs!$B$38="pvp",MIN(Skills!I6,15),Skills!I6)/Skills!H6,1)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IFERROR(1/IF(Inputs!$B$38="pvp",15,MAX(0.1,Skills!D6-IF(TRUE=TRUE,Inputs!$B$32,0))),0)</f>
        <v/>
      </c>
      <c r="R1427">
        <f>IF(AND(Inputs!$B$38&lt;&gt;"pvp",Inputs!$B$43&gt;0),IF(MAX(0,Inputs!$B$43-B1460)&lt;=0,0,(INT(MAX(0,Inputs!$B$43-B1460)/IF(Inputs!$B$38="pvp",15,MAX(0.1,Skills!D6-IF(TRUE=TRUE,Inputs!$B$32,0))))+1)),0)</f>
        <v/>
      </c>
      <c r="S1427">
        <f>IFERROR((H1427*N1427*IF(AND(Inputs!$B$38&lt;&gt;"pvp",Inputs!$B$43&gt;0),((Skills!G6*((R1427-1)*IF(Skills!H6&gt;0,Skills!I6/Skills!H6,1)+IF(Skills!H6&gt;0,MIN(Skills!I6,MAX(0,MAX(0,Inputs!$B$43-B1460)-((R1427-1)*IF(Inputs!$B$38="pvp",15,MAX(0.1,Skills!D6-IF(TRUE=TRUE,Inputs!$B$32,0))))))/Skills!H6,1)))/Inputs!$B$43),G1427*Q1427))/N1427*IF(Inputs!$B$38="pvp",1,(1-Summary!$B$11)*1+Summary!$B$11*(MIN(Skills!R6,Inputs!$B$37))),0)</f>
        <v/>
      </c>
      <c r="T1427">
        <f>IF(C1427,(H1427*N1427*IF(AND(Inputs!$B$38&lt;&gt;"pvp",Inputs!$B$43&gt;0),((Skills!G6*((R1427-1)*IF(Skills!H6&gt;0,Skills!I6/Skills!H6,1)+IF(Skills!H6&gt;0,MIN(Skills!I6,MAX(0,MAX(0,Inputs!$B$43-B1460)-((R1427-1)*IF(Inputs!$B$38="pvp",15,MAX(0.1,Skills!D6-IF(TRUE=TRUE,Inputs!$B$32,0)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1460)-((R1427-1)*IF(Inputs!$B$38="pvp",15,MAX(0.1,Skills!D6-IF(TRUE=TRUE,Inputs!$B$32,0))))))/Skills!H6,1)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Skills!G7*IF(Skills!H7&gt;0,IF(Inputs!$B$38="pvp",MIN(Skills!I7,15),Skills!I7)/Skills!H7,1)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IFERROR(1/IF(Inputs!$B$38="pvp",15,MAX(0.1,Skills!D7-IF(TRUE=TRUE,Inputs!$B$32,0))),0)</f>
        <v/>
      </c>
      <c r="R1428">
        <f>IF(AND(Inputs!$B$38&lt;&gt;"pvp",Inputs!$B$43&gt;0),IF(MAX(0,Inputs!$B$43-B1460)&lt;=0,0,(INT(MAX(0,Inputs!$B$43-B1460)/IF(Inputs!$B$38="pvp",15,MAX(0.1,Skills!D7-IF(TRUE=TRUE,Inputs!$B$32,0))))+1)),0)</f>
        <v/>
      </c>
      <c r="S1428">
        <f>IFERROR((H1428*N1428*IF(AND(Inputs!$B$38&lt;&gt;"pvp",Inputs!$B$43&gt;0),((Skills!G7*((R1428-1)*IF(Skills!H7&gt;0,Skills!I7/Skills!H7,1)+IF(Skills!H7&gt;0,MIN(Skills!I7,MAX(0,MAX(0,Inputs!$B$43-B1460)-((R1428-1)*IF(Inputs!$B$38="pvp",15,MAX(0.1,Skills!D7-IF(TRUE=TRUE,Inputs!$B$32,0))))))/Skills!H7,1)))/Inputs!$B$43),G1428*Q1428))/N1428*IF(Inputs!$B$38="pvp",1,(1-Summary!$B$11)*1+Summary!$B$11*(MIN(Skills!R7,Inputs!$B$37))),0)</f>
        <v/>
      </c>
      <c r="T1428">
        <f>IF(C1428,(H1428*N1428*IF(AND(Inputs!$B$38&lt;&gt;"pvp",Inputs!$B$43&gt;0),((Skills!G7*((R1428-1)*IF(Skills!H7&gt;0,Skills!I7/Skills!H7,1)+IF(Skills!H7&gt;0,MIN(Skills!I7,MAX(0,MAX(0,Inputs!$B$43-B1460)-((R1428-1)*IF(Inputs!$B$38="pvp",15,MAX(0.1,Skills!D7-IF(TRUE=TRUE,Inputs!$B$32,0)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1460)-((R1428-1)*IF(Inputs!$B$38="pvp",15,MAX(0.1,Skills!D7-IF(TRUE=TRUE,Inputs!$B$32,0))))))/Skills!H7,1)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Skills!G9*IF(Skills!H9&gt;0,IF(Inputs!$B$38="pvp",MIN(Skills!I9,15),Skills!I9)/Skills!H9,1)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IFERROR(1/IF(Inputs!$B$38="pvp",15,MAX(0.1,Skills!D9-IF(TRUE=TRUE,Inputs!$B$32,0))),0)</f>
        <v/>
      </c>
      <c r="R1430">
        <f>IF(AND(Inputs!$B$38&lt;&gt;"pvp",Inputs!$B$43&gt;0),IF(MAX(0,Inputs!$B$43-B1460)&lt;=0,0,(INT(MAX(0,Inputs!$B$43-B1460)/IF(Inputs!$B$38="pvp",15,MAX(0.1,Skills!D9-IF(TRUE=TRUE,Inputs!$B$32,0))))+1)),0)</f>
        <v/>
      </c>
      <c r="S1430">
        <f>IFERROR((H1430*N1430*IF(AND(Inputs!$B$38&lt;&gt;"pvp",Inputs!$B$43&gt;0),((Skills!G9*((R1430-1)*IF(Skills!H9&gt;0,Skills!I9/Skills!H9,1)+IF(Skills!H9&gt;0,MIN(Skills!I9,MAX(0,MAX(0,Inputs!$B$43-B1460)-((R1430-1)*IF(Inputs!$B$38="pvp",15,MAX(0.1,Skills!D9-IF(TRUE=TRUE,Inputs!$B$32,0))))))/Skills!H9,1)))/Inputs!$B$43),G1430*Q1430))/N1430*IF(Inputs!$B$38="pvp",1,(1-Summary!$B$11)*1+Summary!$B$11*(MIN(Skills!R9,Inputs!$B$37))),0)</f>
        <v/>
      </c>
      <c r="T1430">
        <f>IF(C1430,(H1430*N1430*IF(AND(Inputs!$B$38&lt;&gt;"pvp",Inputs!$B$43&gt;0),((Skills!G9*((R1430-1)*IF(Skills!H9&gt;0,Skills!I9/Skills!H9,1)+IF(Skills!H9&gt;0,MIN(Skills!I9,MAX(0,MAX(0,Inputs!$B$43-B1460)-((R1430-1)*IF(Inputs!$B$38="pvp",15,MAX(0.1,Skills!D9-IF(TRUE=TRUE,Inputs!$B$32,0)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1460)-((R1430-1)*IF(Inputs!$B$38="pvp",15,MAX(0.1,Skills!D9-IF(TRUE=TRUE,Inputs!$B$32,0))))))/Skills!H9,1)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Skills!G10*IF(Skills!H10&gt;0,IF(Inputs!$B$38="pvp",MIN(Skills!I10,15),Skills!I10)/Skills!H10,1)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Skills!G11*IF(Skills!H11&gt;0,IF(Inputs!$B$38="pvp",MIN(Skills!I11,15),Skills!I11)/Skills!H11,1)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IFERROR(1/IF(Inputs!$B$38="pvp",15,MAX(0.1,Skills!D11-IF(TRUE=TRUE,Inputs!$B$32,0))),0)</f>
        <v/>
      </c>
      <c r="R1432">
        <f>IF(AND(Inputs!$B$38&lt;&gt;"pvp",Inputs!$B$43&gt;0),IF(MAX(0,Inputs!$B$43-B1460)&lt;=0,0,(INT(MAX(0,Inputs!$B$43-B1460)/IF(Inputs!$B$38="pvp",15,MAX(0.1,Skills!D11-IF(TRUE=TRUE,Inputs!$B$32,0))))+1)),0)</f>
        <v/>
      </c>
      <c r="S1432">
        <f>IFERROR((H1432*N1432*IF(AND(Inputs!$B$38&lt;&gt;"pvp",Inputs!$B$43&gt;0),((Skills!G11*((R1432-1)*IF(Skills!H11&gt;0,Skills!I11/Skills!H11,1)+IF(Skills!H11&gt;0,MIN(Skills!I11,MAX(0,MAX(0,Inputs!$B$43-B1460)-((R1432-1)*IF(Inputs!$B$38="pvp",15,MAX(0.1,Skills!D11-IF(TRUE=TRUE,Inputs!$B$32,0))))))/Skills!H11,1)))/Inputs!$B$43),G1432*Q1432))/N1432*IF(Inputs!$B$38="pvp",1,(1-Summary!$B$11)*1+Summary!$B$11*(MIN(Skills!R11,Inputs!$B$37))),0)</f>
        <v/>
      </c>
      <c r="T1432">
        <f>IF(C1432,(H1432*N1432*IF(AND(Inputs!$B$38&lt;&gt;"pvp",Inputs!$B$43&gt;0),((Skills!G11*((R1432-1)*IF(Skills!H11&gt;0,Skills!I11/Skills!H11,1)+IF(Skills!H11&gt;0,MIN(Skills!I11,MAX(0,MAX(0,Inputs!$B$43-B1460)-((R1432-1)*IF(Inputs!$B$38="pvp",15,MAX(0.1,Skills!D11-IF(TRUE=TRUE,Inputs!$B$32,0))))))/Skills!H11,1)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Inputs!$B$38&lt;&gt;"pvp",Inputs!$B$43=0),1,IF(IF(Inputs!$B$38="pvp",15,Inputs!$B$43)-(B1460)&lt;=0,1,MAX(0,IF(Inputs!$B$38="pvp",15,Inputs!$B$43)-MAX(5,B1460))/(IF(Inputs!$B$38="pvp",15,Inputs!$B$43)-(B1460)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Skills!I11/Skills!H11,1)+IF(Skills!H11&gt;0,MIN(Skills!I11,MAX(0,MAX(0,Inputs!$B$43-B1460)-((R1432-1)*IF(Inputs!$B$38="pvp",15,MAX(0.1,Skills!D11-IF(TRUE=TRUE,Inputs!$B$32,0))))))/Skills!H11,1)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Skills!G12*IF(Skills!H12&gt;0,IF(Inputs!$B$38="pvp",MIN(Skills!I12,15),Skills!I12)/Skills!H12,1)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Skills!G13*IF(Skills!H13&gt;0,IF(Inputs!$B$38="pvp",MIN(Skills!I13,15),Skills!I13)/Skills!H13,1)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Skills!G14*IF(Skills!H14&gt;0,IF(Inputs!$B$38="pvp",MIN(Skills!I14,15),Skills!I14)/Skills!H14,1)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Skills!G15*IF(Skills!H15&gt;0,IF(Inputs!$B$38="pvp",MIN(Skills!I15,15),Skills!I15)/Skills!H15,1)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IFERROR(1/IF(Inputs!$B$38="pvp",15,MAX(0.1,Skills!D15-IF(TRUE=TRUE,Inputs!$B$32,0))),0)</f>
        <v/>
      </c>
      <c r="R1436">
        <f>IF(AND(Inputs!$B$38&lt;&gt;"pvp",Inputs!$B$43&gt;0),IF(Inputs!$B$43&lt;=0,0,(INT(Inputs!$B$43/IF(Inputs!$B$38="pvp",15,MAX(0.1,Skills!D15-IF(TRUE=TRUE,Inputs!$B$32,0))))+1)),0)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Skills!G16*IF(Skills!H16&gt;0,IF(Inputs!$B$38="pvp",MIN(Skills!I16,15),Skills!I16)/Skills!H16,1)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IFERROR(1/IF(Inputs!$B$38="pvp",15,MAX(0.1,Skills!D16-IF(TRUE=TRUE,Inputs!$B$32,0))),0)</f>
        <v/>
      </c>
      <c r="R1437">
        <f>IF(AND(Inputs!$B$38&lt;&gt;"pvp",Inputs!$B$43&gt;0),IF(Inputs!$B$43&lt;=0,0,(INT(Inputs!$B$43/IF(Inputs!$B$38="pvp",15,MAX(0.1,Skills!D16-IF(TRUE=TRUE,Inputs!$B$32,0))))+1)),0)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Skills!G17*IF(Skills!H17&gt;0,IF(Inputs!$B$38="pvp",MIN(Skills!I17,15),Skills!I17)/Skills!H17,1)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Skills!G18*IF(Skills!H18&gt;0,IF(Inputs!$B$38="pvp",MIN(Skills!I18,15),Skills!I18)/Skills!H18,1)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IFERROR(1/IF(Inputs!$B$38="pvp",15,MAX(0.1,Skills!D18-IF(TRUE=TRUE,Inputs!$B$32,0))),0)</f>
        <v/>
      </c>
      <c r="R1439">
        <f>IF(AND(Inputs!$B$38&lt;&gt;"pvp",Inputs!$B$43&gt;0),IF(Inputs!$B$43&lt;=0,0,(INT(Inputs!$B$43/IF(Inputs!$B$38="pvp",15,MAX(0.1,Skills!D18-IF(TRUE=TRUE,Inputs!$B$32,0))))+1)),0)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Skills!G19*IF(Skills!H19&gt;0,IF(Inputs!$B$38="pvp",MIN(Skills!I19,15),Skills!I19)/Skills!H19,1)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Skills!G20*IF(Skills!H20&gt;0,IF(Inputs!$B$38="pvp",MIN(Skills!I20,15),Skills!I20)/Skills!H20,1)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Skills!G21*IF(Skills!H21&gt;0,IF(Inputs!$B$38="pvp",MIN(Skills!I21,15),Skills!I21)/Skills!H21,1)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Skills!G22*IF(Skills!H22&gt;0,IF(Inputs!$B$38="pvp",MIN(Skills!I22,15),Skills!I22)/Skills!H22,1)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Skills!G23*IF(Skills!H23&gt;0,IF(Inputs!$B$38="pvp",MIN(Skills!I23,15),Skills!I23)/Skills!H23,1)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Skills!G24*IF(Skills!H24&gt;0,IF(Inputs!$B$38="pvp",MIN(Skills!I24,15),Skills!I24)/Skills!H24,1)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Skills!G25*IF(Skills!H25&gt;0,IF(Inputs!$B$38="pvp",MIN(Skills!I25,15),Skills!I25)/Skills!H25,1)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Skills!G26*IF(Skills!H26&gt;0,IF(Inputs!$B$38="pvp",MIN(Skills!I26,15),Skills!I26)/Skills!H26,1)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Skills!G27*IF(Skills!H27&gt;0,IF(Inputs!$B$38="pvp",MIN(Skills!I27,15),Skills!I27)/Skills!H27,1)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Skills!G28*IF(Skills!H28&gt;0,IF(Inputs!$B$38="pvp",MIN(Skills!I28,15),Skills!I28)/Skills!H28,1)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Skills!G29*IF(Skills!H29&gt;0,IF(Inputs!$B$38="pvp",MIN(Skills!I29,15),Skills!I29)/Skills!H29,1)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MIN((Skills!T15*(1+Inputs!$B$34/100)),(1/Q1436))+MIN((Skills!T15*(1+Inputs!$B$34/100)),MAX(0,Inputs!$B$43-((R1436-1)*(1/Q1436)))))/Inputs!$B$43),IF(Inputs!$B$38="pvp",MIN((Skills!T15*(1+Inputs!$B$34/100)),15)/15,MIN(1,(Skills!T15*(1+Inputs!$B$34/100))/(1/Q1436)))))+((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t="n">
        <v>0</v>
      </c>
    </row>
    <row r="1454">
      <c r="A1454" t="inlineStr">
        <is>
          <t>Attack Speed Buff Bonus %</t>
        </is>
      </c>
      <c r="B1454">
        <f>((C1439=TRUE)*F1439*IF(AND(Inputs!$B$38&lt;&gt;"pvp",Inputs!$B$43&gt;0),(((R1439-1)*MIN((Skills!T18*(1+Inputs!$B$34/100)),(1/Q1439))+MIN((Skills!T18*(1+Inputs!$B$34/100)),MAX(0,Inputs!$B$43-((R1439-1)*(1/Q1439)))))/Inputs!$B$43),IF(Inputs!$B$38="pvp",MIN((Skills!T18*(1+Inputs!$B$34/100)),15)/15,MIN(1,(Skills!T18*(1+Inputs!$B$34/100))/(1/Q1439)))))</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MIN((Skills!T16*(1+Inputs!$B$34/100)),(1/Q1437))+MIN((Skills!T16*(1+Inputs!$B$34/100)),MAX(0,Inputs!$B$43-((R1437-1)*(1/Q1437)))))/Inputs!$B$43),IF(Inputs!$B$38="pvp",MIN((Skills!T16*(1+Inputs!$B$34/100)),15)/15,MIN(1,(Skills!T16*(1+Inputs!$B$34/100))/(1/Q1437))))</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Skills!G2*IF(Skills!H2&gt;0,IF(Inputs!$B$38="pvp",MIN(Skills!I2,15),Skills!I2)/Skills!H2,1)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Skills!G5*IF(Skills!H5&gt;0,IF(Inputs!$B$38="pvp",MIN(Skills!I5,15),Skills!I5)/Skills!H5,1)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IFERROR(1/IF(Inputs!$B$38="pvp",15,MAX(0.1,Skills!D5-IF(TRUE=TRUE,Inputs!$B$32,0))),0)</f>
        <v/>
      </c>
      <c r="R1471">
        <f>IF(AND(Inputs!$B$38&lt;&gt;"pvp",Inputs!$B$43&gt;0),IF(MAX(0,Inputs!$B$43-B1505)&lt;=0,0,(INT(MAX(0,Inputs!$B$43-B1505)/IF(Inputs!$B$38="pvp",15,MAX(0.1,Skills!D5-IF(TRUE=TRUE,Inputs!$B$32,0))))+1)),0)</f>
        <v/>
      </c>
      <c r="S1471">
        <f>IFERROR((H1471*N1471*IF(AND(Inputs!$B$38&lt;&gt;"pvp",Inputs!$B$43&gt;0),((Skills!G5*((R1471-1)*IF(Skills!H5&gt;0,Skills!I5/Skills!H5,1)+IF(Skills!H5&gt;0,MIN(Skills!I5,MAX(0,MAX(0,Inputs!$B$43-B1505)-((R1471-1)*IF(Inputs!$B$38="pvp",15,MAX(0.1,Skills!D5-IF(TRUE=TRUE,Inputs!$B$32,0))))))/Skills!H5,1)))/Inputs!$B$43),G1471*Q1471))/N1471*IF(Inputs!$B$38="pvp",1,(1-Summary!$B$11)*1+Summary!$B$11*(MIN(Skills!R5,Inputs!$B$37))),0)</f>
        <v/>
      </c>
      <c r="T1471">
        <f>IF(C1471,(H1471*N1471*IF(AND(Inputs!$B$38&lt;&gt;"pvp",Inputs!$B$43&gt;0),((Skills!G5*((R1471-1)*IF(Skills!H5&gt;0,Skills!I5/Skills!H5,1)+IF(Skills!H5&gt;0,MIN(Skills!I5,MAX(0,MAX(0,Inputs!$B$43-B1505)-((R1471-1)*IF(Inputs!$B$38="pvp",15,MAX(0.1,Skills!D5-IF(TRUE=TRUE,Inputs!$B$32,0))))))/Skills!H5,1)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Skills!I5/Skills!H5,1)+IF(Skills!H5&gt;0,MIN(Skills!I5,MAX(0,MAX(0,Inputs!$B$43-B1505)-((R1471-1)*IF(Inputs!$B$38="pvp",15,MAX(0.1,Skills!D5-IF(TRUE=TRUE,Inputs!$B$32,0))))))/Skills!H5,1)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Skills!G6*IF(Skills!H6&gt;0,IF(Inputs!$B$38="pvp",MIN(Skills!I6,15),Skills!I6)/Skills!H6,1)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IFERROR(1/IF(Inputs!$B$38="pvp",15,MAX(0.1,Skills!D6-IF(TRUE=TRUE,Inputs!$B$32,0))),0)</f>
        <v/>
      </c>
      <c r="R1472">
        <f>IF(AND(Inputs!$B$38&lt;&gt;"pvp",Inputs!$B$43&gt;0),IF(MAX(0,Inputs!$B$43-B1505)&lt;=0,0,(INT(MAX(0,Inputs!$B$43-B1505)/IF(Inputs!$B$38="pvp",15,MAX(0.1,Skills!D6-IF(TRUE=TRUE,Inputs!$B$32,0))))+1)),0)</f>
        <v/>
      </c>
      <c r="S1472">
        <f>IFERROR((H1472*N1472*IF(AND(Inputs!$B$38&lt;&gt;"pvp",Inputs!$B$43&gt;0),((Skills!G6*((R1472-1)*IF(Skills!H6&gt;0,Skills!I6/Skills!H6,1)+IF(Skills!H6&gt;0,MIN(Skills!I6,MAX(0,MAX(0,Inputs!$B$43-B1505)-((R1472-1)*IF(Inputs!$B$38="pvp",15,MAX(0.1,Skills!D6-IF(TRUE=TRUE,Inputs!$B$32,0))))))/Skills!H6,1)))/Inputs!$B$43),G1472*Q1472))/N1472*IF(Inputs!$B$38="pvp",1,(1-Summary!$B$11)*1+Summary!$B$11*(MIN(Skills!R6,Inputs!$B$37))),0)</f>
        <v/>
      </c>
      <c r="T1472">
        <f>IF(C1472,(H1472*N1472*IF(AND(Inputs!$B$38&lt;&gt;"pvp",Inputs!$B$43&gt;0),((Skills!G6*((R1472-1)*IF(Skills!H6&gt;0,Skills!I6/Skills!H6,1)+IF(Skills!H6&gt;0,MIN(Skills!I6,MAX(0,MAX(0,Inputs!$B$43-B1505)-((R1472-1)*IF(Inputs!$B$38="pvp",15,MAX(0.1,Skills!D6-IF(TRUE=TRUE,Inputs!$B$32,0)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1505)-((R1472-1)*IF(Inputs!$B$38="pvp",15,MAX(0.1,Skills!D6-IF(TRUE=TRUE,Inputs!$B$32,0))))))/Skills!H6,1)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Skills!G7*IF(Skills!H7&gt;0,IF(Inputs!$B$38="pvp",MIN(Skills!I7,15),Skills!I7)/Skills!H7,1)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IFERROR(1/IF(Inputs!$B$38="pvp",15,MAX(0.1,Skills!D7-IF(TRUE=TRUE,Inputs!$B$32,0))),0)</f>
        <v/>
      </c>
      <c r="R1473">
        <f>IF(AND(Inputs!$B$38&lt;&gt;"pvp",Inputs!$B$43&gt;0),IF(MAX(0,Inputs!$B$43-B1505)&lt;=0,0,(INT(MAX(0,Inputs!$B$43-B1505)/IF(Inputs!$B$38="pvp",15,MAX(0.1,Skills!D7-IF(TRUE=TRUE,Inputs!$B$32,0))))+1)),0)</f>
        <v/>
      </c>
      <c r="S1473">
        <f>IFERROR((H1473*N1473*IF(AND(Inputs!$B$38&lt;&gt;"pvp",Inputs!$B$43&gt;0),((Skills!G7*((R1473-1)*IF(Skills!H7&gt;0,Skills!I7/Skills!H7,1)+IF(Skills!H7&gt;0,MIN(Skills!I7,MAX(0,MAX(0,Inputs!$B$43-B1505)-((R1473-1)*IF(Inputs!$B$38="pvp",15,MAX(0.1,Skills!D7-IF(TRUE=TRUE,Inputs!$B$32,0))))))/Skills!H7,1)))/Inputs!$B$43),G1473*Q1473))/N1473*IF(Inputs!$B$38="pvp",1,(1-Summary!$B$11)*1+Summary!$B$11*(MIN(Skills!R7,Inputs!$B$37))),0)</f>
        <v/>
      </c>
      <c r="T1473">
        <f>IF(C1473,(H1473*N1473*IF(AND(Inputs!$B$38&lt;&gt;"pvp",Inputs!$B$43&gt;0),((Skills!G7*((R1473-1)*IF(Skills!H7&gt;0,Skills!I7/Skills!H7,1)+IF(Skills!H7&gt;0,MIN(Skills!I7,MAX(0,MAX(0,Inputs!$B$43-B1505)-((R1473-1)*IF(Inputs!$B$38="pvp",15,MAX(0.1,Skills!D7-IF(TRUE=TRUE,Inputs!$B$32,0)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1505)-((R1473-1)*IF(Inputs!$B$38="pvp",15,MAX(0.1,Skills!D7-IF(TRUE=TRUE,Inputs!$B$32,0))))))/Skills!H7,1)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Skills!G9*IF(Skills!H9&gt;0,IF(Inputs!$B$38="pvp",MIN(Skills!I9,15),Skills!I9)/Skills!H9,1)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IFERROR(1/IF(Inputs!$B$38="pvp",15,MAX(0.1,Skills!D9-IF(TRUE=TRUE,Inputs!$B$32,0))),0)</f>
        <v/>
      </c>
      <c r="R1475">
        <f>IF(AND(Inputs!$B$38&lt;&gt;"pvp",Inputs!$B$43&gt;0),IF(MAX(0,Inputs!$B$43-B1505)&lt;=0,0,(INT(MAX(0,Inputs!$B$43-B1505)/IF(Inputs!$B$38="pvp",15,MAX(0.1,Skills!D9-IF(TRUE=TRUE,Inputs!$B$32,0))))+1)),0)</f>
        <v/>
      </c>
      <c r="S1475">
        <f>IFERROR((H1475*N1475*IF(AND(Inputs!$B$38&lt;&gt;"pvp",Inputs!$B$43&gt;0),((Skills!G9*((R1475-1)*IF(Skills!H9&gt;0,Skills!I9/Skills!H9,1)+IF(Skills!H9&gt;0,MIN(Skills!I9,MAX(0,MAX(0,Inputs!$B$43-B1505)-((R1475-1)*IF(Inputs!$B$38="pvp",15,MAX(0.1,Skills!D9-IF(TRUE=TRUE,Inputs!$B$32,0))))))/Skills!H9,1)))/Inputs!$B$43),G1475*Q1475))/N1475*IF(Inputs!$B$38="pvp",1,(1-Summary!$B$11)*1+Summary!$B$11*(MIN(Skills!R9,Inputs!$B$37))),0)</f>
        <v/>
      </c>
      <c r="T1475">
        <f>IF(C1475,(H1475*N1475*IF(AND(Inputs!$B$38&lt;&gt;"pvp",Inputs!$B$43&gt;0),((Skills!G9*((R1475-1)*IF(Skills!H9&gt;0,Skills!I9/Skills!H9,1)+IF(Skills!H9&gt;0,MIN(Skills!I9,MAX(0,MAX(0,Inputs!$B$43-B1505)-((R1475-1)*IF(Inputs!$B$38="pvp",15,MAX(0.1,Skills!D9-IF(TRUE=TRUE,Inputs!$B$32,0)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1505)-((R1475-1)*IF(Inputs!$B$38="pvp",15,MAX(0.1,Skills!D9-IF(TRUE=TRUE,Inputs!$B$32,0))))))/Skills!H9,1)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Skills!G10*IF(Skills!H10&gt;0,IF(Inputs!$B$38="pvp",MIN(Skills!I10,15),Skills!I10)/Skills!H10,1)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Skills!G11*IF(Skills!H11&gt;0,IF(Inputs!$B$38="pvp",MIN(Skills!I11,15),Skills!I11)/Skills!H11,1)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IFERROR(1/IF(Inputs!$B$38="pvp",15,MAX(0.1,Skills!D11-IF(TRUE=TRUE,Inputs!$B$32,0))),0)</f>
        <v/>
      </c>
      <c r="R1477">
        <f>IF(AND(Inputs!$B$38&lt;&gt;"pvp",Inputs!$B$43&gt;0),IF(MAX(0,Inputs!$B$43-B1505)&lt;=0,0,(INT(MAX(0,Inputs!$B$43-B1505)/IF(Inputs!$B$38="pvp",15,MAX(0.1,Skills!D11-IF(TRUE=TRUE,Inputs!$B$32,0))))+1)),0)</f>
        <v/>
      </c>
      <c r="S1477">
        <f>IFERROR((H1477*N1477*IF(AND(Inputs!$B$38&lt;&gt;"pvp",Inputs!$B$43&gt;0),((Skills!G11*((R1477-1)*IF(Skills!H11&gt;0,Skills!I11/Skills!H11,1)+IF(Skills!H11&gt;0,MIN(Skills!I11,MAX(0,MAX(0,Inputs!$B$43-B1505)-((R1477-1)*IF(Inputs!$B$38="pvp",15,MAX(0.1,Skills!D11-IF(TRUE=TRUE,Inputs!$B$32,0))))))/Skills!H11,1)))/Inputs!$B$43),G1477*Q1477))/N1477*IF(Inputs!$B$38="pvp",1,(1-Summary!$B$11)*1+Summary!$B$11*(MIN(Skills!R11,Inputs!$B$37))),0)</f>
        <v/>
      </c>
      <c r="T1477">
        <f>IF(C1477,(H1477*N1477*IF(AND(Inputs!$B$38&lt;&gt;"pvp",Inputs!$B$43&gt;0),((Skills!G11*((R1477-1)*IF(Skills!H11&gt;0,Skills!I11/Skills!H11,1)+IF(Skills!H11&gt;0,MIN(Skills!I11,MAX(0,MAX(0,Inputs!$B$43-B1505)-((R1477-1)*IF(Inputs!$B$38="pvp",15,MAX(0.1,Skills!D11-IF(TRUE=TRUE,Inputs!$B$32,0))))))/Skills!H11,1)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Inputs!$B$38&lt;&gt;"pvp",Inputs!$B$43=0),1,IF(IF(Inputs!$B$38="pvp",15,Inputs!$B$43)-(B1505)&lt;=0,1,MAX(0,IF(Inputs!$B$38="pvp",15,Inputs!$B$43)-MAX(5,B1505))/(IF(Inputs!$B$38="pvp",15,Inputs!$B$43)-(B1505))))*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Skills!I11/Skills!H11,1)+IF(Skills!H11&gt;0,MIN(Skills!I11,MAX(0,MAX(0,Inputs!$B$43-B1505)-((R1477-1)*IF(Inputs!$B$38="pvp",15,MAX(0.1,Skills!D11-IF(TRUE=TRUE,Inputs!$B$32,0))))))/Skills!H11,1)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Skills!G12*IF(Skills!H12&gt;0,IF(Inputs!$B$38="pvp",MIN(Skills!I12,15),Skills!I12)/Skills!H12,1)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Skills!G13*IF(Skills!H13&gt;0,IF(Inputs!$B$38="pvp",MIN(Skills!I13,15),Skills!I13)/Skills!H13,1)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Skills!G14*IF(Skills!H14&gt;0,IF(Inputs!$B$38="pvp",MIN(Skills!I14,15),Skills!I14)/Skills!H14,1)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Skills!G15*IF(Skills!H15&gt;0,IF(Inputs!$B$38="pvp",MIN(Skills!I15,15),Skills!I15)/Skills!H15,1)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IFERROR(1/IF(Inputs!$B$38="pvp",15,MAX(0.1,Skills!D15-IF(TRUE=TRUE,Inputs!$B$32,0))),0)</f>
        <v/>
      </c>
      <c r="R1481">
        <f>IF(AND(Inputs!$B$38&lt;&gt;"pvp",Inputs!$B$43&gt;0),IF(Inputs!$B$43&lt;=0,0,(INT(Inputs!$B$43/IF(Inputs!$B$38="pvp",15,MAX(0.1,Skills!D15-IF(TRUE=TRUE,Inputs!$B$32,0))))+1)),0)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Skills!G16*IF(Skills!H16&gt;0,IF(Inputs!$B$38="pvp",MIN(Skills!I16,15),Skills!I16)/Skills!H16,1)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IFERROR(1/IF(Inputs!$B$38="pvp",15,MAX(0.1,Skills!D16-IF(TRUE=TRUE,Inputs!$B$32,0))),0)</f>
        <v/>
      </c>
      <c r="R1482">
        <f>IF(AND(Inputs!$B$38&lt;&gt;"pvp",Inputs!$B$43&gt;0),IF(Inputs!$B$43&lt;=0,0,(INT(Inputs!$B$43/IF(Inputs!$B$38="pvp",15,MAX(0.1,Skills!D16-IF(TRUE=TRUE,Inputs!$B$32,0))))+1)),0)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Skills!G17*IF(Skills!H17&gt;0,IF(Inputs!$B$38="pvp",MIN(Skills!I17,15),Skills!I17)/Skills!H17,1)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Skills!G18*IF(Skills!H18&gt;0,IF(Inputs!$B$38="pvp",MIN(Skills!I18,15),Skills!I18)/Skills!H18,1)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IFERROR(1/IF(Inputs!$B$38="pvp",15,MAX(0.1,Skills!D18-IF(TRUE=TRUE,Inputs!$B$32,0))),0)</f>
        <v/>
      </c>
      <c r="R1484">
        <f>IF(AND(Inputs!$B$38&lt;&gt;"pvp",Inputs!$B$43&gt;0),IF(Inputs!$B$43&lt;=0,0,(INT(Inputs!$B$43/IF(Inputs!$B$38="pvp",15,MAX(0.1,Skills!D18-IF(TRUE=TRUE,Inputs!$B$32,0))))+1)),0)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Skills!G19*IF(Skills!H19&gt;0,IF(Inputs!$B$38="pvp",MIN(Skills!I19,15),Skills!I19)/Skills!H19,1)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Skills!G20*IF(Skills!H20&gt;0,IF(Inputs!$B$38="pvp",MIN(Skills!I20,15),Skills!I20)/Skills!H20,1)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Skills!G21*IF(Skills!H21&gt;0,IF(Inputs!$B$38="pvp",MIN(Skills!I21,15),Skills!I21)/Skills!H21,1)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Skills!G22*IF(Skills!H22&gt;0,IF(Inputs!$B$38="pvp",MIN(Skills!I22,15),Skills!I22)/Skills!H22,1)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Skills!G23*IF(Skills!H23&gt;0,IF(Inputs!$B$38="pvp",MIN(Skills!I23,15),Skills!I23)/Skills!H23,1)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Skills!G24*IF(Skills!H24&gt;0,IF(Inputs!$B$38="pvp",MIN(Skills!I24,15),Skills!I24)/Skills!H24,1)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Skills!G25*IF(Skills!H25&gt;0,IF(Inputs!$B$38="pvp",MIN(Skills!I25,15),Skills!I25)/Skills!H25,1)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Skills!G26*IF(Skills!H26&gt;0,IF(Inputs!$B$38="pvp",MIN(Skills!I26,15),Skills!I26)/Skills!H26,1)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Skills!G27*IF(Skills!H27&gt;0,IF(Inputs!$B$38="pvp",MIN(Skills!I27,15),Skills!I27)/Skills!H27,1)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Skills!G28*IF(Skills!H28&gt;0,IF(Inputs!$B$38="pvp",MIN(Skills!I28,15),Skills!I28)/Skills!H28,1)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Skills!G29*IF(Skills!H29&gt;0,IF(Inputs!$B$38="pvp",MIN(Skills!I29,15),Skills!I29)/Skills!H29,1)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MIN((Skills!T15*(1+Inputs!$B$34/100)),(1/Q1481))+MIN((Skills!T15*(1+Inputs!$B$34/100)),MAX(0,Inputs!$B$43-((R1481-1)*(1/Q1481)))))/Inputs!$B$43),IF(Inputs!$B$38="pvp",MIN((Skills!T15*(1+Inputs!$B$34/100)),15)/15,MIN(1,(Skills!T15*(1+Inputs!$B$34/100))/(1/Q1481)))))+((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1484=TRUE)*F1484*IF(AND(Inputs!$B$38&lt;&gt;"pvp",Inputs!$B$43&gt;0),(((R1484-1)*MIN((Skills!T18*(1+Inputs!$B$34/100)),(1/Q1484))+MIN((Skills!T18*(1+Inputs!$B$34/100)),MAX(0,Inputs!$B$43-((R1484-1)*(1/Q1484)))))/Inputs!$B$43),IF(Inputs!$B$38="pvp",MIN((Skills!T18*(1+Inputs!$B$34/100)),15)/15,MIN(1,(Skills!T18*(1+Inputs!$B$34/100))/(1/Q1484)))))</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MIN((Skills!T16*(1+Inputs!$B$34/100)),(1/Q1482))+MIN((Skills!T16*(1+Inputs!$B$34/100)),MAX(0,Inputs!$B$43-((R1482-1)*(1/Q1482)))))/Inputs!$B$43),IF(Inputs!$B$38="pvp",MIN((Skills!T16*(1+Inputs!$B$34/100)),15)/15,MIN(1,(Skills!T16*(1+Inputs!$B$34/100))/(1/Q1482))))</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Skills!G2*IF(Skills!H2&gt;0,IF(Inputs!$B$38="pvp",MIN(Skills!I2,15),Skills!I2)/Skills!H2,1)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Skills!G5*IF(Skills!H5&gt;0,IF(Inputs!$B$38="pvp",MIN(Skills!I5,15),Skills!I5)/Skills!H5,1)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IFERROR(1/IF(Inputs!$B$38="pvp",15,MAX(0.1,Skills!D5-IF(TRUE=TRUE,Inputs!$B$32,0))),0)</f>
        <v/>
      </c>
      <c r="R1516">
        <f>IF(AND(Inputs!$B$38&lt;&gt;"pvp",Inputs!$B$43&gt;0),IF(MAX(0,Inputs!$B$43-B1550)&lt;=0,0,(INT(MAX(0,Inputs!$B$43-B1550)/IF(Inputs!$B$38="pvp",15,MAX(0.1,Skills!D5-IF(TRUE=TRUE,Inputs!$B$32,0))))+1)),0)</f>
        <v/>
      </c>
      <c r="S1516">
        <f>IFERROR((H1516*N1516*IF(AND(Inputs!$B$38&lt;&gt;"pvp",Inputs!$B$43&gt;0),((Skills!G5*((R1516-1)*IF(Skills!H5&gt;0,Skills!I5/Skills!H5,1)+IF(Skills!H5&gt;0,MIN(Skills!I5,MAX(0,MAX(0,Inputs!$B$43-B1550)-((R1516-1)*IF(Inputs!$B$38="pvp",15,MAX(0.1,Skills!D5-IF(TRUE=TRUE,Inputs!$B$32,0))))))/Skills!H5,1)))/Inputs!$B$43),G1516*Q1516))/N1516*IF(Inputs!$B$38="pvp",1,(1-Summary!$B$11)*1+Summary!$B$11*(MIN(Skills!R5,Inputs!$B$37))),0)</f>
        <v/>
      </c>
      <c r="T1516">
        <f>IF(C1516,(H1516*N1516*IF(AND(Inputs!$B$38&lt;&gt;"pvp",Inputs!$B$43&gt;0),((Skills!G5*((R1516-1)*IF(Skills!H5&gt;0,Skills!I5/Skills!H5,1)+IF(Skills!H5&gt;0,MIN(Skills!I5,MAX(0,MAX(0,Inputs!$B$43-B1550)-((R1516-1)*IF(Inputs!$B$38="pvp",15,MAX(0.1,Skills!D5-IF(TRUE=TRUE,Inputs!$B$32,0)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1550)-((R1516-1)*IF(Inputs!$B$38="pvp",15,MAX(0.1,Skills!D5-IF(TRUE=TRUE,Inputs!$B$32,0))))))/Skills!H5,1)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Skills!G6*IF(Skills!H6&gt;0,IF(Inputs!$B$38="pvp",MIN(Skills!I6,15),Skills!I6)/Skills!H6,1)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IFERROR(1/IF(Inputs!$B$38="pvp",15,MAX(0.1,Skills!D6-IF(TRUE=TRUE,Inputs!$B$32,0))),0)</f>
        <v/>
      </c>
      <c r="R1517">
        <f>IF(AND(Inputs!$B$38&lt;&gt;"pvp",Inputs!$B$43&gt;0),IF(MAX(0,Inputs!$B$43-B1550)&lt;=0,0,(INT(MAX(0,Inputs!$B$43-B1550)/IF(Inputs!$B$38="pvp",15,MAX(0.1,Skills!D6-IF(TRUE=TRUE,Inputs!$B$32,0))))+1)),0)</f>
        <v/>
      </c>
      <c r="S1517">
        <f>IFERROR((H1517*N1517*IF(AND(Inputs!$B$38&lt;&gt;"pvp",Inputs!$B$43&gt;0),((Skills!G6*((R1517-1)*IF(Skills!H6&gt;0,Skills!I6/Skills!H6,1)+IF(Skills!H6&gt;0,MIN(Skills!I6,MAX(0,MAX(0,Inputs!$B$43-B1550)-((R1517-1)*IF(Inputs!$B$38="pvp",15,MAX(0.1,Skills!D6-IF(TRUE=TRUE,Inputs!$B$32,0))))))/Skills!H6,1)))/Inputs!$B$43),G1517*Q1517))/N1517*IF(Inputs!$B$38="pvp",1,(1-Summary!$B$11)*1+Summary!$B$11*(MIN(Skills!R6,Inputs!$B$37))),0)</f>
        <v/>
      </c>
      <c r="T1517">
        <f>IF(C1517,(H1517*N1517*IF(AND(Inputs!$B$38&lt;&gt;"pvp",Inputs!$B$43&gt;0),((Skills!G6*((R1517-1)*IF(Skills!H6&gt;0,Skills!I6/Skills!H6,1)+IF(Skills!H6&gt;0,MIN(Skills!I6,MAX(0,MAX(0,Inputs!$B$43-B1550)-((R1517-1)*IF(Inputs!$B$38="pvp",15,MAX(0.1,Skills!D6-IF(TRUE=TRUE,Inputs!$B$32,0)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1550)-((R1517-1)*IF(Inputs!$B$38="pvp",15,MAX(0.1,Skills!D6-IF(TRUE=TRUE,Inputs!$B$32,0))))))/Skills!H6,1)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Skills!G7*IF(Skills!H7&gt;0,IF(Inputs!$B$38="pvp",MIN(Skills!I7,15),Skills!I7)/Skills!H7,1)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IFERROR(1/IF(Inputs!$B$38="pvp",15,MAX(0.1,Skills!D7-IF(TRUE=TRUE,Inputs!$B$32,0))),0)</f>
        <v/>
      </c>
      <c r="R1518">
        <f>IF(AND(Inputs!$B$38&lt;&gt;"pvp",Inputs!$B$43&gt;0),IF(MAX(0,Inputs!$B$43-B1550)&lt;=0,0,(INT(MAX(0,Inputs!$B$43-B1550)/IF(Inputs!$B$38="pvp",15,MAX(0.1,Skills!D7-IF(TRUE=TRUE,Inputs!$B$32,0))))+1)),0)</f>
        <v/>
      </c>
      <c r="S1518">
        <f>IFERROR((H1518*N1518*IF(AND(Inputs!$B$38&lt;&gt;"pvp",Inputs!$B$43&gt;0),((Skills!G7*((R1518-1)*IF(Skills!H7&gt;0,Skills!I7/Skills!H7,1)+IF(Skills!H7&gt;0,MIN(Skills!I7,MAX(0,MAX(0,Inputs!$B$43-B1550)-((R1518-1)*IF(Inputs!$B$38="pvp",15,MAX(0.1,Skills!D7-IF(TRUE=TRUE,Inputs!$B$32,0))))))/Skills!H7,1)))/Inputs!$B$43),G1518*Q1518))/N1518*IF(Inputs!$B$38="pvp",1,(1-Summary!$B$11)*1+Summary!$B$11*(MIN(Skills!R7,Inputs!$B$37))),0)</f>
        <v/>
      </c>
      <c r="T1518">
        <f>IF(C1518,(H1518*N1518*IF(AND(Inputs!$B$38&lt;&gt;"pvp",Inputs!$B$43&gt;0),((Skills!G7*((R1518-1)*IF(Skills!H7&gt;0,Skills!I7/Skills!H7,1)+IF(Skills!H7&gt;0,MIN(Skills!I7,MAX(0,MAX(0,Inputs!$B$43-B1550)-((R1518-1)*IF(Inputs!$B$38="pvp",15,MAX(0.1,Skills!D7-IF(TRUE=TRUE,Inputs!$B$32,0)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1550)-((R1518-1)*IF(Inputs!$B$38="pvp",15,MAX(0.1,Skills!D7-IF(TRUE=TRUE,Inputs!$B$32,0))))))/Skills!H7,1)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Skills!G9*IF(Skills!H9&gt;0,IF(Inputs!$B$38="pvp",MIN(Skills!I9,15),Skills!I9)/Skills!H9,1)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IFERROR(1/IF(Inputs!$B$38="pvp",15,MAX(0.1,Skills!D9-IF(TRUE=TRUE,Inputs!$B$32,0))),0)</f>
        <v/>
      </c>
      <c r="R1520">
        <f>IF(AND(Inputs!$B$38&lt;&gt;"pvp",Inputs!$B$43&gt;0),IF(MAX(0,Inputs!$B$43-B1550)&lt;=0,0,(INT(MAX(0,Inputs!$B$43-B1550)/IF(Inputs!$B$38="pvp",15,MAX(0.1,Skills!D9-IF(TRUE=TRUE,Inputs!$B$32,0))))+1)),0)</f>
        <v/>
      </c>
      <c r="S1520">
        <f>IFERROR((H1520*N1520*IF(AND(Inputs!$B$38&lt;&gt;"pvp",Inputs!$B$43&gt;0),((Skills!G9*((R1520-1)*IF(Skills!H9&gt;0,Skills!I9/Skills!H9,1)+IF(Skills!H9&gt;0,MIN(Skills!I9,MAX(0,MAX(0,Inputs!$B$43-B1550)-((R1520-1)*IF(Inputs!$B$38="pvp",15,MAX(0.1,Skills!D9-IF(TRUE=TRUE,Inputs!$B$32,0))))))/Skills!H9,1)))/Inputs!$B$43),G1520*Q1520))/N1520*IF(Inputs!$B$38="pvp",1,(1-Summary!$B$11)*1+Summary!$B$11*(MIN(Skills!R9,Inputs!$B$37))),0)</f>
        <v/>
      </c>
      <c r="T1520">
        <f>IF(C1520,(H1520*N1520*IF(AND(Inputs!$B$38&lt;&gt;"pvp",Inputs!$B$43&gt;0),((Skills!G9*((R1520-1)*IF(Skills!H9&gt;0,Skills!I9/Skills!H9,1)+IF(Skills!H9&gt;0,MIN(Skills!I9,MAX(0,MAX(0,Inputs!$B$43-B1550)-((R1520-1)*IF(Inputs!$B$38="pvp",15,MAX(0.1,Skills!D9-IF(TRUE=TRUE,Inputs!$B$32,0)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1550)-((R1520-1)*IF(Inputs!$B$38="pvp",15,MAX(0.1,Skills!D9-IF(TRUE=TRUE,Inputs!$B$32,0))))))/Skills!H9,1)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Skills!G10*IF(Skills!H10&gt;0,IF(Inputs!$B$38="pvp",MIN(Skills!I10,15),Skills!I10)/Skills!H10,1)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Skills!G11*IF(Skills!H11&gt;0,IF(Inputs!$B$38="pvp",MIN(Skills!I11,15),Skills!I11)/Skills!H11,1)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IFERROR(1/IF(Inputs!$B$38="pvp",15,MAX(0.1,Skills!D11-IF(TRUE=TRUE,Inputs!$B$32,0))),0)</f>
        <v/>
      </c>
      <c r="R1522">
        <f>IF(AND(Inputs!$B$38&lt;&gt;"pvp",Inputs!$B$43&gt;0),IF(MAX(0,Inputs!$B$43-B1550)&lt;=0,0,(INT(MAX(0,Inputs!$B$43-B1550)/IF(Inputs!$B$38="pvp",15,MAX(0.1,Skills!D11-IF(TRUE=TRUE,Inputs!$B$32,0))))+1)),0)</f>
        <v/>
      </c>
      <c r="S1522">
        <f>IFERROR((H1522*N1522*IF(AND(Inputs!$B$38&lt;&gt;"pvp",Inputs!$B$43&gt;0),((Skills!G11*((R1522-1)*IF(Skills!H11&gt;0,Skills!I11/Skills!H11,1)+IF(Skills!H11&gt;0,MIN(Skills!I11,MAX(0,MAX(0,Inputs!$B$43-B1550)-((R1522-1)*IF(Inputs!$B$38="pvp",15,MAX(0.1,Skills!D11-IF(TRUE=TRUE,Inputs!$B$32,0))))))/Skills!H11,1)))/Inputs!$B$43),G1522*Q1522))/N1522*IF(Inputs!$B$38="pvp",1,(1-Summary!$B$11)*1+Summary!$B$11*(MIN(Skills!R11,Inputs!$B$37))),0)</f>
        <v/>
      </c>
      <c r="T1522">
        <f>IF(C1522,(H1522*N1522*IF(AND(Inputs!$B$38&lt;&gt;"pvp",Inputs!$B$43&gt;0),((Skills!G11*((R1522-1)*IF(Skills!H11&gt;0,Skills!I11/Skills!H11,1)+IF(Skills!H11&gt;0,MIN(Skills!I11,MAX(0,MAX(0,Inputs!$B$43-B1550)-((R1522-1)*IF(Inputs!$B$38="pvp",15,MAX(0.1,Skills!D11-IF(TRUE=TRUE,Inputs!$B$32,0)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Inputs!$B$38&lt;&gt;"pvp",Inputs!$B$43=0),1,IF(IF(Inputs!$B$38="pvp",15,Inputs!$B$43)-(B1550)&lt;=0,1,MAX(0,IF(Inputs!$B$38="pvp",15,Inputs!$B$43)-MAX(5,B1550))/(IF(Inputs!$B$38="pvp",15,Inputs!$B$43)-(B1550)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1550)-((R1522-1)*IF(Inputs!$B$38="pvp",15,MAX(0.1,Skills!D11-IF(TRUE=TRUE,Inputs!$B$32,0))))))/Skills!H11,1)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Skills!G12*IF(Skills!H12&gt;0,IF(Inputs!$B$38="pvp",MIN(Skills!I12,15),Skills!I12)/Skills!H12,1)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Skills!G13*IF(Skills!H13&gt;0,IF(Inputs!$B$38="pvp",MIN(Skills!I13,15),Skills!I13)/Skills!H13,1)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Skills!G14*IF(Skills!H14&gt;0,IF(Inputs!$B$38="pvp",MIN(Skills!I14,15),Skills!I14)/Skills!H14,1)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Skills!G15*IF(Skills!H15&gt;0,IF(Inputs!$B$38="pvp",MIN(Skills!I15,15),Skills!I15)/Skills!H15,1)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IFERROR(1/IF(Inputs!$B$38="pvp",15,MAX(0.1,Skills!D15-IF(TRUE=TRUE,Inputs!$B$32,0))),0)</f>
        <v/>
      </c>
      <c r="R1526">
        <f>IF(AND(Inputs!$B$38&lt;&gt;"pvp",Inputs!$B$43&gt;0),IF(Inputs!$B$43&lt;=0,0,(INT(Inputs!$B$43/IF(Inputs!$B$38="pvp",15,MAX(0.1,Skills!D15-IF(TRUE=TRUE,Inputs!$B$32,0))))+1)),0)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Skills!G16*IF(Skills!H16&gt;0,IF(Inputs!$B$38="pvp",MIN(Skills!I16,15),Skills!I16)/Skills!H16,1)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IFERROR(1/IF(Inputs!$B$38="pvp",15,MAX(0.1,Skills!D16-IF(TRUE=TRUE,Inputs!$B$32,0))),0)</f>
        <v/>
      </c>
      <c r="R1527">
        <f>IF(AND(Inputs!$B$38&lt;&gt;"pvp",Inputs!$B$43&gt;0),IF(Inputs!$B$43&lt;=0,0,(INT(Inputs!$B$43/IF(Inputs!$B$38="pvp",15,MAX(0.1,Skills!D16-IF(TRUE=TRUE,Inputs!$B$32,0))))+1)),0)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Skills!G17*IF(Skills!H17&gt;0,IF(Inputs!$B$38="pvp",MIN(Skills!I17,15),Skills!I17)/Skills!H17,1)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Skills!G18*IF(Skills!H18&gt;0,IF(Inputs!$B$38="pvp",MIN(Skills!I18,15),Skills!I18)/Skills!H18,1)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IFERROR(1/IF(Inputs!$B$38="pvp",15,MAX(0.1,Skills!D18-IF(TRUE=TRUE,Inputs!$B$32,0))),0)</f>
        <v/>
      </c>
      <c r="R1529">
        <f>IF(AND(Inputs!$B$38&lt;&gt;"pvp",Inputs!$B$43&gt;0),IF(Inputs!$B$43&lt;=0,0,(INT(Inputs!$B$43/IF(Inputs!$B$38="pvp",15,MAX(0.1,Skills!D18-IF(TRUE=TRUE,Inputs!$B$32,0))))+1)),0)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Skills!G19*IF(Skills!H19&gt;0,IF(Inputs!$B$38="pvp",MIN(Skills!I19,15),Skills!I19)/Skills!H19,1)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Skills!G20*IF(Skills!H20&gt;0,IF(Inputs!$B$38="pvp",MIN(Skills!I20,15),Skills!I20)/Skills!H20,1)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Skills!G21*IF(Skills!H21&gt;0,IF(Inputs!$B$38="pvp",MIN(Skills!I21,15),Skills!I21)/Skills!H21,1)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Skills!G22*IF(Skills!H22&gt;0,IF(Inputs!$B$38="pvp",MIN(Skills!I22,15),Skills!I22)/Skills!H22,1)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Skills!G23*IF(Skills!H23&gt;0,IF(Inputs!$B$38="pvp",MIN(Skills!I23,15),Skills!I23)/Skills!H23,1)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Skills!G24*IF(Skills!H24&gt;0,IF(Inputs!$B$38="pvp",MIN(Skills!I24,15),Skills!I24)/Skills!H24,1)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Skills!G25*IF(Skills!H25&gt;0,IF(Inputs!$B$38="pvp",MIN(Skills!I25,15),Skills!I25)/Skills!H25,1)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Skills!G26*IF(Skills!H26&gt;0,IF(Inputs!$B$38="pvp",MIN(Skills!I26,15),Skills!I26)/Skills!H26,1)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Skills!G27*IF(Skills!H27&gt;0,IF(Inputs!$B$38="pvp",MIN(Skills!I27,15),Skills!I27)/Skills!H27,1)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Skills!G28*IF(Skills!H28&gt;0,IF(Inputs!$B$38="pvp",MIN(Skills!I28,15),Skills!I28)/Skills!H28,1)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Skills!G29*IF(Skills!H29&gt;0,IF(Inputs!$B$38="pvp",MIN(Skills!I29,15),Skills!I29)/Skills!H29,1)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MIN((Skills!T15*(1+Inputs!$B$34/100)),(1/Q1526))+MIN((Skills!T15*(1+Inputs!$B$34/100)),MAX(0,Inputs!$B$43-((R1526-1)*(1/Q1526)))))/Inputs!$B$43),IF(Inputs!$B$38="pvp",MIN((Skills!T15*(1+Inputs!$B$34/100)),15)/15,MIN(1,(Skills!T15*(1+Inputs!$B$34/100))/(1/Q1526)))))+((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t="n">
        <v>0</v>
      </c>
    </row>
    <row r="1544">
      <c r="A1544" t="inlineStr">
        <is>
          <t>Attack Speed Buff Bonus %</t>
        </is>
      </c>
      <c r="B1544">
        <f>((C1529=TRUE)*F1529*IF(AND(Inputs!$B$38&lt;&gt;"pvp",Inputs!$B$43&gt;0),(((R1529-1)*MIN((Skills!T18*(1+Inputs!$B$34/100)),(1/Q1529))+MIN((Skills!T18*(1+Inputs!$B$34/100)),MAX(0,Inputs!$B$43-((R1529-1)*(1/Q1529)))))/Inputs!$B$43),IF(Inputs!$B$38="pvp",MIN((Skills!T18*(1+Inputs!$B$34/100)),15)/15,MIN(1,(Skills!T18*(1+Inputs!$B$34/100))/(1/Q1529)))))</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MIN((Skills!T16*(1+Inputs!$B$34/100)),(1/Q1527))+MIN((Skills!T16*(1+Inputs!$B$34/100)),MAX(0,Inputs!$B$43-((R1527-1)*(1/Q1527)))))/Inputs!$B$43),IF(Inputs!$B$38="pvp",MIN((Skills!T16*(1+Inputs!$B$34/100)),15)/15,MIN(1,(Skills!T16*(1+Inputs!$B$34/100))/(1/Q1527))))</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Skills!G2*IF(Skills!H2&gt;0,IF(Inputs!$B$38="pvp",MIN(Skills!I2,15),Skills!I2)/Skills!H2,1)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Skills!G5*IF(Skills!H5&gt;0,IF(Inputs!$B$38="pvp",MIN(Skills!I5,15),Skills!I5)/Skills!H5,1)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IFERROR(1/IF(Inputs!$B$38="pvp",15,MAX(0.1,Skills!D5-IF(TRUE=TRUE,Inputs!$B$32,0))),0)</f>
        <v/>
      </c>
      <c r="R1561">
        <f>IF(AND(Inputs!$B$38&lt;&gt;"pvp",Inputs!$B$43&gt;0),IF(MAX(0,Inputs!$B$43-B1595)&lt;=0,0,(INT(MAX(0,Inputs!$B$43-B1595)/IF(Inputs!$B$38="pvp",15,MAX(0.1,Skills!D5-IF(TRUE=TRUE,Inputs!$B$32,0))))+1)),0)</f>
        <v/>
      </c>
      <c r="S1561">
        <f>IFERROR((H1561*N1561*IF(AND(Inputs!$B$38&lt;&gt;"pvp",Inputs!$B$43&gt;0),((Skills!G5*((R1561-1)*IF(Skills!H5&gt;0,Skills!I5/Skills!H5,1)+IF(Skills!H5&gt;0,MIN(Skills!I5,MAX(0,MAX(0,Inputs!$B$43-B1595)-((R1561-1)*IF(Inputs!$B$38="pvp",15,MAX(0.1,Skills!D5-IF(TRUE=TRUE,Inputs!$B$32,0))))))/Skills!H5,1)))/Inputs!$B$43),G1561*Q1561))/N1561*IF(Inputs!$B$38="pvp",1,(1-Summary!$B$11)*1+Summary!$B$11*(MIN(Skills!R5,Inputs!$B$37))),0)</f>
        <v/>
      </c>
      <c r="T1561">
        <f>IF(C1561,(H1561*N1561*IF(AND(Inputs!$B$38&lt;&gt;"pvp",Inputs!$B$43&gt;0),((Skills!G5*((R1561-1)*IF(Skills!H5&gt;0,Skills!I5/Skills!H5,1)+IF(Skills!H5&gt;0,MIN(Skills!I5,MAX(0,MAX(0,Inputs!$B$43-B1595)-((R1561-1)*IF(Inputs!$B$38="pvp",15,MAX(0.1,Skills!D5-IF(TRUE=TRUE,Inputs!$B$32,0))))))/Skills!H5,1)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Skills!I5/Skills!H5,1)+IF(Skills!H5&gt;0,MIN(Skills!I5,MAX(0,MAX(0,Inputs!$B$43-B1595)-((R1561-1)*IF(Inputs!$B$38="pvp",15,MAX(0.1,Skills!D5-IF(TRUE=TRUE,Inputs!$B$32,0))))))/Skills!H5,1)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Skills!G6*IF(Skills!H6&gt;0,IF(Inputs!$B$38="pvp",MIN(Skills!I6,15),Skills!I6)/Skills!H6,1)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IFERROR(1/IF(Inputs!$B$38="pvp",15,MAX(0.1,Skills!D6-IF(TRUE=TRUE,Inputs!$B$32,0))),0)</f>
        <v/>
      </c>
      <c r="R1562">
        <f>IF(AND(Inputs!$B$38&lt;&gt;"pvp",Inputs!$B$43&gt;0),IF(MAX(0,Inputs!$B$43-B1595)&lt;=0,0,(INT(MAX(0,Inputs!$B$43-B1595)/IF(Inputs!$B$38="pvp",15,MAX(0.1,Skills!D6-IF(TRUE=TRUE,Inputs!$B$32,0))))+1)),0)</f>
        <v/>
      </c>
      <c r="S1562">
        <f>IFERROR((H1562*N1562*IF(AND(Inputs!$B$38&lt;&gt;"pvp",Inputs!$B$43&gt;0),((Skills!G6*((R1562-1)*IF(Skills!H6&gt;0,Skills!I6/Skills!H6,1)+IF(Skills!H6&gt;0,MIN(Skills!I6,MAX(0,MAX(0,Inputs!$B$43-B1595)-((R1562-1)*IF(Inputs!$B$38="pvp",15,MAX(0.1,Skills!D6-IF(TRUE=TRUE,Inputs!$B$32,0))))))/Skills!H6,1)))/Inputs!$B$43),G1562*Q1562))/N1562*IF(Inputs!$B$38="pvp",1,(1-Summary!$B$11)*1+Summary!$B$11*(MIN(Skills!R6,Inputs!$B$37))),0)</f>
        <v/>
      </c>
      <c r="T1562">
        <f>IF(C1562,(H1562*N1562*IF(AND(Inputs!$B$38&lt;&gt;"pvp",Inputs!$B$43&gt;0),((Skills!G6*((R1562-1)*IF(Skills!H6&gt;0,Skills!I6/Skills!H6,1)+IF(Skills!H6&gt;0,MIN(Skills!I6,MAX(0,MAX(0,Inputs!$B$43-B1595)-((R1562-1)*IF(Inputs!$B$38="pvp",15,MAX(0.1,Skills!D6-IF(TRUE=TRUE,Inputs!$B$32,0)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1595)-((R1562-1)*IF(Inputs!$B$38="pvp",15,MAX(0.1,Skills!D6-IF(TRUE=TRUE,Inputs!$B$32,0))))))/Skills!H6,1)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Skills!G7*IF(Skills!H7&gt;0,IF(Inputs!$B$38="pvp",MIN(Skills!I7,15),Skills!I7)/Skills!H7,1)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IFERROR(1/IF(Inputs!$B$38="pvp",15,MAX(0.1,Skills!D7-IF(TRUE=TRUE,Inputs!$B$32,0))),0)</f>
        <v/>
      </c>
      <c r="R1563">
        <f>IF(AND(Inputs!$B$38&lt;&gt;"pvp",Inputs!$B$43&gt;0),IF(MAX(0,Inputs!$B$43-B1595)&lt;=0,0,(INT(MAX(0,Inputs!$B$43-B1595)/IF(Inputs!$B$38="pvp",15,MAX(0.1,Skills!D7-IF(TRUE=TRUE,Inputs!$B$32,0))))+1)),0)</f>
        <v/>
      </c>
      <c r="S1563">
        <f>IFERROR((H1563*N1563*IF(AND(Inputs!$B$38&lt;&gt;"pvp",Inputs!$B$43&gt;0),((Skills!G7*((R1563-1)*IF(Skills!H7&gt;0,Skills!I7/Skills!H7,1)+IF(Skills!H7&gt;0,MIN(Skills!I7,MAX(0,MAX(0,Inputs!$B$43-B1595)-((R1563-1)*IF(Inputs!$B$38="pvp",15,MAX(0.1,Skills!D7-IF(TRUE=TRUE,Inputs!$B$32,0))))))/Skills!H7,1)))/Inputs!$B$43),G1563*Q1563))/N1563*IF(Inputs!$B$38="pvp",1,(1-Summary!$B$11)*1+Summary!$B$11*(MIN(Skills!R7,Inputs!$B$37))),0)</f>
        <v/>
      </c>
      <c r="T1563">
        <f>IF(C1563,(H1563*N1563*IF(AND(Inputs!$B$38&lt;&gt;"pvp",Inputs!$B$43&gt;0),((Skills!G7*((R1563-1)*IF(Skills!H7&gt;0,Skills!I7/Skills!H7,1)+IF(Skills!H7&gt;0,MIN(Skills!I7,MAX(0,MAX(0,Inputs!$B$43-B1595)-((R1563-1)*IF(Inputs!$B$38="pvp",15,MAX(0.1,Skills!D7-IF(TRUE=TRUE,Inputs!$B$32,0)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1595)-((R1563-1)*IF(Inputs!$B$38="pvp",15,MAX(0.1,Skills!D7-IF(TRUE=TRUE,Inputs!$B$32,0))))))/Skills!H7,1)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Skills!G9*IF(Skills!H9&gt;0,IF(Inputs!$B$38="pvp",MIN(Skills!I9,15),Skills!I9)/Skills!H9,1)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IFERROR(1/IF(Inputs!$B$38="pvp",15,MAX(0.1,Skills!D9-IF(TRUE=TRUE,Inputs!$B$32,0))),0)</f>
        <v/>
      </c>
      <c r="R1565">
        <f>IF(AND(Inputs!$B$38&lt;&gt;"pvp",Inputs!$B$43&gt;0),IF(MAX(0,Inputs!$B$43-B1595)&lt;=0,0,(INT(MAX(0,Inputs!$B$43-B1595)/IF(Inputs!$B$38="pvp",15,MAX(0.1,Skills!D9-IF(TRUE=TRUE,Inputs!$B$32,0))))+1)),0)</f>
        <v/>
      </c>
      <c r="S1565">
        <f>IFERROR((H1565*N1565*IF(AND(Inputs!$B$38&lt;&gt;"pvp",Inputs!$B$43&gt;0),((Skills!G9*((R1565-1)*IF(Skills!H9&gt;0,Skills!I9/Skills!H9,1)+IF(Skills!H9&gt;0,MIN(Skills!I9,MAX(0,MAX(0,Inputs!$B$43-B1595)-((R1565-1)*IF(Inputs!$B$38="pvp",15,MAX(0.1,Skills!D9-IF(TRUE=TRUE,Inputs!$B$32,0))))))/Skills!H9,1)))/Inputs!$B$43),G1565*Q1565))/N1565*IF(Inputs!$B$38="pvp",1,(1-Summary!$B$11)*1+Summary!$B$11*(MIN(Skills!R9,Inputs!$B$37))),0)</f>
        <v/>
      </c>
      <c r="T1565">
        <f>IF(C1565,(H1565*N1565*IF(AND(Inputs!$B$38&lt;&gt;"pvp",Inputs!$B$43&gt;0),((Skills!G9*((R1565-1)*IF(Skills!H9&gt;0,Skills!I9/Skills!H9,1)+IF(Skills!H9&gt;0,MIN(Skills!I9,MAX(0,MAX(0,Inputs!$B$43-B1595)-((R1565-1)*IF(Inputs!$B$38="pvp",15,MAX(0.1,Skills!D9-IF(TRUE=TRUE,Inputs!$B$32,0)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1595)-((R1565-1)*IF(Inputs!$B$38="pvp",15,MAX(0.1,Skills!D9-IF(TRUE=TRUE,Inputs!$B$32,0))))))/Skills!H9,1)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Skills!G10*IF(Skills!H10&gt;0,IF(Inputs!$B$38="pvp",MIN(Skills!I10,15),Skills!I10)/Skills!H10,1)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Skills!G11*IF(Skills!H11&gt;0,IF(Inputs!$B$38="pvp",MIN(Skills!I11,15),Skills!I11)/Skills!H11,1)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IFERROR(1/IF(Inputs!$B$38="pvp",15,MAX(0.1,Skills!D11-IF(TRUE=TRUE,Inputs!$B$32,0))),0)</f>
        <v/>
      </c>
      <c r="R1567">
        <f>IF(AND(Inputs!$B$38&lt;&gt;"pvp",Inputs!$B$43&gt;0),IF(MAX(0,Inputs!$B$43-B1595)&lt;=0,0,(INT(MAX(0,Inputs!$B$43-B1595)/IF(Inputs!$B$38="pvp",15,MAX(0.1,Skills!D11-IF(TRUE=TRUE,Inputs!$B$32,0))))+1)),0)</f>
        <v/>
      </c>
      <c r="S1567">
        <f>IFERROR((H1567*N1567*IF(AND(Inputs!$B$38&lt;&gt;"pvp",Inputs!$B$43&gt;0),((Skills!G11*((R1567-1)*IF(Skills!H11&gt;0,Skills!I11/Skills!H11,1)+IF(Skills!H11&gt;0,MIN(Skills!I11,MAX(0,MAX(0,Inputs!$B$43-B1595)-((R1567-1)*IF(Inputs!$B$38="pvp",15,MAX(0.1,Skills!D11-IF(TRUE=TRUE,Inputs!$B$32,0))))))/Skills!H11,1)))/Inputs!$B$43),G1567*Q1567))/N1567*IF(Inputs!$B$38="pvp",1,(1-Summary!$B$11)*1+Summary!$B$11*(MIN(Skills!R11,Inputs!$B$37))),0)</f>
        <v/>
      </c>
      <c r="T1567">
        <f>IF(C1567,(H1567*N1567*IF(AND(Inputs!$B$38&lt;&gt;"pvp",Inputs!$B$43&gt;0),((Skills!G11*((R1567-1)*IF(Skills!H11&gt;0,Skills!I11/Skills!H11,1)+IF(Skills!H11&gt;0,MIN(Skills!I11,MAX(0,MAX(0,Inputs!$B$43-B1595)-((R1567-1)*IF(Inputs!$B$38="pvp",15,MAX(0.1,Skills!D11-IF(TRUE=TRUE,Inputs!$B$32,0))))))/Skills!H11,1)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Inputs!$B$38&lt;&gt;"pvp",Inputs!$B$43=0),1,IF(IF(Inputs!$B$38="pvp",15,Inputs!$B$43)-(B1595)&lt;=0,1,MAX(0,IF(Inputs!$B$38="pvp",15,Inputs!$B$43)-MAX(5,B1595))/(IF(Inputs!$B$38="pvp",15,Inputs!$B$43)-(B1595))))*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Skills!I11/Skills!H11,1)+IF(Skills!H11&gt;0,MIN(Skills!I11,MAX(0,MAX(0,Inputs!$B$43-B1595)-((R1567-1)*IF(Inputs!$B$38="pvp",15,MAX(0.1,Skills!D11-IF(TRUE=TRUE,Inputs!$B$32,0))))))/Skills!H11,1)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Skills!G12*IF(Skills!H12&gt;0,IF(Inputs!$B$38="pvp",MIN(Skills!I12,15),Skills!I12)/Skills!H12,1)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Skills!G13*IF(Skills!H13&gt;0,IF(Inputs!$B$38="pvp",MIN(Skills!I13,15),Skills!I13)/Skills!H13,1)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Skills!G14*IF(Skills!H14&gt;0,IF(Inputs!$B$38="pvp",MIN(Skills!I14,15),Skills!I14)/Skills!H14,1)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Skills!G15*IF(Skills!H15&gt;0,IF(Inputs!$B$38="pvp",MIN(Skills!I15,15),Skills!I15)/Skills!H15,1)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IFERROR(1/IF(Inputs!$B$38="pvp",15,MAX(0.1,Skills!D15-IF(TRUE=TRUE,Inputs!$B$32,0))),0)</f>
        <v/>
      </c>
      <c r="R1571">
        <f>IF(AND(Inputs!$B$38&lt;&gt;"pvp",Inputs!$B$43&gt;0),IF(Inputs!$B$43&lt;=0,0,(INT(Inputs!$B$43/IF(Inputs!$B$38="pvp",15,MAX(0.1,Skills!D15-IF(TRUE=TRUE,Inputs!$B$32,0))))+1)),0)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Skills!G16*IF(Skills!H16&gt;0,IF(Inputs!$B$38="pvp",MIN(Skills!I16,15),Skills!I16)/Skills!H16,1)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IFERROR(1/IF(Inputs!$B$38="pvp",15,MAX(0.1,Skills!D16-IF(TRUE=TRUE,Inputs!$B$32,0))),0)</f>
        <v/>
      </c>
      <c r="R1572">
        <f>IF(AND(Inputs!$B$38&lt;&gt;"pvp",Inputs!$B$43&gt;0),IF(Inputs!$B$43&lt;=0,0,(INT(Inputs!$B$43/IF(Inputs!$B$38="pvp",15,MAX(0.1,Skills!D16-IF(TRUE=TRUE,Inputs!$B$32,0))))+1)),0)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Skills!G17*IF(Skills!H17&gt;0,IF(Inputs!$B$38="pvp",MIN(Skills!I17,15),Skills!I17)/Skills!H17,1)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Skills!G18*IF(Skills!H18&gt;0,IF(Inputs!$B$38="pvp",MIN(Skills!I18,15),Skills!I18)/Skills!H18,1)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IFERROR(1/IF(Inputs!$B$38="pvp",15,MAX(0.1,Skills!D18-IF(TRUE=TRUE,Inputs!$B$32,0))),0)</f>
        <v/>
      </c>
      <c r="R1574">
        <f>IF(AND(Inputs!$B$38&lt;&gt;"pvp",Inputs!$B$43&gt;0),IF(Inputs!$B$43&lt;=0,0,(INT(Inputs!$B$43/IF(Inputs!$B$38="pvp",15,MAX(0.1,Skills!D18-IF(TRUE=TRUE,Inputs!$B$32,0))))+1)),0)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Skills!G19*IF(Skills!H19&gt;0,IF(Inputs!$B$38="pvp",MIN(Skills!I19,15),Skills!I19)/Skills!H19,1)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Skills!G20*IF(Skills!H20&gt;0,IF(Inputs!$B$38="pvp",MIN(Skills!I20,15),Skills!I20)/Skills!H20,1)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Skills!G21*IF(Skills!H21&gt;0,IF(Inputs!$B$38="pvp",MIN(Skills!I21,15),Skills!I21)/Skills!H21,1)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Skills!G22*IF(Skills!H22&gt;0,IF(Inputs!$B$38="pvp",MIN(Skills!I22,15),Skills!I22)/Skills!H22,1)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Skills!G23*IF(Skills!H23&gt;0,IF(Inputs!$B$38="pvp",MIN(Skills!I23,15),Skills!I23)/Skills!H23,1)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Skills!G24*IF(Skills!H24&gt;0,IF(Inputs!$B$38="pvp",MIN(Skills!I24,15),Skills!I24)/Skills!H24,1)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Skills!G25*IF(Skills!H25&gt;0,IF(Inputs!$B$38="pvp",MIN(Skills!I25,15),Skills!I25)/Skills!H25,1)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Skills!G26*IF(Skills!H26&gt;0,IF(Inputs!$B$38="pvp",MIN(Skills!I26,15),Skills!I26)/Skills!H26,1)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Skills!G27*IF(Skills!H27&gt;0,IF(Inputs!$B$38="pvp",MIN(Skills!I27,15),Skills!I27)/Skills!H27,1)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Skills!G28*IF(Skills!H28&gt;0,IF(Inputs!$B$38="pvp",MIN(Skills!I28,15),Skills!I28)/Skills!H28,1)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Skills!G29*IF(Skills!H29&gt;0,IF(Inputs!$B$38="pvp",MIN(Skills!I29,15),Skills!I29)/Skills!H29,1)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MIN((Skills!T15*(1+Inputs!$B$34/100)),(1/Q1571))+MIN((Skills!T15*(1+Inputs!$B$34/100)),MAX(0,Inputs!$B$43-((R1571-1)*(1/Q1571)))))/Inputs!$B$43),IF(Inputs!$B$38="pvp",MIN((Skills!T15*(1+Inputs!$B$34/100)),15)/15,MIN(1,(Skills!T15*(1+Inputs!$B$34/100))/(1/Q1571)))))+((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t="n">
        <v>0</v>
      </c>
    </row>
    <row r="1589">
      <c r="A1589" t="inlineStr">
        <is>
          <t>Attack Speed Buff Bonus %</t>
        </is>
      </c>
      <c r="B1589">
        <f>((C1574=TRUE)*F1574*IF(AND(Inputs!$B$38&lt;&gt;"pvp",Inputs!$B$43&gt;0),(((R1574-1)*MIN((Skills!T18*(1+Inputs!$B$34/100)),(1/Q1574))+MIN((Skills!T18*(1+Inputs!$B$34/100)),MAX(0,Inputs!$B$43-((R1574-1)*(1/Q1574)))))/Inputs!$B$43),IF(Inputs!$B$38="pvp",MIN((Skills!T18*(1+Inputs!$B$34/100)),15)/15,MIN(1,(Skills!T18*(1+Inputs!$B$34/100))/(1/Q1574)))))</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MIN((Skills!T16*(1+Inputs!$B$34/100)),(1/Q1572))+MIN((Skills!T16*(1+Inputs!$B$34/100)),MAX(0,Inputs!$B$43-((R1572-1)*(1/Q1572)))))/Inputs!$B$43),IF(Inputs!$B$38="pvp",MIN((Skills!T16*(1+Inputs!$B$34/100)),15)/15,MIN(1,(Skills!T16*(1+Inputs!$B$34/100))/(1/Q1572))))</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Skills!G2*IF(Skills!H2&gt;0,IF(Inputs!$B$38="pvp",MIN(Skills!I2,15),Skills!I2)/Skills!H2,1)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Skills!G5*IF(Skills!H5&gt;0,IF(Inputs!$B$38="pvp",MIN(Skills!I5,15),Skills!I5)/Skills!H5,1)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IFERROR(1/IF(Inputs!$B$38="pvp",15,MAX(0.1,Skills!D5-IF(TRUE=TRUE,Inputs!$B$32,0))),0)</f>
        <v/>
      </c>
      <c r="R1606">
        <f>IF(AND(Inputs!$B$38&lt;&gt;"pvp",Inputs!$B$43&gt;0),IF(MAX(0,Inputs!$B$43-B1640)&lt;=0,0,(INT(MAX(0,Inputs!$B$43-B1640)/IF(Inputs!$B$38="pvp",15,MAX(0.1,Skills!D5-IF(TRUE=TRUE,Inputs!$B$32,0))))+1)),0)</f>
        <v/>
      </c>
      <c r="S1606">
        <f>IFERROR((H1606*N1606*IF(AND(Inputs!$B$38&lt;&gt;"pvp",Inputs!$B$43&gt;0),((Skills!G5*((R1606-1)*IF(Skills!H5&gt;0,Skills!I5/Skills!H5,1)+IF(Skills!H5&gt;0,MIN(Skills!I5,MAX(0,MAX(0,Inputs!$B$43-B1640)-((R1606-1)*IF(Inputs!$B$38="pvp",15,MAX(0.1,Skills!D5-IF(TRUE=TRUE,Inputs!$B$32,0))))))/Skills!H5,1)))/Inputs!$B$43),G1606*Q1606))/N1606*IF(Inputs!$B$38="pvp",1,(1-Summary!$B$11)*1+Summary!$B$11*(MIN(Skills!R5,Inputs!$B$37))),0)</f>
        <v/>
      </c>
      <c r="T1606">
        <f>IF(C1606,(H1606*N1606*IF(AND(Inputs!$B$38&lt;&gt;"pvp",Inputs!$B$43&gt;0),((Skills!G5*((R1606-1)*IF(Skills!H5&gt;0,Skills!I5/Skills!H5,1)+IF(Skills!H5&gt;0,MIN(Skills!I5,MAX(0,MAX(0,Inputs!$B$43-B1640)-((R1606-1)*IF(Inputs!$B$38="pvp",15,MAX(0.1,Skills!D5-IF(TRUE=TRUE,Inputs!$B$32,0))))))/Skills!H5,1)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Skills!I5/Skills!H5,1)+IF(Skills!H5&gt;0,MIN(Skills!I5,MAX(0,MAX(0,Inputs!$B$43-B1640)-((R1606-1)*IF(Inputs!$B$38="pvp",15,MAX(0.1,Skills!D5-IF(TRUE=TRUE,Inputs!$B$32,0))))))/Skills!H5,1)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Skills!G6*IF(Skills!H6&gt;0,IF(Inputs!$B$38="pvp",MIN(Skills!I6,15),Skills!I6)/Skills!H6,1)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IFERROR(1/IF(Inputs!$B$38="pvp",15,MAX(0.1,Skills!D6-IF(TRUE=TRUE,Inputs!$B$32,0))),0)</f>
        <v/>
      </c>
      <c r="R1607">
        <f>IF(AND(Inputs!$B$38&lt;&gt;"pvp",Inputs!$B$43&gt;0),IF(MAX(0,Inputs!$B$43-B1640)&lt;=0,0,(INT(MAX(0,Inputs!$B$43-B1640)/IF(Inputs!$B$38="pvp",15,MAX(0.1,Skills!D6-IF(TRUE=TRUE,Inputs!$B$32,0))))+1)),0)</f>
        <v/>
      </c>
      <c r="S1607">
        <f>IFERROR((H1607*N1607*IF(AND(Inputs!$B$38&lt;&gt;"pvp",Inputs!$B$43&gt;0),((Skills!G6*((R1607-1)*IF(Skills!H6&gt;0,Skills!I6/Skills!H6,1)+IF(Skills!H6&gt;0,MIN(Skills!I6,MAX(0,MAX(0,Inputs!$B$43-B1640)-((R1607-1)*IF(Inputs!$B$38="pvp",15,MAX(0.1,Skills!D6-IF(TRUE=TRUE,Inputs!$B$32,0))))))/Skills!H6,1)))/Inputs!$B$43),G1607*Q1607))/N1607*IF(Inputs!$B$38="pvp",1,(1-Summary!$B$11)*1+Summary!$B$11*(MIN(Skills!R6,Inputs!$B$37))),0)</f>
        <v/>
      </c>
      <c r="T1607">
        <f>IF(C1607,(H1607*N1607*IF(AND(Inputs!$B$38&lt;&gt;"pvp",Inputs!$B$43&gt;0),((Skills!G6*((R1607-1)*IF(Skills!H6&gt;0,Skills!I6/Skills!H6,1)+IF(Skills!H6&gt;0,MIN(Skills!I6,MAX(0,MAX(0,Inputs!$B$43-B1640)-((R1607-1)*IF(Inputs!$B$38="pvp",15,MAX(0.1,Skills!D6-IF(TRUE=TRUE,Inputs!$B$32,0)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1640)-((R1607-1)*IF(Inputs!$B$38="pvp",15,MAX(0.1,Skills!D6-IF(TRUE=TRUE,Inputs!$B$32,0))))))/Skills!H6,1)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Skills!G7*IF(Skills!H7&gt;0,IF(Inputs!$B$38="pvp",MIN(Skills!I7,15),Skills!I7)/Skills!H7,1)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IFERROR(1/IF(Inputs!$B$38="pvp",15,MAX(0.1,Skills!D7-IF(TRUE=TRUE,Inputs!$B$32,0))),0)</f>
        <v/>
      </c>
      <c r="R1608">
        <f>IF(AND(Inputs!$B$38&lt;&gt;"pvp",Inputs!$B$43&gt;0),IF(MAX(0,Inputs!$B$43-B1640)&lt;=0,0,(INT(MAX(0,Inputs!$B$43-B1640)/IF(Inputs!$B$38="pvp",15,MAX(0.1,Skills!D7-IF(TRUE=TRUE,Inputs!$B$32,0))))+1)),0)</f>
        <v/>
      </c>
      <c r="S1608">
        <f>IFERROR((H1608*N1608*IF(AND(Inputs!$B$38&lt;&gt;"pvp",Inputs!$B$43&gt;0),((Skills!G7*((R1608-1)*IF(Skills!H7&gt;0,Skills!I7/Skills!H7,1)+IF(Skills!H7&gt;0,MIN(Skills!I7,MAX(0,MAX(0,Inputs!$B$43-B1640)-((R1608-1)*IF(Inputs!$B$38="pvp",15,MAX(0.1,Skills!D7-IF(TRUE=TRUE,Inputs!$B$32,0))))))/Skills!H7,1)))/Inputs!$B$43),G1608*Q1608))/N1608*IF(Inputs!$B$38="pvp",1,(1-Summary!$B$11)*1+Summary!$B$11*(MIN(Skills!R7,Inputs!$B$37))),0)</f>
        <v/>
      </c>
      <c r="T1608">
        <f>IF(C1608,(H1608*N1608*IF(AND(Inputs!$B$38&lt;&gt;"pvp",Inputs!$B$43&gt;0),((Skills!G7*((R1608-1)*IF(Skills!H7&gt;0,Skills!I7/Skills!H7,1)+IF(Skills!H7&gt;0,MIN(Skills!I7,MAX(0,MAX(0,Inputs!$B$43-B1640)-((R1608-1)*IF(Inputs!$B$38="pvp",15,MAX(0.1,Skills!D7-IF(TRUE=TRUE,Inputs!$B$32,0)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1640)-((R1608-1)*IF(Inputs!$B$38="pvp",15,MAX(0.1,Skills!D7-IF(TRUE=TRUE,Inputs!$B$32,0))))))/Skills!H7,1)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Skills!G9*IF(Skills!H9&gt;0,IF(Inputs!$B$38="pvp",MIN(Skills!I9,15),Skills!I9)/Skills!H9,1)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IFERROR(1/IF(Inputs!$B$38="pvp",15,MAX(0.1,Skills!D9-IF(TRUE=TRUE,Inputs!$B$32,0))),0)</f>
        <v/>
      </c>
      <c r="R1610">
        <f>IF(AND(Inputs!$B$38&lt;&gt;"pvp",Inputs!$B$43&gt;0),IF(MAX(0,Inputs!$B$43-B1640)&lt;=0,0,(INT(MAX(0,Inputs!$B$43-B1640)/IF(Inputs!$B$38="pvp",15,MAX(0.1,Skills!D9-IF(TRUE=TRUE,Inputs!$B$32,0))))+1)),0)</f>
        <v/>
      </c>
      <c r="S1610">
        <f>IFERROR((H1610*N1610*IF(AND(Inputs!$B$38&lt;&gt;"pvp",Inputs!$B$43&gt;0),((Skills!G9*((R1610-1)*IF(Skills!H9&gt;0,Skills!I9/Skills!H9,1)+IF(Skills!H9&gt;0,MIN(Skills!I9,MAX(0,MAX(0,Inputs!$B$43-B1640)-((R1610-1)*IF(Inputs!$B$38="pvp",15,MAX(0.1,Skills!D9-IF(TRUE=TRUE,Inputs!$B$32,0))))))/Skills!H9,1)))/Inputs!$B$43),G1610*Q1610))/N1610*IF(Inputs!$B$38="pvp",1,(1-Summary!$B$11)*1+Summary!$B$11*(MIN(Skills!R9,Inputs!$B$37))),0)</f>
        <v/>
      </c>
      <c r="T1610">
        <f>IF(C1610,(H1610*N1610*IF(AND(Inputs!$B$38&lt;&gt;"pvp",Inputs!$B$43&gt;0),((Skills!G9*((R1610-1)*IF(Skills!H9&gt;0,Skills!I9/Skills!H9,1)+IF(Skills!H9&gt;0,MIN(Skills!I9,MAX(0,MAX(0,Inputs!$B$43-B1640)-((R1610-1)*IF(Inputs!$B$38="pvp",15,MAX(0.1,Skills!D9-IF(TRUE=TRUE,Inputs!$B$32,0)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1640)-((R1610-1)*IF(Inputs!$B$38="pvp",15,MAX(0.1,Skills!D9-IF(TRUE=TRUE,Inputs!$B$32,0))))))/Skills!H9,1)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Skills!G10*IF(Skills!H10&gt;0,IF(Inputs!$B$38="pvp",MIN(Skills!I10,15),Skills!I10)/Skills!H10,1)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Skills!G11*IF(Skills!H11&gt;0,IF(Inputs!$B$38="pvp",MIN(Skills!I11,15),Skills!I11)/Skills!H11,1)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IFERROR(1/IF(Inputs!$B$38="pvp",15,MAX(0.1,Skills!D11-IF(TRUE=TRUE,Inputs!$B$32,0))),0)</f>
        <v/>
      </c>
      <c r="R1612">
        <f>IF(AND(Inputs!$B$38&lt;&gt;"pvp",Inputs!$B$43&gt;0),IF(MAX(0,Inputs!$B$43-B1640)&lt;=0,0,(INT(MAX(0,Inputs!$B$43-B1640)/IF(Inputs!$B$38="pvp",15,MAX(0.1,Skills!D11-IF(TRUE=TRUE,Inputs!$B$32,0))))+1)),0)</f>
        <v/>
      </c>
      <c r="S1612">
        <f>IFERROR((H1612*N1612*IF(AND(Inputs!$B$38&lt;&gt;"pvp",Inputs!$B$43&gt;0),((Skills!G11*((R1612-1)*IF(Skills!H11&gt;0,Skills!I11/Skills!H11,1)+IF(Skills!H11&gt;0,MIN(Skills!I11,MAX(0,MAX(0,Inputs!$B$43-B1640)-((R1612-1)*IF(Inputs!$B$38="pvp",15,MAX(0.1,Skills!D11-IF(TRUE=TRUE,Inputs!$B$32,0))))))/Skills!H11,1)))/Inputs!$B$43),G1612*Q1612))/N1612*IF(Inputs!$B$38="pvp",1,(1-Summary!$B$11)*1+Summary!$B$11*(MIN(Skills!R11,Inputs!$B$37))),0)</f>
        <v/>
      </c>
      <c r="T1612">
        <f>IF(C1612,(H1612*N1612*IF(AND(Inputs!$B$38&lt;&gt;"pvp",Inputs!$B$43&gt;0),((Skills!G11*((R1612-1)*IF(Skills!H11&gt;0,Skills!I11/Skills!H11,1)+IF(Skills!H11&gt;0,MIN(Skills!I11,MAX(0,MAX(0,Inputs!$B$43-B1640)-((R1612-1)*IF(Inputs!$B$38="pvp",15,MAX(0.1,Skills!D11-IF(TRUE=TRUE,Inputs!$B$32,0))))))/Skills!H11,1)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Inputs!$B$38&lt;&gt;"pvp",Inputs!$B$43=0),1,IF(IF(Inputs!$B$38="pvp",15,Inputs!$B$43)-(B1640)&lt;=0,1,MAX(0,IF(Inputs!$B$38="pvp",15,Inputs!$B$43)-MAX(5,B1640))/(IF(Inputs!$B$38="pvp",15,Inputs!$B$43)-(B1640)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Skills!I11/Skills!H11,1)+IF(Skills!H11&gt;0,MIN(Skills!I11,MAX(0,MAX(0,Inputs!$B$43-B1640)-((R1612-1)*IF(Inputs!$B$38="pvp",15,MAX(0.1,Skills!D11-IF(TRUE=TRUE,Inputs!$B$32,0))))))/Skills!H11,1)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Skills!G12*IF(Skills!H12&gt;0,IF(Inputs!$B$38="pvp",MIN(Skills!I12,15),Skills!I12)/Skills!H12,1)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Skills!G13*IF(Skills!H13&gt;0,IF(Inputs!$B$38="pvp",MIN(Skills!I13,15),Skills!I13)/Skills!H13,1)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Skills!G14*IF(Skills!H14&gt;0,IF(Inputs!$B$38="pvp",MIN(Skills!I14,15),Skills!I14)/Skills!H14,1)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Skills!G15*IF(Skills!H15&gt;0,IF(Inputs!$B$38="pvp",MIN(Skills!I15,15),Skills!I15)/Skills!H15,1)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IFERROR(1/IF(Inputs!$B$38="pvp",15,MAX(0.1,Skills!D15-IF(TRUE=TRUE,Inputs!$B$32,0))),0)</f>
        <v/>
      </c>
      <c r="R1616">
        <f>IF(AND(Inputs!$B$38&lt;&gt;"pvp",Inputs!$B$43&gt;0),IF(Inputs!$B$43&lt;=0,0,(INT(Inputs!$B$43/IF(Inputs!$B$38="pvp",15,MAX(0.1,Skills!D15-IF(TRUE=TRUE,Inputs!$B$32,0))))+1)),0)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Skills!G16*IF(Skills!H16&gt;0,IF(Inputs!$B$38="pvp",MIN(Skills!I16,15),Skills!I16)/Skills!H16,1)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IFERROR(1/IF(Inputs!$B$38="pvp",15,MAX(0.1,Skills!D16-IF(TRUE=TRUE,Inputs!$B$32,0))),0)</f>
        <v/>
      </c>
      <c r="R1617">
        <f>IF(AND(Inputs!$B$38&lt;&gt;"pvp",Inputs!$B$43&gt;0),IF(Inputs!$B$43&lt;=0,0,(INT(Inputs!$B$43/IF(Inputs!$B$38="pvp",15,MAX(0.1,Skills!D16-IF(TRUE=TRUE,Inputs!$B$32,0))))+1)),0)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Skills!G17*IF(Skills!H17&gt;0,IF(Inputs!$B$38="pvp",MIN(Skills!I17,15),Skills!I17)/Skills!H17,1)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Skills!G18*IF(Skills!H18&gt;0,IF(Inputs!$B$38="pvp",MIN(Skills!I18,15),Skills!I18)/Skills!H18,1)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IFERROR(1/IF(Inputs!$B$38="pvp",15,MAX(0.1,Skills!D18-IF(TRUE=TRUE,Inputs!$B$32,0))),0)</f>
        <v/>
      </c>
      <c r="R1619">
        <f>IF(AND(Inputs!$B$38&lt;&gt;"pvp",Inputs!$B$43&gt;0),IF(Inputs!$B$43&lt;=0,0,(INT(Inputs!$B$43/IF(Inputs!$B$38="pvp",15,MAX(0.1,Skills!D18-IF(TRUE=TRUE,Inputs!$B$32,0))))+1)),0)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Skills!G19*IF(Skills!H19&gt;0,IF(Inputs!$B$38="pvp",MIN(Skills!I19,15),Skills!I19)/Skills!H19,1)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Skills!G20*IF(Skills!H20&gt;0,IF(Inputs!$B$38="pvp",MIN(Skills!I20,15),Skills!I20)/Skills!H20,1)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Skills!G21*IF(Skills!H21&gt;0,IF(Inputs!$B$38="pvp",MIN(Skills!I21,15),Skills!I21)/Skills!H21,1)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Skills!G22*IF(Skills!H22&gt;0,IF(Inputs!$B$38="pvp",MIN(Skills!I22,15),Skills!I22)/Skills!H22,1)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Skills!G23*IF(Skills!H23&gt;0,IF(Inputs!$B$38="pvp",MIN(Skills!I23,15),Skills!I23)/Skills!H23,1)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Skills!G24*IF(Skills!H24&gt;0,IF(Inputs!$B$38="pvp",MIN(Skills!I24,15),Skills!I24)/Skills!H24,1)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Skills!G25*IF(Skills!H25&gt;0,IF(Inputs!$B$38="pvp",MIN(Skills!I25,15),Skills!I25)/Skills!H25,1)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Skills!G26*IF(Skills!H26&gt;0,IF(Inputs!$B$38="pvp",MIN(Skills!I26,15),Skills!I26)/Skills!H26,1)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Skills!G27*IF(Skills!H27&gt;0,IF(Inputs!$B$38="pvp",MIN(Skills!I27,15),Skills!I27)/Skills!H27,1)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Skills!G28*IF(Skills!H28&gt;0,IF(Inputs!$B$38="pvp",MIN(Skills!I28,15),Skills!I28)/Skills!H28,1)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Skills!G29*IF(Skills!H29&gt;0,IF(Inputs!$B$38="pvp",MIN(Skills!I29,15),Skills!I29)/Skills!H29,1)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MIN((Skills!T15*(1+Inputs!$B$34/100)),(1/Q1616))+MIN((Skills!T15*(1+Inputs!$B$34/100)),MAX(0,Inputs!$B$43-((R1616-1)*(1/Q1616)))))/Inputs!$B$43),IF(Inputs!$B$38="pvp",MIN((Skills!T15*(1+Inputs!$B$34/100)),15)/15,MIN(1,(Skills!T15*(1+Inputs!$B$34/100))/(1/Q1616)))))+((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t="n">
        <v>0</v>
      </c>
    </row>
    <row r="1634">
      <c r="A1634" t="inlineStr">
        <is>
          <t>Attack Speed Buff Bonus %</t>
        </is>
      </c>
      <c r="B1634">
        <f>((C1619=TRUE)*F1619*IF(AND(Inputs!$B$38&lt;&gt;"pvp",Inputs!$B$43&gt;0),(((R1619-1)*MIN((Skills!T18*(1+Inputs!$B$34/100)),(1/Q1619))+MIN((Skills!T18*(1+Inputs!$B$34/100)),MAX(0,Inputs!$B$43-((R1619-1)*(1/Q1619)))))/Inputs!$B$43),IF(Inputs!$B$38="pvp",MIN((Skills!T18*(1+Inputs!$B$34/100)),15)/15,MIN(1,(Skills!T18*(1+Inputs!$B$34/100))/(1/Q1619)))))</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MIN((Skills!T16*(1+Inputs!$B$34/100)),(1/Q1617))+MIN((Skills!T16*(1+Inputs!$B$34/100)),MAX(0,Inputs!$B$43-((R1617-1)*(1/Q1617)))))/Inputs!$B$43),IF(Inputs!$B$38="pvp",MIN((Skills!T16*(1+Inputs!$B$34/100)),15)/15,MIN(1,(Skills!T16*(1+Inputs!$B$34/100))/(1/Q1617))))</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Skills!G2*IF(Skills!H2&gt;0,IF(Inputs!$B$38="pvp",MIN(Skills!I2,15),Skills!I2)/Skills!H2,1)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Skills!G5*IF(Skills!H5&gt;0,IF(Inputs!$B$38="pvp",MIN(Skills!I5,15),Skills!I5)/Skills!H5,1)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IFERROR(1/IF(Inputs!$B$38="pvp",15,MAX(0.1,Skills!D5-IF(TRUE=TRUE,Inputs!$B$32,0))),0)</f>
        <v/>
      </c>
      <c r="R1651">
        <f>IF(AND(Inputs!$B$38&lt;&gt;"pvp",Inputs!$B$43&gt;0),IF(MAX(0,Inputs!$B$43-B1685)&lt;=0,0,(INT(MAX(0,Inputs!$B$43-B1685)/IF(Inputs!$B$38="pvp",15,MAX(0.1,Skills!D5-IF(TRUE=TRUE,Inputs!$B$32,0))))+1)),0)</f>
        <v/>
      </c>
      <c r="S1651">
        <f>IFERROR((H1651*N1651*IF(AND(Inputs!$B$38&lt;&gt;"pvp",Inputs!$B$43&gt;0),((Skills!G5*((R1651-1)*IF(Skills!H5&gt;0,Skills!I5/Skills!H5,1)+IF(Skills!H5&gt;0,MIN(Skills!I5,MAX(0,MAX(0,Inputs!$B$43-B1685)-((R1651-1)*IF(Inputs!$B$38="pvp",15,MAX(0.1,Skills!D5-IF(TRUE=TRUE,Inputs!$B$32,0))))))/Skills!H5,1)))/Inputs!$B$43),G1651*Q1651))/N1651*IF(Inputs!$B$38="pvp",1,(1-Summary!$B$11)*1+Summary!$B$11*(MIN(Skills!R5,Inputs!$B$37))),0)</f>
        <v/>
      </c>
      <c r="T1651">
        <f>IF(C1651,(H1651*N1651*IF(AND(Inputs!$B$38&lt;&gt;"pvp",Inputs!$B$43&gt;0),((Skills!G5*((R1651-1)*IF(Skills!H5&gt;0,Skills!I5/Skills!H5,1)+IF(Skills!H5&gt;0,MIN(Skills!I5,MAX(0,MAX(0,Inputs!$B$43-B1685)-((R1651-1)*IF(Inputs!$B$38="pvp",15,MAX(0.1,Skills!D5-IF(TRUE=TRUE,Inputs!$B$32,0))))))/Skills!H5,1)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Skills!I5/Skills!H5,1)+IF(Skills!H5&gt;0,MIN(Skills!I5,MAX(0,MAX(0,Inputs!$B$43-B1685)-((R1651-1)*IF(Inputs!$B$38="pvp",15,MAX(0.1,Skills!D5-IF(TRUE=TRUE,Inputs!$B$32,0))))))/Skills!H5,1)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Skills!G6*IF(Skills!H6&gt;0,IF(Inputs!$B$38="pvp",MIN(Skills!I6,15),Skills!I6)/Skills!H6,1)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IFERROR(1/IF(Inputs!$B$38="pvp",15,MAX(0.1,Skills!D6-IF(TRUE=TRUE,Inputs!$B$32,0))),0)</f>
        <v/>
      </c>
      <c r="R1652">
        <f>IF(AND(Inputs!$B$38&lt;&gt;"pvp",Inputs!$B$43&gt;0),IF(MAX(0,Inputs!$B$43-B1685)&lt;=0,0,(INT(MAX(0,Inputs!$B$43-B1685)/IF(Inputs!$B$38="pvp",15,MAX(0.1,Skills!D6-IF(TRUE=TRUE,Inputs!$B$32,0))))+1)),0)</f>
        <v/>
      </c>
      <c r="S1652">
        <f>IFERROR((H1652*N1652*IF(AND(Inputs!$B$38&lt;&gt;"pvp",Inputs!$B$43&gt;0),((Skills!G6*((R1652-1)*IF(Skills!H6&gt;0,Skills!I6/Skills!H6,1)+IF(Skills!H6&gt;0,MIN(Skills!I6,MAX(0,MAX(0,Inputs!$B$43-B1685)-((R1652-1)*IF(Inputs!$B$38="pvp",15,MAX(0.1,Skills!D6-IF(TRUE=TRUE,Inputs!$B$32,0))))))/Skills!H6,1)))/Inputs!$B$43),G1652*Q1652))/N1652*IF(Inputs!$B$38="pvp",1,(1-Summary!$B$11)*1+Summary!$B$11*(MIN(Skills!R6,Inputs!$B$37))),0)</f>
        <v/>
      </c>
      <c r="T1652">
        <f>IF(C1652,(H1652*N1652*IF(AND(Inputs!$B$38&lt;&gt;"pvp",Inputs!$B$43&gt;0),((Skills!G6*((R1652-1)*IF(Skills!H6&gt;0,Skills!I6/Skills!H6,1)+IF(Skills!H6&gt;0,MIN(Skills!I6,MAX(0,MAX(0,Inputs!$B$43-B1685)-((R1652-1)*IF(Inputs!$B$38="pvp",15,MAX(0.1,Skills!D6-IF(TRUE=TRUE,Inputs!$B$32,0)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1685)-((R1652-1)*IF(Inputs!$B$38="pvp",15,MAX(0.1,Skills!D6-IF(TRUE=TRUE,Inputs!$B$32,0))))))/Skills!H6,1)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Skills!G7*IF(Skills!H7&gt;0,IF(Inputs!$B$38="pvp",MIN(Skills!I7,15),Skills!I7)/Skills!H7,1)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IFERROR(1/IF(Inputs!$B$38="pvp",15,MAX(0.1,Skills!D7-IF(TRUE=TRUE,Inputs!$B$32,0))),0)</f>
        <v/>
      </c>
      <c r="R1653">
        <f>IF(AND(Inputs!$B$38&lt;&gt;"pvp",Inputs!$B$43&gt;0),IF(MAX(0,Inputs!$B$43-B1685)&lt;=0,0,(INT(MAX(0,Inputs!$B$43-B1685)/IF(Inputs!$B$38="pvp",15,MAX(0.1,Skills!D7-IF(TRUE=TRUE,Inputs!$B$32,0))))+1)),0)</f>
        <v/>
      </c>
      <c r="S1653">
        <f>IFERROR((H1653*N1653*IF(AND(Inputs!$B$38&lt;&gt;"pvp",Inputs!$B$43&gt;0),((Skills!G7*((R1653-1)*IF(Skills!H7&gt;0,Skills!I7/Skills!H7,1)+IF(Skills!H7&gt;0,MIN(Skills!I7,MAX(0,MAX(0,Inputs!$B$43-B1685)-((R1653-1)*IF(Inputs!$B$38="pvp",15,MAX(0.1,Skills!D7-IF(TRUE=TRUE,Inputs!$B$32,0))))))/Skills!H7,1)))/Inputs!$B$43),G1653*Q1653))/N1653*IF(Inputs!$B$38="pvp",1,(1-Summary!$B$11)*1+Summary!$B$11*(MIN(Skills!R7,Inputs!$B$37))),0)</f>
        <v/>
      </c>
      <c r="T1653">
        <f>IF(C1653,(H1653*N1653*IF(AND(Inputs!$B$38&lt;&gt;"pvp",Inputs!$B$43&gt;0),((Skills!G7*((R1653-1)*IF(Skills!H7&gt;0,Skills!I7/Skills!H7,1)+IF(Skills!H7&gt;0,MIN(Skills!I7,MAX(0,MAX(0,Inputs!$B$43-B1685)-((R1653-1)*IF(Inputs!$B$38="pvp",15,MAX(0.1,Skills!D7-IF(TRUE=TRUE,Inputs!$B$32,0)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1685)-((R1653-1)*IF(Inputs!$B$38="pvp",15,MAX(0.1,Skills!D7-IF(TRUE=TRUE,Inputs!$B$32,0))))))/Skills!H7,1)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Skills!G9*IF(Skills!H9&gt;0,IF(Inputs!$B$38="pvp",MIN(Skills!I9,15),Skills!I9)/Skills!H9,1)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IFERROR(1/IF(Inputs!$B$38="pvp",15,MAX(0.1,Skills!D9-IF(TRUE=TRUE,Inputs!$B$32,0))),0)</f>
        <v/>
      </c>
      <c r="R1655">
        <f>IF(AND(Inputs!$B$38&lt;&gt;"pvp",Inputs!$B$43&gt;0),IF(MAX(0,Inputs!$B$43-B1685)&lt;=0,0,(INT(MAX(0,Inputs!$B$43-B1685)/IF(Inputs!$B$38="pvp",15,MAX(0.1,Skills!D9-IF(TRUE=TRUE,Inputs!$B$32,0))))+1)),0)</f>
        <v/>
      </c>
      <c r="S1655">
        <f>IFERROR((H1655*N1655*IF(AND(Inputs!$B$38&lt;&gt;"pvp",Inputs!$B$43&gt;0),((Skills!G9*((R1655-1)*IF(Skills!H9&gt;0,Skills!I9/Skills!H9,1)+IF(Skills!H9&gt;0,MIN(Skills!I9,MAX(0,MAX(0,Inputs!$B$43-B1685)-((R1655-1)*IF(Inputs!$B$38="pvp",15,MAX(0.1,Skills!D9-IF(TRUE=TRUE,Inputs!$B$32,0))))))/Skills!H9,1)))/Inputs!$B$43),G1655*Q1655))/N1655*IF(Inputs!$B$38="pvp",1,(1-Summary!$B$11)*1+Summary!$B$11*(MIN(Skills!R9,Inputs!$B$37))),0)</f>
        <v/>
      </c>
      <c r="T1655">
        <f>IF(C1655,(H1655*N1655*IF(AND(Inputs!$B$38&lt;&gt;"pvp",Inputs!$B$43&gt;0),((Skills!G9*((R1655-1)*IF(Skills!H9&gt;0,Skills!I9/Skills!H9,1)+IF(Skills!H9&gt;0,MIN(Skills!I9,MAX(0,MAX(0,Inputs!$B$43-B1685)-((R1655-1)*IF(Inputs!$B$38="pvp",15,MAX(0.1,Skills!D9-IF(TRUE=TRUE,Inputs!$B$32,0)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1685)-((R1655-1)*IF(Inputs!$B$38="pvp",15,MAX(0.1,Skills!D9-IF(TRUE=TRUE,Inputs!$B$32,0))))))/Skills!H9,1)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Skills!G10*IF(Skills!H10&gt;0,IF(Inputs!$B$38="pvp",MIN(Skills!I10,15),Skills!I10)/Skills!H10,1)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Skills!G11*IF(Skills!H11&gt;0,IF(Inputs!$B$38="pvp",MIN(Skills!I11,15),Skills!I11)/Skills!H11,1)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IFERROR(1/IF(Inputs!$B$38="pvp",15,MAX(0.1,Skills!D11-IF(TRUE=TRUE,Inputs!$B$32,0))),0)</f>
        <v/>
      </c>
      <c r="R1657">
        <f>IF(AND(Inputs!$B$38&lt;&gt;"pvp",Inputs!$B$43&gt;0),IF(MAX(0,Inputs!$B$43-B1685)&lt;=0,0,(INT(MAX(0,Inputs!$B$43-B1685)/IF(Inputs!$B$38="pvp",15,MAX(0.1,Skills!D11-IF(TRUE=TRUE,Inputs!$B$32,0))))+1)),0)</f>
        <v/>
      </c>
      <c r="S1657">
        <f>IFERROR((H1657*N1657*IF(AND(Inputs!$B$38&lt;&gt;"pvp",Inputs!$B$43&gt;0),((Skills!G11*((R1657-1)*IF(Skills!H11&gt;0,Skills!I11/Skills!H11,1)+IF(Skills!H11&gt;0,MIN(Skills!I11,MAX(0,MAX(0,Inputs!$B$43-B1685)-((R1657-1)*IF(Inputs!$B$38="pvp",15,MAX(0.1,Skills!D11-IF(TRUE=TRUE,Inputs!$B$32,0))))))/Skills!H11,1)))/Inputs!$B$43),G1657*Q1657))/N1657*IF(Inputs!$B$38="pvp",1,(1-Summary!$B$11)*1+Summary!$B$11*(MIN(Skills!R11,Inputs!$B$37))),0)</f>
        <v/>
      </c>
      <c r="T1657">
        <f>IF(C1657,(H1657*N1657*IF(AND(Inputs!$B$38&lt;&gt;"pvp",Inputs!$B$43&gt;0),((Skills!G11*((R1657-1)*IF(Skills!H11&gt;0,Skills!I11/Skills!H11,1)+IF(Skills!H11&gt;0,MIN(Skills!I11,MAX(0,MAX(0,Inputs!$B$43-B1685)-((R1657-1)*IF(Inputs!$B$38="pvp",15,MAX(0.1,Skills!D11-IF(TRUE=TRUE,Inputs!$B$32,0))))))/Skills!H11,1)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Inputs!$B$38&lt;&gt;"pvp",Inputs!$B$43=0),1,IF(IF(Inputs!$B$38="pvp",15,Inputs!$B$43)-(B1685)&lt;=0,1,MAX(0,IF(Inputs!$B$38="pvp",15,Inputs!$B$43)-MAX(5,B1685))/(IF(Inputs!$B$38="pvp",15,Inputs!$B$43)-(B1685))))*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Skills!I11/Skills!H11,1)+IF(Skills!H11&gt;0,MIN(Skills!I11,MAX(0,MAX(0,Inputs!$B$43-B1685)-((R1657-1)*IF(Inputs!$B$38="pvp",15,MAX(0.1,Skills!D11-IF(TRUE=TRUE,Inputs!$B$32,0))))))/Skills!H11,1)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Skills!G12*IF(Skills!H12&gt;0,IF(Inputs!$B$38="pvp",MIN(Skills!I12,15),Skills!I12)/Skills!H12,1)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Skills!G13*IF(Skills!H13&gt;0,IF(Inputs!$B$38="pvp",MIN(Skills!I13,15),Skills!I13)/Skills!H13,1)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Skills!G14*IF(Skills!H14&gt;0,IF(Inputs!$B$38="pvp",MIN(Skills!I14,15),Skills!I14)/Skills!H14,1)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Skills!G15*IF(Skills!H15&gt;0,IF(Inputs!$B$38="pvp",MIN(Skills!I15,15),Skills!I15)/Skills!H15,1)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IFERROR(1/IF(Inputs!$B$38="pvp",15,MAX(0.1,Skills!D15-IF(TRUE=TRUE,Inputs!$B$32,0))),0)</f>
        <v/>
      </c>
      <c r="R1661">
        <f>IF(AND(Inputs!$B$38&lt;&gt;"pvp",Inputs!$B$43&gt;0),IF(Inputs!$B$43&lt;=0,0,(INT(Inputs!$B$43/IF(Inputs!$B$38="pvp",15,MAX(0.1,Skills!D15-IF(TRUE=TRUE,Inputs!$B$32,0))))+1)),0)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Skills!G16*IF(Skills!H16&gt;0,IF(Inputs!$B$38="pvp",MIN(Skills!I16,15),Skills!I16)/Skills!H16,1)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IFERROR(1/IF(Inputs!$B$38="pvp",15,MAX(0.1,Skills!D16-IF(TRUE=TRUE,Inputs!$B$32,0))),0)</f>
        <v/>
      </c>
      <c r="R1662">
        <f>IF(AND(Inputs!$B$38&lt;&gt;"pvp",Inputs!$B$43&gt;0),IF(Inputs!$B$43&lt;=0,0,(INT(Inputs!$B$43/IF(Inputs!$B$38="pvp",15,MAX(0.1,Skills!D16-IF(TRUE=TRUE,Inputs!$B$32,0))))+1)),0)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Skills!G17*IF(Skills!H17&gt;0,IF(Inputs!$B$38="pvp",MIN(Skills!I17,15),Skills!I17)/Skills!H17,1)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Skills!G18*IF(Skills!H18&gt;0,IF(Inputs!$B$38="pvp",MIN(Skills!I18,15),Skills!I18)/Skills!H18,1)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IFERROR(1/IF(Inputs!$B$38="pvp",15,MAX(0.1,Skills!D18-IF(TRUE=TRUE,Inputs!$B$32,0))),0)</f>
        <v/>
      </c>
      <c r="R1664">
        <f>IF(AND(Inputs!$B$38&lt;&gt;"pvp",Inputs!$B$43&gt;0),IF(Inputs!$B$43&lt;=0,0,(INT(Inputs!$B$43/IF(Inputs!$B$38="pvp",15,MAX(0.1,Skills!D18-IF(TRUE=TRUE,Inputs!$B$32,0))))+1)),0)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Skills!G19*IF(Skills!H19&gt;0,IF(Inputs!$B$38="pvp",MIN(Skills!I19,15),Skills!I19)/Skills!H19,1)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Skills!G20*IF(Skills!H20&gt;0,IF(Inputs!$B$38="pvp",MIN(Skills!I20,15),Skills!I20)/Skills!H20,1)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Skills!G21*IF(Skills!H21&gt;0,IF(Inputs!$B$38="pvp",MIN(Skills!I21,15),Skills!I21)/Skills!H21,1)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Skills!G22*IF(Skills!H22&gt;0,IF(Inputs!$B$38="pvp",MIN(Skills!I22,15),Skills!I22)/Skills!H22,1)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Skills!G23*IF(Skills!H23&gt;0,IF(Inputs!$B$38="pvp",MIN(Skills!I23,15),Skills!I23)/Skills!H23,1)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Skills!G24*IF(Skills!H24&gt;0,IF(Inputs!$B$38="pvp",MIN(Skills!I24,15),Skills!I24)/Skills!H24,1)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Skills!G25*IF(Skills!H25&gt;0,IF(Inputs!$B$38="pvp",MIN(Skills!I25,15),Skills!I25)/Skills!H25,1)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Skills!G26*IF(Skills!H26&gt;0,IF(Inputs!$B$38="pvp",MIN(Skills!I26,15),Skills!I26)/Skills!H26,1)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Skills!G27*IF(Skills!H27&gt;0,IF(Inputs!$B$38="pvp",MIN(Skills!I27,15),Skills!I27)/Skills!H27,1)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Skills!G28*IF(Skills!H28&gt;0,IF(Inputs!$B$38="pvp",MIN(Skills!I28,15),Skills!I28)/Skills!H28,1)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Skills!G29*IF(Skills!H29&gt;0,IF(Inputs!$B$38="pvp",MIN(Skills!I29,15),Skills!I29)/Skills!H29,1)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MIN((Skills!T15*(1+Inputs!$B$34/100)),(1/Q1661))+MIN((Skills!T15*(1+Inputs!$B$34/100)),MAX(0,Inputs!$B$43-((R1661-1)*(1/Q1661)))))/Inputs!$B$43),IF(Inputs!$B$38="pvp",MIN((Skills!T15*(1+Inputs!$B$34/100)),15)/15,MIN(1,(Skills!T15*(1+Inputs!$B$34/100))/(1/Q1661)))))+((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t="n">
        <v>0</v>
      </c>
    </row>
    <row r="1679">
      <c r="A1679" t="inlineStr">
        <is>
          <t>Attack Speed Buff Bonus %</t>
        </is>
      </c>
      <c r="B1679">
        <f>((C1664=TRUE)*F1664*IF(AND(Inputs!$B$38&lt;&gt;"pvp",Inputs!$B$43&gt;0),(((R1664-1)*MIN((Skills!T18*(1+Inputs!$B$34/100)),(1/Q1664))+MIN((Skills!T18*(1+Inputs!$B$34/100)),MAX(0,Inputs!$B$43-((R1664-1)*(1/Q1664)))))/Inputs!$B$43),IF(Inputs!$B$38="pvp",MIN((Skills!T18*(1+Inputs!$B$34/100)),15)/15,MIN(1,(Skills!T18*(1+Inputs!$B$34/100))/(1/Q1664)))))</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MIN((Skills!T16*(1+Inputs!$B$34/100)),(1/Q1662))+MIN((Skills!T16*(1+Inputs!$B$34/100)),MAX(0,Inputs!$B$43-((R1662-1)*(1/Q1662)))))/Inputs!$B$43),IF(Inputs!$B$38="pvp",MIN((Skills!T16*(1+Inputs!$B$34/100)),15)/15,MIN(1,(Skills!T16*(1+Inputs!$B$34/100))/(1/Q1662))))</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Skills!G2*IF(Skills!H2&gt;0,IF(Inputs!$B$38="pvp",MIN(Skills!I2,15),Skills!I2)/Skills!H2,1)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Skills!G5*IF(Skills!H5&gt;0,IF(Inputs!$B$38="pvp",MIN(Skills!I5,15),Skills!I5)/Skills!H5,1)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IFERROR(1/IF(Inputs!$B$38="pvp",15,MAX(0.1,Skills!D5-IF(TRUE=TRUE,Inputs!$B$32,0))),0)</f>
        <v/>
      </c>
      <c r="R1696">
        <f>IF(AND(Inputs!$B$38&lt;&gt;"pvp",Inputs!$B$43&gt;0),IF(MAX(0,Inputs!$B$43-B1730)&lt;=0,0,(INT(MAX(0,Inputs!$B$43-B1730)/IF(Inputs!$B$38="pvp",15,MAX(0.1,Skills!D5-IF(TRUE=TRUE,Inputs!$B$32,0))))+1)),0)</f>
        <v/>
      </c>
      <c r="S1696">
        <f>IFERROR((H1696*N1696*IF(AND(Inputs!$B$38&lt;&gt;"pvp",Inputs!$B$43&gt;0),((Skills!G5*((R1696-1)*IF(Skills!H5&gt;0,Skills!I5/Skills!H5,1)+IF(Skills!H5&gt;0,MIN(Skills!I5,MAX(0,MAX(0,Inputs!$B$43-B1730)-((R1696-1)*IF(Inputs!$B$38="pvp",15,MAX(0.1,Skills!D5-IF(TRUE=TRUE,Inputs!$B$32,0))))))/Skills!H5,1)))/Inputs!$B$43),G1696*Q1696))/N1696*IF(Inputs!$B$38="pvp",1,(1-Summary!$B$11)*1+Summary!$B$11*(MIN(Skills!R5,Inputs!$B$37))),0)</f>
        <v/>
      </c>
      <c r="T1696">
        <f>IF(C1696,(H1696*N1696*IF(AND(Inputs!$B$38&lt;&gt;"pvp",Inputs!$B$43&gt;0),((Skills!G5*((R1696-1)*IF(Skills!H5&gt;0,Skills!I5/Skills!H5,1)+IF(Skills!H5&gt;0,MIN(Skills!I5,MAX(0,MAX(0,Inputs!$B$43-B1730)-((R1696-1)*IF(Inputs!$B$38="pvp",15,MAX(0.1,Skills!D5-IF(TRUE=TRUE,Inputs!$B$32,0))))))/Skills!H5,1)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Skills!I5/Skills!H5,1)+IF(Skills!H5&gt;0,MIN(Skills!I5,MAX(0,MAX(0,Inputs!$B$43-B1730)-((R1696-1)*IF(Inputs!$B$38="pvp",15,MAX(0.1,Skills!D5-IF(TRUE=TRUE,Inputs!$B$32,0))))))/Skills!H5,1)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Skills!G6*IF(Skills!H6&gt;0,IF(Inputs!$B$38="pvp",MIN(Skills!I6,15),Skills!I6)/Skills!H6,1)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IFERROR(1/IF(Inputs!$B$38="pvp",15,MAX(0.1,Skills!D6-IF(TRUE=TRUE,Inputs!$B$32,0))),0)</f>
        <v/>
      </c>
      <c r="R1697">
        <f>IF(AND(Inputs!$B$38&lt;&gt;"pvp",Inputs!$B$43&gt;0),IF(MAX(0,Inputs!$B$43-B1730)&lt;=0,0,(INT(MAX(0,Inputs!$B$43-B1730)/IF(Inputs!$B$38="pvp",15,MAX(0.1,Skills!D6-IF(TRUE=TRUE,Inputs!$B$32,0))))+1)),0)</f>
        <v/>
      </c>
      <c r="S1697">
        <f>IFERROR((H1697*N1697*IF(AND(Inputs!$B$38&lt;&gt;"pvp",Inputs!$B$43&gt;0),((Skills!G6*((R1697-1)*IF(Skills!H6&gt;0,Skills!I6/Skills!H6,1)+IF(Skills!H6&gt;0,MIN(Skills!I6,MAX(0,MAX(0,Inputs!$B$43-B1730)-((R1697-1)*IF(Inputs!$B$38="pvp",15,MAX(0.1,Skills!D6-IF(TRUE=TRUE,Inputs!$B$32,0))))))/Skills!H6,1)))/Inputs!$B$43),G1697*Q1697))/N1697*IF(Inputs!$B$38="pvp",1,(1-Summary!$B$11)*1+Summary!$B$11*(MIN(Skills!R6,Inputs!$B$37))),0)</f>
        <v/>
      </c>
      <c r="T1697">
        <f>IF(C1697,(H1697*N1697*IF(AND(Inputs!$B$38&lt;&gt;"pvp",Inputs!$B$43&gt;0),((Skills!G6*((R1697-1)*IF(Skills!H6&gt;0,Skills!I6/Skills!H6,1)+IF(Skills!H6&gt;0,MIN(Skills!I6,MAX(0,MAX(0,Inputs!$B$43-B1730)-((R1697-1)*IF(Inputs!$B$38="pvp",15,MAX(0.1,Skills!D6-IF(TRUE=TRUE,Inputs!$B$32,0)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1730)-((R1697-1)*IF(Inputs!$B$38="pvp",15,MAX(0.1,Skills!D6-IF(TRUE=TRUE,Inputs!$B$32,0))))))/Skills!H6,1)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Skills!G7*IF(Skills!H7&gt;0,IF(Inputs!$B$38="pvp",MIN(Skills!I7,15),Skills!I7)/Skills!H7,1)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IFERROR(1/IF(Inputs!$B$38="pvp",15,MAX(0.1,Skills!D7-IF(TRUE=TRUE,Inputs!$B$32,0))),0)</f>
        <v/>
      </c>
      <c r="R1698">
        <f>IF(AND(Inputs!$B$38&lt;&gt;"pvp",Inputs!$B$43&gt;0),IF(MAX(0,Inputs!$B$43-B1730)&lt;=0,0,(INT(MAX(0,Inputs!$B$43-B1730)/IF(Inputs!$B$38="pvp",15,MAX(0.1,Skills!D7-IF(TRUE=TRUE,Inputs!$B$32,0))))+1)),0)</f>
        <v/>
      </c>
      <c r="S1698">
        <f>IFERROR((H1698*N1698*IF(AND(Inputs!$B$38&lt;&gt;"pvp",Inputs!$B$43&gt;0),((Skills!G7*((R1698-1)*IF(Skills!H7&gt;0,Skills!I7/Skills!H7,1)+IF(Skills!H7&gt;0,MIN(Skills!I7,MAX(0,MAX(0,Inputs!$B$43-B1730)-((R1698-1)*IF(Inputs!$B$38="pvp",15,MAX(0.1,Skills!D7-IF(TRUE=TRUE,Inputs!$B$32,0))))))/Skills!H7,1)))/Inputs!$B$43),G1698*Q1698))/N1698*IF(Inputs!$B$38="pvp",1,(1-Summary!$B$11)*1+Summary!$B$11*(MIN(Skills!R7,Inputs!$B$37))),0)</f>
        <v/>
      </c>
      <c r="T1698">
        <f>IF(C1698,(H1698*N1698*IF(AND(Inputs!$B$38&lt;&gt;"pvp",Inputs!$B$43&gt;0),((Skills!G7*((R1698-1)*IF(Skills!H7&gt;0,Skills!I7/Skills!H7,1)+IF(Skills!H7&gt;0,MIN(Skills!I7,MAX(0,MAX(0,Inputs!$B$43-B1730)-((R1698-1)*IF(Inputs!$B$38="pvp",15,MAX(0.1,Skills!D7-IF(TRUE=TRUE,Inputs!$B$32,0)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1730)-((R1698-1)*IF(Inputs!$B$38="pvp",15,MAX(0.1,Skills!D7-IF(TRUE=TRUE,Inputs!$B$32,0))))))/Skills!H7,1)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Skills!G9*IF(Skills!H9&gt;0,IF(Inputs!$B$38="pvp",MIN(Skills!I9,15),Skills!I9)/Skills!H9,1)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IFERROR(1/IF(Inputs!$B$38="pvp",15,MAX(0.1,Skills!D9-IF(TRUE=TRUE,Inputs!$B$32,0))),0)</f>
        <v/>
      </c>
      <c r="R1700">
        <f>IF(AND(Inputs!$B$38&lt;&gt;"pvp",Inputs!$B$43&gt;0),IF(MAX(0,Inputs!$B$43-B1730)&lt;=0,0,(INT(MAX(0,Inputs!$B$43-B1730)/IF(Inputs!$B$38="pvp",15,MAX(0.1,Skills!D9-IF(TRUE=TRUE,Inputs!$B$32,0))))+1)),0)</f>
        <v/>
      </c>
      <c r="S1700">
        <f>IFERROR((H1700*N1700*IF(AND(Inputs!$B$38&lt;&gt;"pvp",Inputs!$B$43&gt;0),((Skills!G9*((R1700-1)*IF(Skills!H9&gt;0,Skills!I9/Skills!H9,1)+IF(Skills!H9&gt;0,MIN(Skills!I9,MAX(0,MAX(0,Inputs!$B$43-B1730)-((R1700-1)*IF(Inputs!$B$38="pvp",15,MAX(0.1,Skills!D9-IF(TRUE=TRUE,Inputs!$B$32,0))))))/Skills!H9,1)))/Inputs!$B$43),G1700*Q1700))/N1700*IF(Inputs!$B$38="pvp",1,(1-Summary!$B$11)*1+Summary!$B$11*(MIN(Skills!R9,Inputs!$B$37))),0)</f>
        <v/>
      </c>
      <c r="T1700">
        <f>IF(C1700,(H1700*N1700*IF(AND(Inputs!$B$38&lt;&gt;"pvp",Inputs!$B$43&gt;0),((Skills!G9*((R1700-1)*IF(Skills!H9&gt;0,Skills!I9/Skills!H9,1)+IF(Skills!H9&gt;0,MIN(Skills!I9,MAX(0,MAX(0,Inputs!$B$43-B1730)-((R1700-1)*IF(Inputs!$B$38="pvp",15,MAX(0.1,Skills!D9-IF(TRUE=TRUE,Inputs!$B$32,0)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1730)-((R1700-1)*IF(Inputs!$B$38="pvp",15,MAX(0.1,Skills!D9-IF(TRUE=TRUE,Inputs!$B$32,0))))))/Skills!H9,1)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Skills!G10*IF(Skills!H10&gt;0,IF(Inputs!$B$38="pvp",MIN(Skills!I10,15),Skills!I10)/Skills!H10,1)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Skills!G11*IF(Skills!H11&gt;0,IF(Inputs!$B$38="pvp",MIN(Skills!I11,15),Skills!I11)/Skills!H11,1)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IFERROR(1/IF(Inputs!$B$38="pvp",15,MAX(0.1,Skills!D11-IF(TRUE=TRUE,Inputs!$B$32,0))),0)</f>
        <v/>
      </c>
      <c r="R1702">
        <f>IF(AND(Inputs!$B$38&lt;&gt;"pvp",Inputs!$B$43&gt;0),IF(MAX(0,Inputs!$B$43-B1730)&lt;=0,0,(INT(MAX(0,Inputs!$B$43-B1730)/IF(Inputs!$B$38="pvp",15,MAX(0.1,Skills!D11-IF(TRUE=TRUE,Inputs!$B$32,0))))+1)),0)</f>
        <v/>
      </c>
      <c r="S1702">
        <f>IFERROR((H1702*N1702*IF(AND(Inputs!$B$38&lt;&gt;"pvp",Inputs!$B$43&gt;0),((Skills!G11*((R1702-1)*IF(Skills!H11&gt;0,Skills!I11/Skills!H11,1)+IF(Skills!H11&gt;0,MIN(Skills!I11,MAX(0,MAX(0,Inputs!$B$43-B1730)-((R1702-1)*IF(Inputs!$B$38="pvp",15,MAX(0.1,Skills!D11-IF(TRUE=TRUE,Inputs!$B$32,0))))))/Skills!H11,1)))/Inputs!$B$43),G1702*Q1702))/N1702*IF(Inputs!$B$38="pvp",1,(1-Summary!$B$11)*1+Summary!$B$11*(MIN(Skills!R11,Inputs!$B$37))),0)</f>
        <v/>
      </c>
      <c r="T1702">
        <f>IF(C1702,(H1702*N1702*IF(AND(Inputs!$B$38&lt;&gt;"pvp",Inputs!$B$43&gt;0),((Skills!G11*((R1702-1)*IF(Skills!H11&gt;0,Skills!I11/Skills!H11,1)+IF(Skills!H11&gt;0,MIN(Skills!I11,MAX(0,MAX(0,Inputs!$B$43-B1730)-((R1702-1)*IF(Inputs!$B$38="pvp",15,MAX(0.1,Skills!D11-IF(TRUE=TRUE,Inputs!$B$32,0))))))/Skills!H11,1)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Inputs!$B$38&lt;&gt;"pvp",Inputs!$B$43=0),1,IF(IF(Inputs!$B$38="pvp",15,Inputs!$B$43)-(B1730)&lt;=0,1,MAX(0,IF(Inputs!$B$38="pvp",15,Inputs!$B$43)-MAX(5,B1730))/(IF(Inputs!$B$38="pvp",15,Inputs!$B$43)-(B1730)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Skills!I11/Skills!H11,1)+IF(Skills!H11&gt;0,MIN(Skills!I11,MAX(0,MAX(0,Inputs!$B$43-B1730)-((R1702-1)*IF(Inputs!$B$38="pvp",15,MAX(0.1,Skills!D11-IF(TRUE=TRUE,Inputs!$B$32,0))))))/Skills!H11,1)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Skills!G12*IF(Skills!H12&gt;0,IF(Inputs!$B$38="pvp",MIN(Skills!I12,15),Skills!I12)/Skills!H12,1)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Skills!G13*IF(Skills!H13&gt;0,IF(Inputs!$B$38="pvp",MIN(Skills!I13,15),Skills!I13)/Skills!H13,1)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Skills!G14*IF(Skills!H14&gt;0,IF(Inputs!$B$38="pvp",MIN(Skills!I14,15),Skills!I14)/Skills!H14,1)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Skills!G15*IF(Skills!H15&gt;0,IF(Inputs!$B$38="pvp",MIN(Skills!I15,15),Skills!I15)/Skills!H15,1)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IFERROR(1/IF(Inputs!$B$38="pvp",15,MAX(0.1,Skills!D15-IF(TRUE=TRUE,Inputs!$B$32,0))),0)</f>
        <v/>
      </c>
      <c r="R1706">
        <f>IF(AND(Inputs!$B$38&lt;&gt;"pvp",Inputs!$B$43&gt;0),IF(Inputs!$B$43&lt;=0,0,(INT(Inputs!$B$43/IF(Inputs!$B$38="pvp",15,MAX(0.1,Skills!D15-IF(TRUE=TRUE,Inputs!$B$32,0))))+1)),0)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Skills!G16*IF(Skills!H16&gt;0,IF(Inputs!$B$38="pvp",MIN(Skills!I16,15),Skills!I16)/Skills!H16,1)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IFERROR(1/IF(Inputs!$B$38="pvp",15,MAX(0.1,Skills!D16-IF(TRUE=TRUE,Inputs!$B$32,0))),0)</f>
        <v/>
      </c>
      <c r="R1707">
        <f>IF(AND(Inputs!$B$38&lt;&gt;"pvp",Inputs!$B$43&gt;0),IF(Inputs!$B$43&lt;=0,0,(INT(Inputs!$B$43/IF(Inputs!$B$38="pvp",15,MAX(0.1,Skills!D16-IF(TRUE=TRUE,Inputs!$B$32,0))))+1)),0)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Skills!G17*IF(Skills!H17&gt;0,IF(Inputs!$B$38="pvp",MIN(Skills!I17,15),Skills!I17)/Skills!H17,1)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Skills!G18*IF(Skills!H18&gt;0,IF(Inputs!$B$38="pvp",MIN(Skills!I18,15),Skills!I18)/Skills!H18,1)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IFERROR(1/IF(Inputs!$B$38="pvp",15,MAX(0.1,Skills!D18-IF(TRUE=TRUE,Inputs!$B$32,0))),0)</f>
        <v/>
      </c>
      <c r="R1709">
        <f>IF(AND(Inputs!$B$38&lt;&gt;"pvp",Inputs!$B$43&gt;0),IF(Inputs!$B$43&lt;=0,0,(INT(Inputs!$B$43/IF(Inputs!$B$38="pvp",15,MAX(0.1,Skills!D18-IF(TRUE=TRUE,Inputs!$B$32,0))))+1)),0)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Skills!G19*IF(Skills!H19&gt;0,IF(Inputs!$B$38="pvp",MIN(Skills!I19,15),Skills!I19)/Skills!H19,1)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Skills!G20*IF(Skills!H20&gt;0,IF(Inputs!$B$38="pvp",MIN(Skills!I20,15),Skills!I20)/Skills!H20,1)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Skills!G21*IF(Skills!H21&gt;0,IF(Inputs!$B$38="pvp",MIN(Skills!I21,15),Skills!I21)/Skills!H21,1)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Skills!G22*IF(Skills!H22&gt;0,IF(Inputs!$B$38="pvp",MIN(Skills!I22,15),Skills!I22)/Skills!H22,1)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Skills!G23*IF(Skills!H23&gt;0,IF(Inputs!$B$38="pvp",MIN(Skills!I23,15),Skills!I23)/Skills!H23,1)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Skills!G24*IF(Skills!H24&gt;0,IF(Inputs!$B$38="pvp",MIN(Skills!I24,15),Skills!I24)/Skills!H24,1)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Skills!G25*IF(Skills!H25&gt;0,IF(Inputs!$B$38="pvp",MIN(Skills!I25,15),Skills!I25)/Skills!H25,1)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Skills!G26*IF(Skills!H26&gt;0,IF(Inputs!$B$38="pvp",MIN(Skills!I26,15),Skills!I26)/Skills!H26,1)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Skills!G27*IF(Skills!H27&gt;0,IF(Inputs!$B$38="pvp",MIN(Skills!I27,15),Skills!I27)/Skills!H27,1)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Skills!G28*IF(Skills!H28&gt;0,IF(Inputs!$B$38="pvp",MIN(Skills!I28,15),Skills!I28)/Skills!H28,1)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Skills!G29*IF(Skills!H29&gt;0,IF(Inputs!$B$38="pvp",MIN(Skills!I29,15),Skills!I29)/Skills!H29,1)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MIN((Skills!T15*(1+Inputs!$B$34/100)),(1/Q1706))+MIN((Skills!T15*(1+Inputs!$B$34/100)),MAX(0,Inputs!$B$43-((R1706-1)*(1/Q1706)))))/Inputs!$B$43),IF(Inputs!$B$38="pvp",MIN((Skills!T15*(1+Inputs!$B$34/100)),15)/15,MIN(1,(Skills!T15*(1+Inputs!$B$34/100))/(1/Q1706)))))+((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t="n">
        <v>0</v>
      </c>
    </row>
    <row r="1724">
      <c r="A1724" t="inlineStr">
        <is>
          <t>Attack Speed Buff Bonus %</t>
        </is>
      </c>
      <c r="B1724">
        <f>((C1709=TRUE)*F1709*IF(AND(Inputs!$B$38&lt;&gt;"pvp",Inputs!$B$43&gt;0),(((R1709-1)*MIN((Skills!T18*(1+Inputs!$B$34/100)),(1/Q1709))+MIN((Skills!T18*(1+Inputs!$B$34/100)),MAX(0,Inputs!$B$43-((R1709-1)*(1/Q1709)))))/Inputs!$B$43),IF(Inputs!$B$38="pvp",MIN((Skills!T18*(1+Inputs!$B$34/100)),15)/15,MIN(1,(Skills!T18*(1+Inputs!$B$34/100))/(1/Q1709)))))</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MIN((Skills!T16*(1+Inputs!$B$34/100)),(1/Q1707))+MIN((Skills!T16*(1+Inputs!$B$34/100)),MAX(0,Inputs!$B$43-((R1707-1)*(1/Q1707)))))/Inputs!$B$43),IF(Inputs!$B$38="pvp",MIN((Skills!T16*(1+Inputs!$B$34/100)),15)/15,MIN(1,(Skills!T16*(1+Inputs!$B$34/100))/(1/Q1707))))</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Skills!G2*IF(Skills!H2&gt;0,IF(Inputs!$B$38="pvp",MIN(Skills!I2,15),Skills!I2)/Skills!H2,1)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Skills!G5*IF(Skills!H5&gt;0,IF(Inputs!$B$38="pvp",MIN(Skills!I5,15),Skills!I5)/Skills!H5,1)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IFERROR(1/IF(Inputs!$B$38="pvp",15,MAX(0.1,Skills!D5-IF(TRUE=TRUE,Inputs!$B$32,0))),0)</f>
        <v/>
      </c>
      <c r="R1741">
        <f>IF(AND(Inputs!$B$38&lt;&gt;"pvp",Inputs!$B$43&gt;0),IF(MAX(0,Inputs!$B$43-B1775)&lt;=0,0,(INT(MAX(0,Inputs!$B$43-B1775)/IF(Inputs!$B$38="pvp",15,MAX(0.1,Skills!D5-IF(TRUE=TRUE,Inputs!$B$32,0))))+1)),0)</f>
        <v/>
      </c>
      <c r="S1741">
        <f>IFERROR((H1741*N1741*IF(AND(Inputs!$B$38&lt;&gt;"pvp",Inputs!$B$43&gt;0),((Skills!G5*((R1741-1)*IF(Skills!H5&gt;0,Skills!I5/Skills!H5,1)+IF(Skills!H5&gt;0,MIN(Skills!I5,MAX(0,MAX(0,Inputs!$B$43-B1775)-((R1741-1)*IF(Inputs!$B$38="pvp",15,MAX(0.1,Skills!D5-IF(TRUE=TRUE,Inputs!$B$32,0))))))/Skills!H5,1)))/Inputs!$B$43),G1741*Q1741))/N1741*IF(Inputs!$B$38="pvp",1,(1-Summary!$B$11)*1+Summary!$B$11*(MIN(Skills!R5,Inputs!$B$37))),0)</f>
        <v/>
      </c>
      <c r="T1741">
        <f>IF(C1741,(H1741*N1741*IF(AND(Inputs!$B$38&lt;&gt;"pvp",Inputs!$B$43&gt;0),((Skills!G5*((R1741-1)*IF(Skills!H5&gt;0,Skills!I5/Skills!H5,1)+IF(Skills!H5&gt;0,MIN(Skills!I5,MAX(0,MAX(0,Inputs!$B$43-B1775)-((R1741-1)*IF(Inputs!$B$38="pvp",15,MAX(0.1,Skills!D5-IF(TRUE=TRUE,Inputs!$B$32,0))))))/Skills!H5,1)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Skills!I5/Skills!H5,1)+IF(Skills!H5&gt;0,MIN(Skills!I5,MAX(0,MAX(0,Inputs!$B$43-B1775)-((R1741-1)*IF(Inputs!$B$38="pvp",15,MAX(0.1,Skills!D5-IF(TRUE=TRUE,Inputs!$B$32,0))))))/Skills!H5,1)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Skills!G6*IF(Skills!H6&gt;0,IF(Inputs!$B$38="pvp",MIN(Skills!I6,15),Skills!I6)/Skills!H6,1)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IFERROR(1/IF(Inputs!$B$38="pvp",15,MAX(0.1,Skills!D6-IF(TRUE=TRUE,Inputs!$B$32,0))),0)</f>
        <v/>
      </c>
      <c r="R1742">
        <f>IF(AND(Inputs!$B$38&lt;&gt;"pvp",Inputs!$B$43&gt;0),IF(MAX(0,Inputs!$B$43-B1775)&lt;=0,0,(INT(MAX(0,Inputs!$B$43-B1775)/IF(Inputs!$B$38="pvp",15,MAX(0.1,Skills!D6-IF(TRUE=TRUE,Inputs!$B$32,0))))+1)),0)</f>
        <v/>
      </c>
      <c r="S1742">
        <f>IFERROR((H1742*N1742*IF(AND(Inputs!$B$38&lt;&gt;"pvp",Inputs!$B$43&gt;0),((Skills!G6*((R1742-1)*IF(Skills!H6&gt;0,Skills!I6/Skills!H6,1)+IF(Skills!H6&gt;0,MIN(Skills!I6,MAX(0,MAX(0,Inputs!$B$43-B1775)-((R1742-1)*IF(Inputs!$B$38="pvp",15,MAX(0.1,Skills!D6-IF(TRUE=TRUE,Inputs!$B$32,0))))))/Skills!H6,1)))/Inputs!$B$43),G1742*Q1742))/N1742*IF(Inputs!$B$38="pvp",1,(1-Summary!$B$11)*1+Summary!$B$11*(MIN(Skills!R6,Inputs!$B$37))),0)</f>
        <v/>
      </c>
      <c r="T1742">
        <f>IF(C1742,(H1742*N1742*IF(AND(Inputs!$B$38&lt;&gt;"pvp",Inputs!$B$43&gt;0),((Skills!G6*((R1742-1)*IF(Skills!H6&gt;0,Skills!I6/Skills!H6,1)+IF(Skills!H6&gt;0,MIN(Skills!I6,MAX(0,MAX(0,Inputs!$B$43-B1775)-((R1742-1)*IF(Inputs!$B$38="pvp",15,MAX(0.1,Skills!D6-IF(TRUE=TRUE,Inputs!$B$32,0)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1775)-((R1742-1)*IF(Inputs!$B$38="pvp",15,MAX(0.1,Skills!D6-IF(TRUE=TRUE,Inputs!$B$32,0))))))/Skills!H6,1)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Skills!G7*IF(Skills!H7&gt;0,IF(Inputs!$B$38="pvp",MIN(Skills!I7,15),Skills!I7)/Skills!H7,1)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IFERROR(1/IF(Inputs!$B$38="pvp",15,MAX(0.1,Skills!D7-IF(TRUE=TRUE,Inputs!$B$32,0))),0)</f>
        <v/>
      </c>
      <c r="R1743">
        <f>IF(AND(Inputs!$B$38&lt;&gt;"pvp",Inputs!$B$43&gt;0),IF(MAX(0,Inputs!$B$43-B1775)&lt;=0,0,(INT(MAX(0,Inputs!$B$43-B1775)/IF(Inputs!$B$38="pvp",15,MAX(0.1,Skills!D7-IF(TRUE=TRUE,Inputs!$B$32,0))))+1)),0)</f>
        <v/>
      </c>
      <c r="S1743">
        <f>IFERROR((H1743*N1743*IF(AND(Inputs!$B$38&lt;&gt;"pvp",Inputs!$B$43&gt;0),((Skills!G7*((R1743-1)*IF(Skills!H7&gt;0,Skills!I7/Skills!H7,1)+IF(Skills!H7&gt;0,MIN(Skills!I7,MAX(0,MAX(0,Inputs!$B$43-B1775)-((R1743-1)*IF(Inputs!$B$38="pvp",15,MAX(0.1,Skills!D7-IF(TRUE=TRUE,Inputs!$B$32,0))))))/Skills!H7,1)))/Inputs!$B$43),G1743*Q1743))/N1743*IF(Inputs!$B$38="pvp",1,(1-Summary!$B$11)*1+Summary!$B$11*(MIN(Skills!R7,Inputs!$B$37))),0)</f>
        <v/>
      </c>
      <c r="T1743">
        <f>IF(C1743,(H1743*N1743*IF(AND(Inputs!$B$38&lt;&gt;"pvp",Inputs!$B$43&gt;0),((Skills!G7*((R1743-1)*IF(Skills!H7&gt;0,Skills!I7/Skills!H7,1)+IF(Skills!H7&gt;0,MIN(Skills!I7,MAX(0,MAX(0,Inputs!$B$43-B1775)-((R1743-1)*IF(Inputs!$B$38="pvp",15,MAX(0.1,Skills!D7-IF(TRUE=TRUE,Inputs!$B$32,0)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1775)-((R1743-1)*IF(Inputs!$B$38="pvp",15,MAX(0.1,Skills!D7-IF(TRUE=TRUE,Inputs!$B$32,0))))))/Skills!H7,1)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Skills!G9*IF(Skills!H9&gt;0,IF(Inputs!$B$38="pvp",MIN(Skills!I9,15),Skills!I9)/Skills!H9,1)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IFERROR(1/IF(Inputs!$B$38="pvp",15,MAX(0.1,Skills!D9-IF(TRUE=TRUE,Inputs!$B$32,0))),0)</f>
        <v/>
      </c>
      <c r="R1745">
        <f>IF(AND(Inputs!$B$38&lt;&gt;"pvp",Inputs!$B$43&gt;0),IF(MAX(0,Inputs!$B$43-B1775)&lt;=0,0,(INT(MAX(0,Inputs!$B$43-B1775)/IF(Inputs!$B$38="pvp",15,MAX(0.1,Skills!D9-IF(TRUE=TRUE,Inputs!$B$32,0))))+1)),0)</f>
        <v/>
      </c>
      <c r="S1745">
        <f>IFERROR((H1745*N1745*IF(AND(Inputs!$B$38&lt;&gt;"pvp",Inputs!$B$43&gt;0),((Skills!G9*((R1745-1)*IF(Skills!H9&gt;0,Skills!I9/Skills!H9,1)+IF(Skills!H9&gt;0,MIN(Skills!I9,MAX(0,MAX(0,Inputs!$B$43-B1775)-((R1745-1)*IF(Inputs!$B$38="pvp",15,MAX(0.1,Skills!D9-IF(TRUE=TRUE,Inputs!$B$32,0))))))/Skills!H9,1)))/Inputs!$B$43),G1745*Q1745))/N1745*IF(Inputs!$B$38="pvp",1,(1-Summary!$B$11)*1+Summary!$B$11*(MIN(Skills!R9,Inputs!$B$37))),0)</f>
        <v/>
      </c>
      <c r="T1745">
        <f>IF(C1745,(H1745*N1745*IF(AND(Inputs!$B$38&lt;&gt;"pvp",Inputs!$B$43&gt;0),((Skills!G9*((R1745-1)*IF(Skills!H9&gt;0,Skills!I9/Skills!H9,1)+IF(Skills!H9&gt;0,MIN(Skills!I9,MAX(0,MAX(0,Inputs!$B$43-B1775)-((R1745-1)*IF(Inputs!$B$38="pvp",15,MAX(0.1,Skills!D9-IF(TRUE=TRUE,Inputs!$B$32,0)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1775)-((R1745-1)*IF(Inputs!$B$38="pvp",15,MAX(0.1,Skills!D9-IF(TRUE=TRUE,Inputs!$B$32,0))))))/Skills!H9,1)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Skills!G10*IF(Skills!H10&gt;0,IF(Inputs!$B$38="pvp",MIN(Skills!I10,15),Skills!I10)/Skills!H10,1)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Skills!G11*IF(Skills!H11&gt;0,IF(Inputs!$B$38="pvp",MIN(Skills!I11,15),Skills!I11)/Skills!H11,1)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IFERROR(1/IF(Inputs!$B$38="pvp",15,MAX(0.1,Skills!D11-IF(TRUE=TRUE,Inputs!$B$32,0))),0)</f>
        <v/>
      </c>
      <c r="R1747">
        <f>IF(AND(Inputs!$B$38&lt;&gt;"pvp",Inputs!$B$43&gt;0),IF(MAX(0,Inputs!$B$43-B1775)&lt;=0,0,(INT(MAX(0,Inputs!$B$43-B1775)/IF(Inputs!$B$38="pvp",15,MAX(0.1,Skills!D11-IF(TRUE=TRUE,Inputs!$B$32,0))))+1)),0)</f>
        <v/>
      </c>
      <c r="S1747">
        <f>IFERROR((H1747*N1747*IF(AND(Inputs!$B$38&lt;&gt;"pvp",Inputs!$B$43&gt;0),((Skills!G11*((R1747-1)*IF(Skills!H11&gt;0,Skills!I11/Skills!H11,1)+IF(Skills!H11&gt;0,MIN(Skills!I11,MAX(0,MAX(0,Inputs!$B$43-B1775)-((R1747-1)*IF(Inputs!$B$38="pvp",15,MAX(0.1,Skills!D11-IF(TRUE=TRUE,Inputs!$B$32,0))))))/Skills!H11,1)))/Inputs!$B$43),G1747*Q1747))/N1747*IF(Inputs!$B$38="pvp",1,(1-Summary!$B$11)*1+Summary!$B$11*(MIN(Skills!R11,Inputs!$B$37))),0)</f>
        <v/>
      </c>
      <c r="T1747">
        <f>IF(C1747,(H1747*N1747*IF(AND(Inputs!$B$38&lt;&gt;"pvp",Inputs!$B$43&gt;0),((Skills!G11*((R1747-1)*IF(Skills!H11&gt;0,Skills!I11/Skills!H11,1)+IF(Skills!H11&gt;0,MIN(Skills!I11,MAX(0,MAX(0,Inputs!$B$43-B1775)-((R1747-1)*IF(Inputs!$B$38="pvp",15,MAX(0.1,Skills!D11-IF(TRUE=TRUE,Inputs!$B$32,0))))))/Skills!H11,1)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Inputs!$B$38&lt;&gt;"pvp",Inputs!$B$43=0),1,IF(IF(Inputs!$B$38="pvp",15,Inputs!$B$43)-(B1775)&lt;=0,1,MAX(0,IF(Inputs!$B$38="pvp",15,Inputs!$B$43)-MAX(5,B1775))/(IF(Inputs!$B$38="pvp",15,Inputs!$B$43)-(B1775))))*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Skills!I11/Skills!H11,1)+IF(Skills!H11&gt;0,MIN(Skills!I11,MAX(0,MAX(0,Inputs!$B$43-B1775)-((R1747-1)*IF(Inputs!$B$38="pvp",15,MAX(0.1,Skills!D11-IF(TRUE=TRUE,Inputs!$B$32,0))))))/Skills!H11,1)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Skills!G12*IF(Skills!H12&gt;0,IF(Inputs!$B$38="pvp",MIN(Skills!I12,15),Skills!I12)/Skills!H12,1)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Skills!G13*IF(Skills!H13&gt;0,IF(Inputs!$B$38="pvp",MIN(Skills!I13,15),Skills!I13)/Skills!H13,1)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Skills!G14*IF(Skills!H14&gt;0,IF(Inputs!$B$38="pvp",MIN(Skills!I14,15),Skills!I14)/Skills!H14,1)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Skills!G15*IF(Skills!H15&gt;0,IF(Inputs!$B$38="pvp",MIN(Skills!I15,15),Skills!I15)/Skills!H15,1)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IFERROR(1/IF(Inputs!$B$38="pvp",15,MAX(0.1,Skills!D15-IF(TRUE=TRUE,Inputs!$B$32,0))),0)</f>
        <v/>
      </c>
      <c r="R1751">
        <f>IF(AND(Inputs!$B$38&lt;&gt;"pvp",Inputs!$B$43&gt;0),IF(Inputs!$B$43&lt;=0,0,(INT(Inputs!$B$43/IF(Inputs!$B$38="pvp",15,MAX(0.1,Skills!D15-IF(TRUE=TRUE,Inputs!$B$32,0))))+1)),0)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Skills!G16*IF(Skills!H16&gt;0,IF(Inputs!$B$38="pvp",MIN(Skills!I16,15),Skills!I16)/Skills!H16,1)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IFERROR(1/IF(Inputs!$B$38="pvp",15,MAX(0.1,Skills!D16-IF(TRUE=TRUE,Inputs!$B$32,0))),0)</f>
        <v/>
      </c>
      <c r="R1752">
        <f>IF(AND(Inputs!$B$38&lt;&gt;"pvp",Inputs!$B$43&gt;0),IF(Inputs!$B$43&lt;=0,0,(INT(Inputs!$B$43/IF(Inputs!$B$38="pvp",15,MAX(0.1,Skills!D16-IF(TRUE=TRUE,Inputs!$B$32,0))))+1)),0)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Skills!G17*IF(Skills!H17&gt;0,IF(Inputs!$B$38="pvp",MIN(Skills!I17,15),Skills!I17)/Skills!H17,1)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Skills!G18*IF(Skills!H18&gt;0,IF(Inputs!$B$38="pvp",MIN(Skills!I18,15),Skills!I18)/Skills!H18,1)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IFERROR(1/IF(Inputs!$B$38="pvp",15,MAX(0.1,Skills!D18-IF(TRUE=TRUE,Inputs!$B$32,0))),0)</f>
        <v/>
      </c>
      <c r="R1754">
        <f>IF(AND(Inputs!$B$38&lt;&gt;"pvp",Inputs!$B$43&gt;0),IF(Inputs!$B$43&lt;=0,0,(INT(Inputs!$B$43/IF(Inputs!$B$38="pvp",15,MAX(0.1,Skills!D18-IF(TRUE=TRUE,Inputs!$B$32,0))))+1)),0)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Skills!G19*IF(Skills!H19&gt;0,IF(Inputs!$B$38="pvp",MIN(Skills!I19,15),Skills!I19)/Skills!H19,1)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Skills!G20*IF(Skills!H20&gt;0,IF(Inputs!$B$38="pvp",MIN(Skills!I20,15),Skills!I20)/Skills!H20,1)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Skills!G21*IF(Skills!H21&gt;0,IF(Inputs!$B$38="pvp",MIN(Skills!I21,15),Skills!I21)/Skills!H21,1)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Skills!G22*IF(Skills!H22&gt;0,IF(Inputs!$B$38="pvp",MIN(Skills!I22,15),Skills!I22)/Skills!H22,1)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Skills!G23*IF(Skills!H23&gt;0,IF(Inputs!$B$38="pvp",MIN(Skills!I23,15),Skills!I23)/Skills!H23,1)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Skills!G24*IF(Skills!H24&gt;0,IF(Inputs!$B$38="pvp",MIN(Skills!I24,15),Skills!I24)/Skills!H24,1)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Skills!G25*IF(Skills!H25&gt;0,IF(Inputs!$B$38="pvp",MIN(Skills!I25,15),Skills!I25)/Skills!H25,1)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Skills!G26*IF(Skills!H26&gt;0,IF(Inputs!$B$38="pvp",MIN(Skills!I26,15),Skills!I26)/Skills!H26,1)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Skills!G27*IF(Skills!H27&gt;0,IF(Inputs!$B$38="pvp",MIN(Skills!I27,15),Skills!I27)/Skills!H27,1)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Skills!G28*IF(Skills!H28&gt;0,IF(Inputs!$B$38="pvp",MIN(Skills!I28,15),Skills!I28)/Skills!H28,1)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Skills!G29*IF(Skills!H29&gt;0,IF(Inputs!$B$38="pvp",MIN(Skills!I29,15),Skills!I29)/Skills!H29,1)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MIN((Skills!T15*(1+Inputs!$B$34/100)),(1/Q1751))+MIN((Skills!T15*(1+Inputs!$B$34/100)),MAX(0,Inputs!$B$43-((R1751-1)*(1/Q1751)))))/Inputs!$B$43),IF(Inputs!$B$38="pvp",MIN((Skills!T15*(1+Inputs!$B$34/100)),15)/15,MIN(1,(Skills!T15*(1+Inputs!$B$34/100))/(1/Q1751)))))+((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t="n">
        <v>0</v>
      </c>
    </row>
    <row r="1769">
      <c r="A1769" t="inlineStr">
        <is>
          <t>Attack Speed Buff Bonus %</t>
        </is>
      </c>
      <c r="B1769">
        <f>((C1754=TRUE)*F1754*IF(AND(Inputs!$B$38&lt;&gt;"pvp",Inputs!$B$43&gt;0),(((R1754-1)*MIN((Skills!T18*(1+Inputs!$B$34/100)),(1/Q1754))+MIN((Skills!T18*(1+Inputs!$B$34/100)),MAX(0,Inputs!$B$43-((R1754-1)*(1/Q1754)))))/Inputs!$B$43),IF(Inputs!$B$38="pvp",MIN((Skills!T18*(1+Inputs!$B$34/100)),15)/15,MIN(1,(Skills!T18*(1+Inputs!$B$34/100))/(1/Q1754)))))</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MIN((Skills!T16*(1+Inputs!$B$34/100)),(1/Q1752))+MIN((Skills!T16*(1+Inputs!$B$34/100)),MAX(0,Inputs!$B$43-((R1752-1)*(1/Q1752)))))/Inputs!$B$43),IF(Inputs!$B$38="pvp",MIN((Skills!T16*(1+Inputs!$B$34/100)),15)/15,MIN(1,(Skills!T16*(1+Inputs!$B$34/100))/(1/Q1752))))</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Skills!G2*IF(Skills!H2&gt;0,IF(Inputs!$B$38="pvp",MIN(Skills!I2,15),Skills!I2)/Skills!H2,1)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Skills!G5*IF(Skills!H5&gt;0,IF(Inputs!$B$38="pvp",MIN(Skills!I5,15),Skills!I5)/Skills!H5,1)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IFERROR(1/IF(Inputs!$B$38="pvp",15,MAX(0.1,Skills!D5-IF(TRUE=TRUE,Inputs!$B$32,0))),0)</f>
        <v/>
      </c>
      <c r="R1786">
        <f>IF(AND(Inputs!$B$38&lt;&gt;"pvp",Inputs!$B$43&gt;0),IF(MAX(0,Inputs!$B$43-B1820)&lt;=0,0,(INT(MAX(0,Inputs!$B$43-B1820)/IF(Inputs!$B$38="pvp",15,MAX(0.1,Skills!D5-IF(TRUE=TRUE,Inputs!$B$32,0))))+1)),0)</f>
        <v/>
      </c>
      <c r="S1786">
        <f>IFERROR((H1786*N1786*IF(AND(Inputs!$B$38&lt;&gt;"pvp",Inputs!$B$43&gt;0),((Skills!G5*((R1786-1)*IF(Skills!H5&gt;0,Skills!I5/Skills!H5,1)+IF(Skills!H5&gt;0,MIN(Skills!I5,MAX(0,MAX(0,Inputs!$B$43-B1820)-((R1786-1)*IF(Inputs!$B$38="pvp",15,MAX(0.1,Skills!D5-IF(TRUE=TRUE,Inputs!$B$32,0))))))/Skills!H5,1)))/Inputs!$B$43),G1786*Q1786))/N1786*IF(Inputs!$B$38="pvp",1,(1-Summary!$B$11)*1+Summary!$B$11*(MIN(Skills!R5,Inputs!$B$37))),0)</f>
        <v/>
      </c>
      <c r="T1786">
        <f>IF(C1786,(H1786*N1786*IF(AND(Inputs!$B$38&lt;&gt;"pvp",Inputs!$B$43&gt;0),((Skills!G5*((R1786-1)*IF(Skills!H5&gt;0,Skills!I5/Skills!H5,1)+IF(Skills!H5&gt;0,MIN(Skills!I5,MAX(0,MAX(0,Inputs!$B$43-B1820)-((R1786-1)*IF(Inputs!$B$38="pvp",15,MAX(0.1,Skills!D5-IF(TRUE=TRUE,Inputs!$B$32,0))))))/Skills!H5,1)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Skills!I5/Skills!H5,1)+IF(Skills!H5&gt;0,MIN(Skills!I5,MAX(0,MAX(0,Inputs!$B$43-B1820)-((R1786-1)*IF(Inputs!$B$38="pvp",15,MAX(0.1,Skills!D5-IF(TRUE=TRUE,Inputs!$B$32,0))))))/Skills!H5,1)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Skills!G6*IF(Skills!H6&gt;0,IF(Inputs!$B$38="pvp",MIN(Skills!I6,15),Skills!I6)/Skills!H6,1)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IFERROR(1/IF(Inputs!$B$38="pvp",15,MAX(0.1,Skills!D6-IF(TRUE=TRUE,Inputs!$B$32,0))),0)</f>
        <v/>
      </c>
      <c r="R1787">
        <f>IF(AND(Inputs!$B$38&lt;&gt;"pvp",Inputs!$B$43&gt;0),IF(MAX(0,Inputs!$B$43-B1820)&lt;=0,0,(INT(MAX(0,Inputs!$B$43-B1820)/IF(Inputs!$B$38="pvp",15,MAX(0.1,Skills!D6-IF(TRUE=TRUE,Inputs!$B$32,0))))+1)),0)</f>
        <v/>
      </c>
      <c r="S1787">
        <f>IFERROR((H1787*N1787*IF(AND(Inputs!$B$38&lt;&gt;"pvp",Inputs!$B$43&gt;0),((Skills!G6*((R1787-1)*IF(Skills!H6&gt;0,Skills!I6/Skills!H6,1)+IF(Skills!H6&gt;0,MIN(Skills!I6,MAX(0,MAX(0,Inputs!$B$43-B1820)-((R1787-1)*IF(Inputs!$B$38="pvp",15,MAX(0.1,Skills!D6-IF(TRUE=TRUE,Inputs!$B$32,0))))))/Skills!H6,1)))/Inputs!$B$43),G1787*Q1787))/N1787*IF(Inputs!$B$38="pvp",1,(1-Summary!$B$11)*1+Summary!$B$11*(MIN(Skills!R6,Inputs!$B$37))),0)</f>
        <v/>
      </c>
      <c r="T1787">
        <f>IF(C1787,(H1787*N1787*IF(AND(Inputs!$B$38&lt;&gt;"pvp",Inputs!$B$43&gt;0),((Skills!G6*((R1787-1)*IF(Skills!H6&gt;0,Skills!I6/Skills!H6,1)+IF(Skills!H6&gt;0,MIN(Skills!I6,MAX(0,MAX(0,Inputs!$B$43-B1820)-((R1787-1)*IF(Inputs!$B$38="pvp",15,MAX(0.1,Skills!D6-IF(TRUE=TRUE,Inputs!$B$32,0)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1820)-((R1787-1)*IF(Inputs!$B$38="pvp",15,MAX(0.1,Skills!D6-IF(TRUE=TRUE,Inputs!$B$32,0))))))/Skills!H6,1)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Skills!G7*IF(Skills!H7&gt;0,IF(Inputs!$B$38="pvp",MIN(Skills!I7,15),Skills!I7)/Skills!H7,1)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IFERROR(1/IF(Inputs!$B$38="pvp",15,MAX(0.1,Skills!D7-IF(TRUE=TRUE,Inputs!$B$32,0))),0)</f>
        <v/>
      </c>
      <c r="R1788">
        <f>IF(AND(Inputs!$B$38&lt;&gt;"pvp",Inputs!$B$43&gt;0),IF(MAX(0,Inputs!$B$43-B1820)&lt;=0,0,(INT(MAX(0,Inputs!$B$43-B1820)/IF(Inputs!$B$38="pvp",15,MAX(0.1,Skills!D7-IF(TRUE=TRUE,Inputs!$B$32,0))))+1)),0)</f>
        <v/>
      </c>
      <c r="S1788">
        <f>IFERROR((H1788*N1788*IF(AND(Inputs!$B$38&lt;&gt;"pvp",Inputs!$B$43&gt;0),((Skills!G7*((R1788-1)*IF(Skills!H7&gt;0,Skills!I7/Skills!H7,1)+IF(Skills!H7&gt;0,MIN(Skills!I7,MAX(0,MAX(0,Inputs!$B$43-B1820)-((R1788-1)*IF(Inputs!$B$38="pvp",15,MAX(0.1,Skills!D7-IF(TRUE=TRUE,Inputs!$B$32,0))))))/Skills!H7,1)))/Inputs!$B$43),G1788*Q1788))/N1788*IF(Inputs!$B$38="pvp",1,(1-Summary!$B$11)*1+Summary!$B$11*(MIN(Skills!R7,Inputs!$B$37))),0)</f>
        <v/>
      </c>
      <c r="T1788">
        <f>IF(C1788,(H1788*N1788*IF(AND(Inputs!$B$38&lt;&gt;"pvp",Inputs!$B$43&gt;0),((Skills!G7*((R1788-1)*IF(Skills!H7&gt;0,Skills!I7/Skills!H7,1)+IF(Skills!H7&gt;0,MIN(Skills!I7,MAX(0,MAX(0,Inputs!$B$43-B1820)-((R1788-1)*IF(Inputs!$B$38="pvp",15,MAX(0.1,Skills!D7-IF(TRUE=TRUE,Inputs!$B$32,0)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1820)-((R1788-1)*IF(Inputs!$B$38="pvp",15,MAX(0.1,Skills!D7-IF(TRUE=TRUE,Inputs!$B$32,0))))))/Skills!H7,1)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Skills!G9*IF(Skills!H9&gt;0,IF(Inputs!$B$38="pvp",MIN(Skills!I9,15),Skills!I9)/Skills!H9,1)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IFERROR(1/IF(Inputs!$B$38="pvp",15,MAX(0.1,Skills!D9-IF(TRUE=TRUE,Inputs!$B$32,0))),0)</f>
        <v/>
      </c>
      <c r="R1790">
        <f>IF(AND(Inputs!$B$38&lt;&gt;"pvp",Inputs!$B$43&gt;0),IF(MAX(0,Inputs!$B$43-B1820)&lt;=0,0,(INT(MAX(0,Inputs!$B$43-B1820)/IF(Inputs!$B$38="pvp",15,MAX(0.1,Skills!D9-IF(TRUE=TRUE,Inputs!$B$32,0))))+1)),0)</f>
        <v/>
      </c>
      <c r="S1790">
        <f>IFERROR((H1790*N1790*IF(AND(Inputs!$B$38&lt;&gt;"pvp",Inputs!$B$43&gt;0),((Skills!G9*((R1790-1)*IF(Skills!H9&gt;0,Skills!I9/Skills!H9,1)+IF(Skills!H9&gt;0,MIN(Skills!I9,MAX(0,MAX(0,Inputs!$B$43-B1820)-((R1790-1)*IF(Inputs!$B$38="pvp",15,MAX(0.1,Skills!D9-IF(TRUE=TRUE,Inputs!$B$32,0))))))/Skills!H9,1)))/Inputs!$B$43),G1790*Q1790))/N1790*IF(Inputs!$B$38="pvp",1,(1-Summary!$B$11)*1+Summary!$B$11*(MIN(Skills!R9,Inputs!$B$37))),0)</f>
        <v/>
      </c>
      <c r="T1790">
        <f>IF(C1790,(H1790*N1790*IF(AND(Inputs!$B$38&lt;&gt;"pvp",Inputs!$B$43&gt;0),((Skills!G9*((R1790-1)*IF(Skills!H9&gt;0,Skills!I9/Skills!H9,1)+IF(Skills!H9&gt;0,MIN(Skills!I9,MAX(0,MAX(0,Inputs!$B$43-B1820)-((R1790-1)*IF(Inputs!$B$38="pvp",15,MAX(0.1,Skills!D9-IF(TRUE=TRUE,Inputs!$B$32,0)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1820)-((R1790-1)*IF(Inputs!$B$38="pvp",15,MAX(0.1,Skills!D9-IF(TRUE=TRUE,Inputs!$B$32,0))))))/Skills!H9,1)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Skills!G10*IF(Skills!H10&gt;0,IF(Inputs!$B$38="pvp",MIN(Skills!I10,15),Skills!I10)/Skills!H10,1)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Skills!G11*IF(Skills!H11&gt;0,IF(Inputs!$B$38="pvp",MIN(Skills!I11,15),Skills!I11)/Skills!H11,1)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IFERROR(1/IF(Inputs!$B$38="pvp",15,MAX(0.1,Skills!D11-IF(TRUE=TRUE,Inputs!$B$32,0))),0)</f>
        <v/>
      </c>
      <c r="R1792">
        <f>IF(AND(Inputs!$B$38&lt;&gt;"pvp",Inputs!$B$43&gt;0),IF(MAX(0,Inputs!$B$43-B1820)&lt;=0,0,(INT(MAX(0,Inputs!$B$43-B1820)/IF(Inputs!$B$38="pvp",15,MAX(0.1,Skills!D11-IF(TRUE=TRUE,Inputs!$B$32,0))))+1)),0)</f>
        <v/>
      </c>
      <c r="S1792">
        <f>IFERROR((H1792*N1792*IF(AND(Inputs!$B$38&lt;&gt;"pvp",Inputs!$B$43&gt;0),((Skills!G11*((R1792-1)*IF(Skills!H11&gt;0,Skills!I11/Skills!H11,1)+IF(Skills!H11&gt;0,MIN(Skills!I11,MAX(0,MAX(0,Inputs!$B$43-B1820)-((R1792-1)*IF(Inputs!$B$38="pvp",15,MAX(0.1,Skills!D11-IF(TRUE=TRUE,Inputs!$B$32,0))))))/Skills!H11,1)))/Inputs!$B$43),G1792*Q1792))/N1792*IF(Inputs!$B$38="pvp",1,(1-Summary!$B$11)*1+Summary!$B$11*(MIN(Skills!R11,Inputs!$B$37))),0)</f>
        <v/>
      </c>
      <c r="T1792">
        <f>IF(C1792,(H1792*N1792*IF(AND(Inputs!$B$38&lt;&gt;"pvp",Inputs!$B$43&gt;0),((Skills!G11*((R1792-1)*IF(Skills!H11&gt;0,Skills!I11/Skills!H11,1)+IF(Skills!H11&gt;0,MIN(Skills!I11,MAX(0,MAX(0,Inputs!$B$43-B1820)-((R1792-1)*IF(Inputs!$B$38="pvp",15,MAX(0.1,Skills!D11-IF(TRUE=TRUE,Inputs!$B$32,0)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Inputs!$B$38&lt;&gt;"pvp",Inputs!$B$43=0),1,IF(IF(Inputs!$B$38="pvp",15,Inputs!$B$43)-(B1820)&lt;=0,1,MAX(0,IF(Inputs!$B$38="pvp",15,Inputs!$B$43)-MAX(5,B1820))/(IF(Inputs!$B$38="pvp",15,Inputs!$B$43)-(B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1820)-((R1792-1)*IF(Inputs!$B$38="pvp",15,MAX(0.1,Skills!D11-IF(TRUE=TRUE,Inputs!$B$32,0))))))/Skills!H11,1)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Skills!G12*IF(Skills!H12&gt;0,IF(Inputs!$B$38="pvp",MIN(Skills!I12,15),Skills!I12)/Skills!H12,1)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Skills!G13*IF(Skills!H13&gt;0,IF(Inputs!$B$38="pvp",MIN(Skills!I13,15),Skills!I13)/Skills!H13,1)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Skills!G14*IF(Skills!H14&gt;0,IF(Inputs!$B$38="pvp",MIN(Skills!I14,15),Skills!I14)/Skills!H14,1)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Skills!G15*IF(Skills!H15&gt;0,IF(Inputs!$B$38="pvp",MIN(Skills!I15,15),Skills!I15)/Skills!H15,1)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IFERROR(1/IF(Inputs!$B$38="pvp",15,MAX(0.1,Skills!D15-IF(TRUE=TRUE,Inputs!$B$32,0))),0)</f>
        <v/>
      </c>
      <c r="R1796">
        <f>IF(AND(Inputs!$B$38&lt;&gt;"pvp",Inputs!$B$43&gt;0),IF(Inputs!$B$43&lt;=0,0,(INT(Inputs!$B$43/IF(Inputs!$B$38="pvp",15,MAX(0.1,Skills!D15-IF(TRUE=TRUE,Inputs!$B$32,0))))+1)),0)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Skills!G16*IF(Skills!H16&gt;0,IF(Inputs!$B$38="pvp",MIN(Skills!I16,15),Skills!I16)/Skills!H16,1)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IFERROR(1/IF(Inputs!$B$38="pvp",15,MAX(0.1,Skills!D16-IF(TRUE=TRUE,Inputs!$B$32,0))),0)</f>
        <v/>
      </c>
      <c r="R1797">
        <f>IF(AND(Inputs!$B$38&lt;&gt;"pvp",Inputs!$B$43&gt;0),IF(Inputs!$B$43&lt;=0,0,(INT(Inputs!$B$43/IF(Inputs!$B$38="pvp",15,MAX(0.1,Skills!D16-IF(TRUE=TRUE,Inputs!$B$32,0))))+1)),0)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Skills!G17*IF(Skills!H17&gt;0,IF(Inputs!$B$38="pvp",MIN(Skills!I17,15),Skills!I17)/Skills!H17,1)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Skills!G18*IF(Skills!H18&gt;0,IF(Inputs!$B$38="pvp",MIN(Skills!I18,15),Skills!I18)/Skills!H18,1)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IFERROR(1/IF(Inputs!$B$38="pvp",15,MAX(0.1,Skills!D18-IF(TRUE=TRUE,Inputs!$B$32,0))),0)</f>
        <v/>
      </c>
      <c r="R1799">
        <f>IF(AND(Inputs!$B$38&lt;&gt;"pvp",Inputs!$B$43&gt;0),IF(Inputs!$B$43&lt;=0,0,(INT(Inputs!$B$43/IF(Inputs!$B$38="pvp",15,MAX(0.1,Skills!D18-IF(TRUE=TRUE,Inputs!$B$32,0))))+1)),0)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Skills!G19*IF(Skills!H19&gt;0,IF(Inputs!$B$38="pvp",MIN(Skills!I19,15),Skills!I19)/Skills!H19,1)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Skills!G20*IF(Skills!H20&gt;0,IF(Inputs!$B$38="pvp",MIN(Skills!I20,15),Skills!I20)/Skills!H20,1)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Skills!G21*IF(Skills!H21&gt;0,IF(Inputs!$B$38="pvp",MIN(Skills!I21,15),Skills!I21)/Skills!H21,1)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Skills!G22*IF(Skills!H22&gt;0,IF(Inputs!$B$38="pvp",MIN(Skills!I22,15),Skills!I22)/Skills!H22,1)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Skills!G23*IF(Skills!H23&gt;0,IF(Inputs!$B$38="pvp",MIN(Skills!I23,15),Skills!I23)/Skills!H23,1)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Skills!G24*IF(Skills!H24&gt;0,IF(Inputs!$B$38="pvp",MIN(Skills!I24,15),Skills!I24)/Skills!H24,1)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Skills!G25*IF(Skills!H25&gt;0,IF(Inputs!$B$38="pvp",MIN(Skills!I25,15),Skills!I25)/Skills!H25,1)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Skills!G26*IF(Skills!H26&gt;0,IF(Inputs!$B$38="pvp",MIN(Skills!I26,15),Skills!I26)/Skills!H26,1)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Skills!G27*IF(Skills!H27&gt;0,IF(Inputs!$B$38="pvp",MIN(Skills!I27,15),Skills!I27)/Skills!H27,1)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Skills!G28*IF(Skills!H28&gt;0,IF(Inputs!$B$38="pvp",MIN(Skills!I28,15),Skills!I28)/Skills!H28,1)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Skills!G29*IF(Skills!H29&gt;0,IF(Inputs!$B$38="pvp",MIN(Skills!I29,15),Skills!I29)/Skills!H29,1)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MIN((Skills!T15*(1+Inputs!$B$34/100)),(1/Q1796))+MIN((Skills!T15*(1+Inputs!$B$34/100)),MAX(0,Inputs!$B$43-((R1796-1)*(1/Q1796)))))/Inputs!$B$43),IF(Inputs!$B$38="pvp",MIN((Skills!T15*(1+Inputs!$B$34/100)),15)/15,MIN(1,(Skills!T15*(1+Inputs!$B$34/100))/(1/Q1796)))))+((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t>
        </is>
      </c>
      <c r="B1814">
        <f>((C1799=TRUE)*F1799*IF(AND(Inputs!$B$38&lt;&gt;"pvp",Inputs!$B$43&gt;0),(((R1799-1)*MIN((Skills!T18*(1+Inputs!$B$34/100)),(1/Q1799))+MIN((Skills!T18*(1+Inputs!$B$34/100)),MAX(0,Inputs!$B$43-((R1799-1)*(1/Q1799)))))/Inputs!$B$43),IF(Inputs!$B$38="pvp",MIN((Skills!T18*(1+Inputs!$B$34/100)),15)/15,MIN(1,(Skills!T18*(1+Inputs!$B$34/100))/(1/Q1799)))))</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MIN((Skills!T16*(1+Inputs!$B$34/100)),(1/Q1797))+MIN((Skills!T16*(1+Inputs!$B$34/100)),MAX(0,Inputs!$B$43-((R1797-1)*(1/Q1797)))))/Inputs!$B$43),IF(Inputs!$B$38="pvp",MIN((Skills!T16*(1+Inputs!$B$34/100)),15)/15,MIN(1,(Skills!T16*(1+Inputs!$B$34/100))/(1/Q1797))))</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Skills!G2*IF(Skills!H2&gt;0,IF(Inputs!$B$38="pvp",MIN(Skills!I2,15),Skills!I2)/Skills!H2,1)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Skills!G5*IF(Skills!H5&gt;0,IF(Inputs!$B$38="pvp",MIN(Skills!I5,15),Skills!I5)/Skills!H5,1)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IFERROR(1/IF(Inputs!$B$38="pvp",15,MAX(0.1,Skills!D5-IF(TRUE=TRUE,Inputs!$B$32,0))),0)</f>
        <v/>
      </c>
      <c r="R1831">
        <f>IF(AND(Inputs!$B$38&lt;&gt;"pvp",Inputs!$B$43&gt;0),IF(MAX(0,Inputs!$B$43-B1865)&lt;=0,0,(INT(MAX(0,Inputs!$B$43-B1865)/IF(Inputs!$B$38="pvp",15,MAX(0.1,Skills!D5-IF(TRUE=TRUE,Inputs!$B$32,0))))+1)),0)</f>
        <v/>
      </c>
      <c r="S1831">
        <f>IFERROR((H1831*N1831*IF(AND(Inputs!$B$38&lt;&gt;"pvp",Inputs!$B$43&gt;0),((Skills!G5*((R1831-1)*IF(Skills!H5&gt;0,Skills!I5/Skills!H5,1)+IF(Skills!H5&gt;0,MIN(Skills!I5,MAX(0,MAX(0,Inputs!$B$43-B1865)-((R1831-1)*IF(Inputs!$B$38="pvp",15,MAX(0.1,Skills!D5-IF(TRUE=TRUE,Inputs!$B$32,0))))))/Skills!H5,1)))/Inputs!$B$43),G1831*Q1831))/N1831*IF(Inputs!$B$38="pvp",1,(1-Summary!$B$11)*1+Summary!$B$11*(MIN(Skills!R5,Inputs!$B$37))),0)</f>
        <v/>
      </c>
      <c r="T1831">
        <f>IF(C1831,(H1831*N1831*IF(AND(Inputs!$B$38&lt;&gt;"pvp",Inputs!$B$43&gt;0),((Skills!G5*((R1831-1)*IF(Skills!H5&gt;0,Skills!I5/Skills!H5,1)+IF(Skills!H5&gt;0,MIN(Skills!I5,MAX(0,MAX(0,Inputs!$B$43-B1865)-((R1831-1)*IF(Inputs!$B$38="pvp",15,MAX(0.1,Skills!D5-IF(TRUE=TRUE,Inputs!$B$32,0))))))/Skills!H5,1)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Skills!I5/Skills!H5,1)+IF(Skills!H5&gt;0,MIN(Skills!I5,MAX(0,MAX(0,Inputs!$B$43-B1865)-((R1831-1)*IF(Inputs!$B$38="pvp",15,MAX(0.1,Skills!D5-IF(TRUE=TRUE,Inputs!$B$32,0))))))/Skills!H5,1)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Skills!G6*IF(Skills!H6&gt;0,IF(Inputs!$B$38="pvp",MIN(Skills!I6,15),Skills!I6)/Skills!H6,1)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IFERROR(1/IF(Inputs!$B$38="pvp",15,MAX(0.1,Skills!D6-IF(TRUE=TRUE,Inputs!$B$32,0))),0)</f>
        <v/>
      </c>
      <c r="R1832">
        <f>IF(AND(Inputs!$B$38&lt;&gt;"pvp",Inputs!$B$43&gt;0),IF(MAX(0,Inputs!$B$43-B1865)&lt;=0,0,(INT(MAX(0,Inputs!$B$43-B1865)/IF(Inputs!$B$38="pvp",15,MAX(0.1,Skills!D6-IF(TRUE=TRUE,Inputs!$B$32,0))))+1)),0)</f>
        <v/>
      </c>
      <c r="S1832">
        <f>IFERROR((H1832*N1832*IF(AND(Inputs!$B$38&lt;&gt;"pvp",Inputs!$B$43&gt;0),((Skills!G6*((R1832-1)*IF(Skills!H6&gt;0,Skills!I6/Skills!H6,1)+IF(Skills!H6&gt;0,MIN(Skills!I6,MAX(0,MAX(0,Inputs!$B$43-B1865)-((R1832-1)*IF(Inputs!$B$38="pvp",15,MAX(0.1,Skills!D6-IF(TRUE=TRUE,Inputs!$B$32,0))))))/Skills!H6,1)))/Inputs!$B$43),G1832*Q1832))/N1832*IF(Inputs!$B$38="pvp",1,(1-Summary!$B$11)*1+Summary!$B$11*(MIN(Skills!R6,Inputs!$B$37))),0)</f>
        <v/>
      </c>
      <c r="T1832">
        <f>IF(C1832,(H1832*N1832*IF(AND(Inputs!$B$38&lt;&gt;"pvp",Inputs!$B$43&gt;0),((Skills!G6*((R1832-1)*IF(Skills!H6&gt;0,Skills!I6/Skills!H6,1)+IF(Skills!H6&gt;0,MIN(Skills!I6,MAX(0,MAX(0,Inputs!$B$43-B1865)-((R1832-1)*IF(Inputs!$B$38="pvp",15,MAX(0.1,Skills!D6-IF(TRUE=TRUE,Inputs!$B$32,0)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1865)-((R1832-1)*IF(Inputs!$B$38="pvp",15,MAX(0.1,Skills!D6-IF(TRUE=TRUE,Inputs!$B$32,0))))))/Skills!H6,1)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Skills!G7*IF(Skills!H7&gt;0,IF(Inputs!$B$38="pvp",MIN(Skills!I7,15),Skills!I7)/Skills!H7,1)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IFERROR(1/IF(Inputs!$B$38="pvp",15,MAX(0.1,Skills!D7-IF(TRUE=TRUE,Inputs!$B$32,0))),0)</f>
        <v/>
      </c>
      <c r="R1833">
        <f>IF(AND(Inputs!$B$38&lt;&gt;"pvp",Inputs!$B$43&gt;0),IF(MAX(0,Inputs!$B$43-B1865)&lt;=0,0,(INT(MAX(0,Inputs!$B$43-B1865)/IF(Inputs!$B$38="pvp",15,MAX(0.1,Skills!D7-IF(TRUE=TRUE,Inputs!$B$32,0))))+1)),0)</f>
        <v/>
      </c>
      <c r="S1833">
        <f>IFERROR((H1833*N1833*IF(AND(Inputs!$B$38&lt;&gt;"pvp",Inputs!$B$43&gt;0),((Skills!G7*((R1833-1)*IF(Skills!H7&gt;0,Skills!I7/Skills!H7,1)+IF(Skills!H7&gt;0,MIN(Skills!I7,MAX(0,MAX(0,Inputs!$B$43-B1865)-((R1833-1)*IF(Inputs!$B$38="pvp",15,MAX(0.1,Skills!D7-IF(TRUE=TRUE,Inputs!$B$32,0))))))/Skills!H7,1)))/Inputs!$B$43),G1833*Q1833))/N1833*IF(Inputs!$B$38="pvp",1,(1-Summary!$B$11)*1+Summary!$B$11*(MIN(Skills!R7,Inputs!$B$37))),0)</f>
        <v/>
      </c>
      <c r="T1833">
        <f>IF(C1833,(H1833*N1833*IF(AND(Inputs!$B$38&lt;&gt;"pvp",Inputs!$B$43&gt;0),((Skills!G7*((R1833-1)*IF(Skills!H7&gt;0,Skills!I7/Skills!H7,1)+IF(Skills!H7&gt;0,MIN(Skills!I7,MAX(0,MAX(0,Inputs!$B$43-B1865)-((R1833-1)*IF(Inputs!$B$38="pvp",15,MAX(0.1,Skills!D7-IF(TRUE=TRUE,Inputs!$B$32,0)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1865)-((R1833-1)*IF(Inputs!$B$38="pvp",15,MAX(0.1,Skills!D7-IF(TRUE=TRUE,Inputs!$B$32,0))))))/Skills!H7,1)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Skills!G9*IF(Skills!H9&gt;0,IF(Inputs!$B$38="pvp",MIN(Skills!I9,15),Skills!I9)/Skills!H9,1)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IFERROR(1/IF(Inputs!$B$38="pvp",15,MAX(0.1,Skills!D9-IF(TRUE=TRUE,Inputs!$B$32,0))),0)</f>
        <v/>
      </c>
      <c r="R1835">
        <f>IF(AND(Inputs!$B$38&lt;&gt;"pvp",Inputs!$B$43&gt;0),IF(MAX(0,Inputs!$B$43-B1865)&lt;=0,0,(INT(MAX(0,Inputs!$B$43-B1865)/IF(Inputs!$B$38="pvp",15,MAX(0.1,Skills!D9-IF(TRUE=TRUE,Inputs!$B$32,0))))+1)),0)</f>
        <v/>
      </c>
      <c r="S1835">
        <f>IFERROR((H1835*N1835*IF(AND(Inputs!$B$38&lt;&gt;"pvp",Inputs!$B$43&gt;0),((Skills!G9*((R1835-1)*IF(Skills!H9&gt;0,Skills!I9/Skills!H9,1)+IF(Skills!H9&gt;0,MIN(Skills!I9,MAX(0,MAX(0,Inputs!$B$43-B1865)-((R1835-1)*IF(Inputs!$B$38="pvp",15,MAX(0.1,Skills!D9-IF(TRUE=TRUE,Inputs!$B$32,0))))))/Skills!H9,1)))/Inputs!$B$43),G1835*Q1835))/N1835*IF(Inputs!$B$38="pvp",1,(1-Summary!$B$11)*1+Summary!$B$11*(MIN(Skills!R9,Inputs!$B$37))),0)</f>
        <v/>
      </c>
      <c r="T1835">
        <f>IF(C1835,(H1835*N1835*IF(AND(Inputs!$B$38&lt;&gt;"pvp",Inputs!$B$43&gt;0),((Skills!G9*((R1835-1)*IF(Skills!H9&gt;0,Skills!I9/Skills!H9,1)+IF(Skills!H9&gt;0,MIN(Skills!I9,MAX(0,MAX(0,Inputs!$B$43-B1865)-((R1835-1)*IF(Inputs!$B$38="pvp",15,MAX(0.1,Skills!D9-IF(TRUE=TRUE,Inputs!$B$32,0)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1865)-((R1835-1)*IF(Inputs!$B$38="pvp",15,MAX(0.1,Skills!D9-IF(TRUE=TRUE,Inputs!$B$32,0))))))/Skills!H9,1)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Skills!G10*IF(Skills!H10&gt;0,IF(Inputs!$B$38="pvp",MIN(Skills!I10,15),Skills!I10)/Skills!H10,1)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Skills!G11*IF(Skills!H11&gt;0,IF(Inputs!$B$38="pvp",MIN(Skills!I11,15),Skills!I11)/Skills!H11,1)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IFERROR(1/IF(Inputs!$B$38="pvp",15,MAX(0.1,Skills!D11-IF(TRUE=TRUE,Inputs!$B$32,0))),0)</f>
        <v/>
      </c>
      <c r="R1837">
        <f>IF(AND(Inputs!$B$38&lt;&gt;"pvp",Inputs!$B$43&gt;0),IF(MAX(0,Inputs!$B$43-B1865)&lt;=0,0,(INT(MAX(0,Inputs!$B$43-B1865)/IF(Inputs!$B$38="pvp",15,MAX(0.1,Skills!D11-IF(TRUE=TRUE,Inputs!$B$32,0))))+1)),0)</f>
        <v/>
      </c>
      <c r="S1837">
        <f>IFERROR((H1837*N1837*IF(AND(Inputs!$B$38&lt;&gt;"pvp",Inputs!$B$43&gt;0),((Skills!G11*((R1837-1)*IF(Skills!H11&gt;0,Skills!I11/Skills!H11,1)+IF(Skills!H11&gt;0,MIN(Skills!I11,MAX(0,MAX(0,Inputs!$B$43-B1865)-((R1837-1)*IF(Inputs!$B$38="pvp",15,MAX(0.1,Skills!D11-IF(TRUE=TRUE,Inputs!$B$32,0))))))/Skills!H11,1)))/Inputs!$B$43),G1837*Q1837))/N1837*IF(Inputs!$B$38="pvp",1,(1-Summary!$B$11)*1+Summary!$B$11*(MIN(Skills!R11,Inputs!$B$37))),0)</f>
        <v/>
      </c>
      <c r="T1837">
        <f>IF(C1837,(H1837*N1837*IF(AND(Inputs!$B$38&lt;&gt;"pvp",Inputs!$B$43&gt;0),((Skills!G11*((R1837-1)*IF(Skills!H11&gt;0,Skills!I11/Skills!H11,1)+IF(Skills!H11&gt;0,MIN(Skills!I11,MAX(0,MAX(0,Inputs!$B$43-B1865)-((R1837-1)*IF(Inputs!$B$38="pvp",15,MAX(0.1,Skills!D11-IF(TRUE=TRUE,Inputs!$B$32,0)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Inputs!$B$38&lt;&gt;"pvp",Inputs!$B$43=0),1,IF(IF(Inputs!$B$38="pvp",15,Inputs!$B$43)-(B1865)&lt;=0,1,MAX(0,IF(Inputs!$B$38="pvp",15,Inputs!$B$43)-MAX(5,B1865))/(IF(Inputs!$B$38="pvp",15,Inputs!$B$43)-(B1865))))*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1865)-((R1837-1)*IF(Inputs!$B$38="pvp",15,MAX(0.1,Skills!D11-IF(TRUE=TRUE,Inputs!$B$32,0))))))/Skills!H11,1)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Skills!G12*IF(Skills!H12&gt;0,IF(Inputs!$B$38="pvp",MIN(Skills!I12,15),Skills!I12)/Skills!H12,1)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Skills!G13*IF(Skills!H13&gt;0,IF(Inputs!$B$38="pvp",MIN(Skills!I13,15),Skills!I13)/Skills!H13,1)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Skills!G14*IF(Skills!H14&gt;0,IF(Inputs!$B$38="pvp",MIN(Skills!I14,15),Skills!I14)/Skills!H14,1)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Skills!G15*IF(Skills!H15&gt;0,IF(Inputs!$B$38="pvp",MIN(Skills!I15,15),Skills!I15)/Skills!H15,1)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IFERROR(1/IF(Inputs!$B$38="pvp",15,MAX(0.1,Skills!D15-IF(TRUE=TRUE,Inputs!$B$32,0))),0)</f>
        <v/>
      </c>
      <c r="R1841">
        <f>IF(AND(Inputs!$B$38&lt;&gt;"pvp",Inputs!$B$43&gt;0),IF(Inputs!$B$43&lt;=0,0,(INT(Inputs!$B$43/IF(Inputs!$B$38="pvp",15,MAX(0.1,Skills!D15-IF(TRUE=TRUE,Inputs!$B$32,0))))+1)),0)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Skills!G16*IF(Skills!H16&gt;0,IF(Inputs!$B$38="pvp",MIN(Skills!I16,15),Skills!I16)/Skills!H16,1)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IFERROR(1/IF(Inputs!$B$38="pvp",15,MAX(0.1,Skills!D16-IF(TRUE=TRUE,Inputs!$B$32,0))),0)</f>
        <v/>
      </c>
      <c r="R1842">
        <f>IF(AND(Inputs!$B$38&lt;&gt;"pvp",Inputs!$B$43&gt;0),IF(Inputs!$B$43&lt;=0,0,(INT(Inputs!$B$43/IF(Inputs!$B$38="pvp",15,MAX(0.1,Skills!D16-IF(TRUE=TRUE,Inputs!$B$32,0))))+1)),0)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Skills!G17*IF(Skills!H17&gt;0,IF(Inputs!$B$38="pvp",MIN(Skills!I17,15),Skills!I17)/Skills!H17,1)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Skills!G18*IF(Skills!H18&gt;0,IF(Inputs!$B$38="pvp",MIN(Skills!I18,15),Skills!I18)/Skills!H18,1)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IFERROR(1/IF(Inputs!$B$38="pvp",15,MAX(0.1,Skills!D18-IF(TRUE=TRUE,Inputs!$B$32,0))),0)</f>
        <v/>
      </c>
      <c r="R1844">
        <f>IF(AND(Inputs!$B$38&lt;&gt;"pvp",Inputs!$B$43&gt;0),IF(Inputs!$B$43&lt;=0,0,(INT(Inputs!$B$43/IF(Inputs!$B$38="pvp",15,MAX(0.1,Skills!D18-IF(TRUE=TRUE,Inputs!$B$32,0))))+1)),0)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Skills!G19*IF(Skills!H19&gt;0,IF(Inputs!$B$38="pvp",MIN(Skills!I19,15),Skills!I19)/Skills!H19,1)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Skills!G20*IF(Skills!H20&gt;0,IF(Inputs!$B$38="pvp",MIN(Skills!I20,15),Skills!I20)/Skills!H20,1)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Skills!G21*IF(Skills!H21&gt;0,IF(Inputs!$B$38="pvp",MIN(Skills!I21,15),Skills!I21)/Skills!H21,1)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Skills!G22*IF(Skills!H22&gt;0,IF(Inputs!$B$38="pvp",MIN(Skills!I22,15),Skills!I22)/Skills!H22,1)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Skills!G23*IF(Skills!H23&gt;0,IF(Inputs!$B$38="pvp",MIN(Skills!I23,15),Skills!I23)/Skills!H23,1)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Skills!G24*IF(Skills!H24&gt;0,IF(Inputs!$B$38="pvp",MIN(Skills!I24,15),Skills!I24)/Skills!H24,1)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Skills!G25*IF(Skills!H25&gt;0,IF(Inputs!$B$38="pvp",MIN(Skills!I25,15),Skills!I25)/Skills!H25,1)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Skills!G26*IF(Skills!H26&gt;0,IF(Inputs!$B$38="pvp",MIN(Skills!I26,15),Skills!I26)/Skills!H26,1)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Skills!G27*IF(Skills!H27&gt;0,IF(Inputs!$B$38="pvp",MIN(Skills!I27,15),Skills!I27)/Skills!H27,1)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Skills!G28*IF(Skills!H28&gt;0,IF(Inputs!$B$38="pvp",MIN(Skills!I28,15),Skills!I28)/Skills!H28,1)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Skills!G29*IF(Skills!H29&gt;0,IF(Inputs!$B$38="pvp",MIN(Skills!I29,15),Skills!I29)/Skills!H29,1)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MIN((Skills!T15*(1+Inputs!$B$34/100)),(1/Q1841))+MIN((Skills!T15*(1+Inputs!$B$34/100)),MAX(0,Inputs!$B$43-((R1841-1)*(1/Q1841)))))/Inputs!$B$43),IF(Inputs!$B$38="pvp",MIN((Skills!T15*(1+Inputs!$B$34/100)),15)/15,MIN(1,(Skills!T15*(1+Inputs!$B$34/100))/(1/Q1841)))))+((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1844=TRUE)*F1844*IF(AND(Inputs!$B$38&lt;&gt;"pvp",Inputs!$B$43&gt;0),(((R1844-1)*MIN((Skills!T18*(1+Inputs!$B$34/100)),(1/Q1844))+MIN((Skills!T18*(1+Inputs!$B$34/100)),MAX(0,Inputs!$B$43-((R1844-1)*(1/Q1844)))))/Inputs!$B$43),IF(Inputs!$B$38="pvp",MIN((Skills!T18*(1+Inputs!$B$34/100)),15)/15,MIN(1,(Skills!T18*(1+Inputs!$B$34/100))/(1/Q1844)))))</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MIN((Skills!T16*(1+Inputs!$B$34/100)),(1/Q1842))+MIN((Skills!T16*(1+Inputs!$B$34/100)),MAX(0,Inputs!$B$43-((R1842-1)*(1/Q1842)))))/Inputs!$B$43),IF(Inputs!$B$38="pvp",MIN((Skills!T16*(1+Inputs!$B$34/100)),15)/15,MIN(1,(Skills!T16*(1+Inputs!$B$34/100))/(1/Q1842))))</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Skills!G2*IF(Skills!H2&gt;0,IF(Inputs!$B$38="pvp",MIN(Skills!I2,15),Skills!I2)/Skills!H2,1)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Skills!G5*IF(Skills!H5&gt;0,IF(Inputs!$B$38="pvp",MIN(Skills!I5,15),Skills!I5)/Skills!H5,1)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IFERROR(1/IF(Inputs!$B$38="pvp",15,MAX(0.1,Skills!D5-IF(TRUE=TRUE,Inputs!$B$32,0))),0)</f>
        <v/>
      </c>
      <c r="R1876">
        <f>IF(AND(Inputs!$B$38&lt;&gt;"pvp",Inputs!$B$43&gt;0),IF(MAX(0,Inputs!$B$43-B1910)&lt;=0,0,(INT(MAX(0,Inputs!$B$43-B1910)/IF(Inputs!$B$38="pvp",15,MAX(0.1,Skills!D5-IF(TRUE=TRUE,Inputs!$B$32,0))))+1)),0)</f>
        <v/>
      </c>
      <c r="S1876">
        <f>IFERROR((H1876*N1876*IF(AND(Inputs!$B$38&lt;&gt;"pvp",Inputs!$B$43&gt;0),((Skills!G5*((R1876-1)*IF(Skills!H5&gt;0,Skills!I5/Skills!H5,1)+IF(Skills!H5&gt;0,MIN(Skills!I5,MAX(0,MAX(0,Inputs!$B$43-B1910)-((R1876-1)*IF(Inputs!$B$38="pvp",15,MAX(0.1,Skills!D5-IF(TRUE=TRUE,Inputs!$B$32,0))))))/Skills!H5,1)))/Inputs!$B$43),G1876*Q1876))/N1876*IF(Inputs!$B$38="pvp",1,(1-Summary!$B$11)*1+Summary!$B$11*(MIN(Skills!R5,Inputs!$B$37))),0)</f>
        <v/>
      </c>
      <c r="T1876">
        <f>IF(C1876,(H1876*N1876*IF(AND(Inputs!$B$38&lt;&gt;"pvp",Inputs!$B$43&gt;0),((Skills!G5*((R1876-1)*IF(Skills!H5&gt;0,Skills!I5/Skills!H5,1)+IF(Skills!H5&gt;0,MIN(Skills!I5,MAX(0,MAX(0,Inputs!$B$43-B1910)-((R1876-1)*IF(Inputs!$B$38="pvp",15,MAX(0.1,Skills!D5-IF(TRUE=TRUE,Inputs!$B$32,0)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1910)-((R1876-1)*IF(Inputs!$B$38="pvp",15,MAX(0.1,Skills!D5-IF(TRUE=TRUE,Inputs!$B$32,0))))))/Skills!H5,1)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Skills!G6*IF(Skills!H6&gt;0,IF(Inputs!$B$38="pvp",MIN(Skills!I6,15),Skills!I6)/Skills!H6,1)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IFERROR(1/IF(Inputs!$B$38="pvp",15,MAX(0.1,Skills!D6-IF(TRUE=TRUE,Inputs!$B$32,0))),0)</f>
        <v/>
      </c>
      <c r="R1877">
        <f>IF(AND(Inputs!$B$38&lt;&gt;"pvp",Inputs!$B$43&gt;0),IF(MAX(0,Inputs!$B$43-B1910)&lt;=0,0,(INT(MAX(0,Inputs!$B$43-B1910)/IF(Inputs!$B$38="pvp",15,MAX(0.1,Skills!D6-IF(TRUE=TRUE,Inputs!$B$32,0))))+1)),0)</f>
        <v/>
      </c>
      <c r="S1877">
        <f>IFERROR((H1877*N1877*IF(AND(Inputs!$B$38&lt;&gt;"pvp",Inputs!$B$43&gt;0),((Skills!G6*((R1877-1)*IF(Skills!H6&gt;0,Skills!I6/Skills!H6,1)+IF(Skills!H6&gt;0,MIN(Skills!I6,MAX(0,MAX(0,Inputs!$B$43-B1910)-((R1877-1)*IF(Inputs!$B$38="pvp",15,MAX(0.1,Skills!D6-IF(TRUE=TRUE,Inputs!$B$32,0))))))/Skills!H6,1)))/Inputs!$B$43),G1877*Q1877))/N1877*IF(Inputs!$B$38="pvp",1,(1-Summary!$B$11)*1+Summary!$B$11*(MIN(Skills!R6,Inputs!$B$37))),0)</f>
        <v/>
      </c>
      <c r="T1877">
        <f>IF(C1877,(H1877*N1877*IF(AND(Inputs!$B$38&lt;&gt;"pvp",Inputs!$B$43&gt;0),((Skills!G6*((R1877-1)*IF(Skills!H6&gt;0,Skills!I6/Skills!H6,1)+IF(Skills!H6&gt;0,MIN(Skills!I6,MAX(0,MAX(0,Inputs!$B$43-B1910)-((R1877-1)*IF(Inputs!$B$38="pvp",15,MAX(0.1,Skills!D6-IF(TRUE=TRUE,Inputs!$B$32,0)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1910)-((R1877-1)*IF(Inputs!$B$38="pvp",15,MAX(0.1,Skills!D6-IF(TRUE=TRUE,Inputs!$B$32,0))))))/Skills!H6,1)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Skills!G7*IF(Skills!H7&gt;0,IF(Inputs!$B$38="pvp",MIN(Skills!I7,15),Skills!I7)/Skills!H7,1)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IFERROR(1/IF(Inputs!$B$38="pvp",15,MAX(0.1,Skills!D7-IF(TRUE=TRUE,Inputs!$B$32,0))),0)</f>
        <v/>
      </c>
      <c r="R1878">
        <f>IF(AND(Inputs!$B$38&lt;&gt;"pvp",Inputs!$B$43&gt;0),IF(MAX(0,Inputs!$B$43-B1910)&lt;=0,0,(INT(MAX(0,Inputs!$B$43-B1910)/IF(Inputs!$B$38="pvp",15,MAX(0.1,Skills!D7-IF(TRUE=TRUE,Inputs!$B$32,0))))+1)),0)</f>
        <v/>
      </c>
      <c r="S1878">
        <f>IFERROR((H1878*N1878*IF(AND(Inputs!$B$38&lt;&gt;"pvp",Inputs!$B$43&gt;0),((Skills!G7*((R1878-1)*IF(Skills!H7&gt;0,Skills!I7/Skills!H7,1)+IF(Skills!H7&gt;0,MIN(Skills!I7,MAX(0,MAX(0,Inputs!$B$43-B1910)-((R1878-1)*IF(Inputs!$B$38="pvp",15,MAX(0.1,Skills!D7-IF(TRUE=TRUE,Inputs!$B$32,0))))))/Skills!H7,1)))/Inputs!$B$43),G1878*Q1878))/N1878*IF(Inputs!$B$38="pvp",1,(1-Summary!$B$11)*1+Summary!$B$11*(MIN(Skills!R7,Inputs!$B$37))),0)</f>
        <v/>
      </c>
      <c r="T1878">
        <f>IF(C1878,(H1878*N1878*IF(AND(Inputs!$B$38&lt;&gt;"pvp",Inputs!$B$43&gt;0),((Skills!G7*((R1878-1)*IF(Skills!H7&gt;0,Skills!I7/Skills!H7,1)+IF(Skills!H7&gt;0,MIN(Skills!I7,MAX(0,MAX(0,Inputs!$B$43-B1910)-((R1878-1)*IF(Inputs!$B$38="pvp",15,MAX(0.1,Skills!D7-IF(TRUE=TRUE,Inputs!$B$32,0)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1910)-((R1878-1)*IF(Inputs!$B$38="pvp",15,MAX(0.1,Skills!D7-IF(TRUE=TRUE,Inputs!$B$32,0))))))/Skills!H7,1)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Skills!G9*IF(Skills!H9&gt;0,IF(Inputs!$B$38="pvp",MIN(Skills!I9,15),Skills!I9)/Skills!H9,1)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IFERROR(1/IF(Inputs!$B$38="pvp",15,MAX(0.1,Skills!D9-IF(TRUE=TRUE,Inputs!$B$32,0))),0)</f>
        <v/>
      </c>
      <c r="R1880">
        <f>IF(AND(Inputs!$B$38&lt;&gt;"pvp",Inputs!$B$43&gt;0),IF(MAX(0,Inputs!$B$43-B1910)&lt;=0,0,(INT(MAX(0,Inputs!$B$43-B1910)/IF(Inputs!$B$38="pvp",15,MAX(0.1,Skills!D9-IF(TRUE=TRUE,Inputs!$B$32,0))))+1)),0)</f>
        <v/>
      </c>
      <c r="S1880">
        <f>IFERROR((H1880*N1880*IF(AND(Inputs!$B$38&lt;&gt;"pvp",Inputs!$B$43&gt;0),((Skills!G9*((R1880-1)*IF(Skills!H9&gt;0,Skills!I9/Skills!H9,1)+IF(Skills!H9&gt;0,MIN(Skills!I9,MAX(0,MAX(0,Inputs!$B$43-B1910)-((R1880-1)*IF(Inputs!$B$38="pvp",15,MAX(0.1,Skills!D9-IF(TRUE=TRUE,Inputs!$B$32,0))))))/Skills!H9,1)))/Inputs!$B$43),G1880*Q1880))/N1880*IF(Inputs!$B$38="pvp",1,(1-Summary!$B$11)*1+Summary!$B$11*(MIN(Skills!R9,Inputs!$B$37))),0)</f>
        <v/>
      </c>
      <c r="T1880">
        <f>IF(C1880,(H1880*N1880*IF(AND(Inputs!$B$38&lt;&gt;"pvp",Inputs!$B$43&gt;0),((Skills!G9*((R1880-1)*IF(Skills!H9&gt;0,Skills!I9/Skills!H9,1)+IF(Skills!H9&gt;0,MIN(Skills!I9,MAX(0,MAX(0,Inputs!$B$43-B1910)-((R1880-1)*IF(Inputs!$B$38="pvp",15,MAX(0.1,Skills!D9-IF(TRUE=TRUE,Inputs!$B$32,0)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1910)-((R1880-1)*IF(Inputs!$B$38="pvp",15,MAX(0.1,Skills!D9-IF(TRUE=TRUE,Inputs!$B$32,0))))))/Skills!H9,1)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Skills!G10*IF(Skills!H10&gt;0,IF(Inputs!$B$38="pvp",MIN(Skills!I10,15),Skills!I10)/Skills!H10,1)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Skills!G11*IF(Skills!H11&gt;0,IF(Inputs!$B$38="pvp",MIN(Skills!I11,15),Skills!I11)/Skills!H11,1)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IFERROR(1/IF(Inputs!$B$38="pvp",15,MAX(0.1,Skills!D11-IF(TRUE=TRUE,Inputs!$B$32,0))),0)</f>
        <v/>
      </c>
      <c r="R1882">
        <f>IF(AND(Inputs!$B$38&lt;&gt;"pvp",Inputs!$B$43&gt;0),IF(MAX(0,Inputs!$B$43-B1910)&lt;=0,0,(INT(MAX(0,Inputs!$B$43-B1910)/IF(Inputs!$B$38="pvp",15,MAX(0.1,Skills!D11-IF(TRUE=TRUE,Inputs!$B$32,0))))+1)),0)</f>
        <v/>
      </c>
      <c r="S1882">
        <f>IFERROR((H1882*N1882*IF(AND(Inputs!$B$38&lt;&gt;"pvp",Inputs!$B$43&gt;0),((Skills!G11*((R1882-1)*IF(Skills!H11&gt;0,Skills!I11/Skills!H11,1)+IF(Skills!H11&gt;0,MIN(Skills!I11,MAX(0,MAX(0,Inputs!$B$43-B1910)-((R1882-1)*IF(Inputs!$B$38="pvp",15,MAX(0.1,Skills!D11-IF(TRUE=TRUE,Inputs!$B$32,0))))))/Skills!H11,1)))/Inputs!$B$43),G1882*Q1882))/N1882*IF(Inputs!$B$38="pvp",1,(1-Summary!$B$11)*1+Summary!$B$11*(MIN(Skills!R11,Inputs!$B$37))),0)</f>
        <v/>
      </c>
      <c r="T1882">
        <f>IF(C1882,(H1882*N1882*IF(AND(Inputs!$B$38&lt;&gt;"pvp",Inputs!$B$43&gt;0),((Skills!G11*((R1882-1)*IF(Skills!H11&gt;0,Skills!I11/Skills!H11,1)+IF(Skills!H11&gt;0,MIN(Skills!I11,MAX(0,MAX(0,Inputs!$B$43-B1910)-((R1882-1)*IF(Inputs!$B$38="pvp",15,MAX(0.1,Skills!D11-IF(TRUE=TRUE,Inputs!$B$32,0)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Inputs!$B$38&lt;&gt;"pvp",Inputs!$B$43=0),1,IF(IF(Inputs!$B$38="pvp",15,Inputs!$B$43)-(B1910)&lt;=0,1,MAX(0,IF(Inputs!$B$38="pvp",15,Inputs!$B$43)-MAX(5,B1910))/(IF(Inputs!$B$38="pvp",15,Inputs!$B$43)-(B1910)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1910)-((R1882-1)*IF(Inputs!$B$38="pvp",15,MAX(0.1,Skills!D11-IF(TRUE=TRUE,Inputs!$B$32,0))))))/Skills!H11,1)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Skills!G12*IF(Skills!H12&gt;0,IF(Inputs!$B$38="pvp",MIN(Skills!I12,15),Skills!I12)/Skills!H12,1)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Skills!G13*IF(Skills!H13&gt;0,IF(Inputs!$B$38="pvp",MIN(Skills!I13,15),Skills!I13)/Skills!H13,1)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Skills!G14*IF(Skills!H14&gt;0,IF(Inputs!$B$38="pvp",MIN(Skills!I14,15),Skills!I14)/Skills!H14,1)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Skills!G15*IF(Skills!H15&gt;0,IF(Inputs!$B$38="pvp",MIN(Skills!I15,15),Skills!I15)/Skills!H15,1)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IFERROR(1/IF(Inputs!$B$38="pvp",15,MAX(0.1,Skills!D15-IF(TRUE=TRUE,Inputs!$B$32,0))),0)</f>
        <v/>
      </c>
      <c r="R1886">
        <f>IF(AND(Inputs!$B$38&lt;&gt;"pvp",Inputs!$B$43&gt;0),IF(Inputs!$B$43&lt;=0,0,(INT(Inputs!$B$43/IF(Inputs!$B$38="pvp",15,MAX(0.1,Skills!D15-IF(TRUE=TRUE,Inputs!$B$32,0))))+1)),0)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Skills!G16*IF(Skills!H16&gt;0,IF(Inputs!$B$38="pvp",MIN(Skills!I16,15),Skills!I16)/Skills!H16,1)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IFERROR(1/IF(Inputs!$B$38="pvp",15,MAX(0.1,Skills!D16-IF(TRUE=TRUE,Inputs!$B$32,0))),0)</f>
        <v/>
      </c>
      <c r="R1887">
        <f>IF(AND(Inputs!$B$38&lt;&gt;"pvp",Inputs!$B$43&gt;0),IF(Inputs!$B$43&lt;=0,0,(INT(Inputs!$B$43/IF(Inputs!$B$38="pvp",15,MAX(0.1,Skills!D16-IF(TRUE=TRUE,Inputs!$B$32,0))))+1)),0)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Skills!G17*IF(Skills!H17&gt;0,IF(Inputs!$B$38="pvp",MIN(Skills!I17,15),Skills!I17)/Skills!H17,1)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Skills!G18*IF(Skills!H18&gt;0,IF(Inputs!$B$38="pvp",MIN(Skills!I18,15),Skills!I18)/Skills!H18,1)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IFERROR(1/IF(Inputs!$B$38="pvp",15,MAX(0.1,Skills!D18-IF(TRUE=TRUE,Inputs!$B$32,0))),0)</f>
        <v/>
      </c>
      <c r="R1889">
        <f>IF(AND(Inputs!$B$38&lt;&gt;"pvp",Inputs!$B$43&gt;0),IF(Inputs!$B$43&lt;=0,0,(INT(Inputs!$B$43/IF(Inputs!$B$38="pvp",15,MAX(0.1,Skills!D18-IF(TRUE=TRUE,Inputs!$B$32,0))))+1)),0)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Skills!G19*IF(Skills!H19&gt;0,IF(Inputs!$B$38="pvp",MIN(Skills!I19,15),Skills!I19)/Skills!H19,1)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Skills!G20*IF(Skills!H20&gt;0,IF(Inputs!$B$38="pvp",MIN(Skills!I20,15),Skills!I20)/Skills!H20,1)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Skills!G21*IF(Skills!H21&gt;0,IF(Inputs!$B$38="pvp",MIN(Skills!I21,15),Skills!I21)/Skills!H21,1)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Skills!G22*IF(Skills!H22&gt;0,IF(Inputs!$B$38="pvp",MIN(Skills!I22,15),Skills!I22)/Skills!H22,1)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Skills!G23*IF(Skills!H23&gt;0,IF(Inputs!$B$38="pvp",MIN(Skills!I23,15),Skills!I23)/Skills!H23,1)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Skills!G24*IF(Skills!H24&gt;0,IF(Inputs!$B$38="pvp",MIN(Skills!I24,15),Skills!I24)/Skills!H24,1)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Skills!G25*IF(Skills!H25&gt;0,IF(Inputs!$B$38="pvp",MIN(Skills!I25,15),Skills!I25)/Skills!H25,1)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Skills!G26*IF(Skills!H26&gt;0,IF(Inputs!$B$38="pvp",MIN(Skills!I26,15),Skills!I26)/Skills!H26,1)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Skills!G27*IF(Skills!H27&gt;0,IF(Inputs!$B$38="pvp",MIN(Skills!I27,15),Skills!I27)/Skills!H27,1)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Skills!G28*IF(Skills!H28&gt;0,IF(Inputs!$B$38="pvp",MIN(Skills!I28,15),Skills!I28)/Skills!H28,1)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Skills!G29*IF(Skills!H29&gt;0,IF(Inputs!$B$38="pvp",MIN(Skills!I29,15),Skills!I29)/Skills!H29,1)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MIN((Skills!T15*(1+Inputs!$B$34/100)),(1/Q1886))+MIN((Skills!T15*(1+Inputs!$B$34/100)),MAX(0,Inputs!$B$43-((R1886-1)*(1/Q1886)))))/Inputs!$B$43),IF(Inputs!$B$38="pvp",MIN((Skills!T15*(1+Inputs!$B$34/100)),15)/15,MIN(1,(Skills!T15*(1+Inputs!$B$34/100))/(1/Q1886)))))+((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t="n">
        <v>0</v>
      </c>
    </row>
    <row r="1904">
      <c r="A1904" t="inlineStr">
        <is>
          <t>Attack Speed Buff Bonus %</t>
        </is>
      </c>
      <c r="B1904">
        <f>((C1889=TRUE)*F1889*IF(AND(Inputs!$B$38&lt;&gt;"pvp",Inputs!$B$43&gt;0),(((R1889-1)*MIN((Skills!T18*(1+Inputs!$B$34/100)),(1/Q1889))+MIN((Skills!T18*(1+Inputs!$B$34/100)),MAX(0,Inputs!$B$43-((R1889-1)*(1/Q1889)))))/Inputs!$B$43),IF(Inputs!$B$38="pvp",MIN((Skills!T18*(1+Inputs!$B$34/100)),15)/15,MIN(1,(Skills!T18*(1+Inputs!$B$34/100))/(1/Q1889)))))</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MIN((Skills!T16*(1+Inputs!$B$34/100)),(1/Q1887))+MIN((Skills!T16*(1+Inputs!$B$34/100)),MAX(0,Inputs!$B$43-((R1887-1)*(1/Q1887)))))/Inputs!$B$43),IF(Inputs!$B$38="pvp",MIN((Skills!T16*(1+Inputs!$B$34/100)),15)/15,MIN(1,(Skills!T16*(1+Inputs!$B$34/100))/(1/Q1887))))</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Skills!G2*IF(Skills!H2&gt;0,IF(Inputs!$B$38="pvp",MIN(Skills!I2,15),Skills!I2)/Skills!H2,1)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Skills!G5*IF(Skills!H5&gt;0,IF(Inputs!$B$38="pvp",MIN(Skills!I5,15),Skills!I5)/Skills!H5,1)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IFERROR(1/IF(Inputs!$B$38="pvp",15,MAX(0.1,Skills!D5-IF(TRUE=TRUE,Inputs!$B$32,0))),0)</f>
        <v/>
      </c>
      <c r="R1921">
        <f>IF(AND(Inputs!$B$38&lt;&gt;"pvp",Inputs!$B$43&gt;0),IF(MAX(0,Inputs!$B$43-B1955)&lt;=0,0,(INT(MAX(0,Inputs!$B$43-B1955)/IF(Inputs!$B$38="pvp",15,MAX(0.1,Skills!D5-IF(TRUE=TRUE,Inputs!$B$32,0))))+1)),0)</f>
        <v/>
      </c>
      <c r="S1921">
        <f>IFERROR((H1921*N1921*IF(AND(Inputs!$B$38&lt;&gt;"pvp",Inputs!$B$43&gt;0),((Skills!G5*((R1921-1)*IF(Skills!H5&gt;0,Skills!I5/Skills!H5,1)+IF(Skills!H5&gt;0,MIN(Skills!I5,MAX(0,MAX(0,Inputs!$B$43-B1955)-((R1921-1)*IF(Inputs!$B$38="pvp",15,MAX(0.1,Skills!D5-IF(TRUE=TRUE,Inputs!$B$32,0))))))/Skills!H5,1)))/Inputs!$B$43),G1921*Q1921))/N1921*IF(Inputs!$B$38="pvp",1,(1-Summary!$B$11)*1+Summary!$B$11*(MIN(Skills!R5,Inputs!$B$37))),0)</f>
        <v/>
      </c>
      <c r="T1921">
        <f>IF(C1921,(H1921*N1921*IF(AND(Inputs!$B$38&lt;&gt;"pvp",Inputs!$B$43&gt;0),((Skills!G5*((R1921-1)*IF(Skills!H5&gt;0,Skills!I5/Skills!H5,1)+IF(Skills!H5&gt;0,MIN(Skills!I5,MAX(0,MAX(0,Inputs!$B$43-B1955)-((R1921-1)*IF(Inputs!$B$38="pvp",15,MAX(0.1,Skills!D5-IF(TRUE=TRUE,Inputs!$B$32,0))))))/Skills!H5,1)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Skills!I5/Skills!H5,1)+IF(Skills!H5&gt;0,MIN(Skills!I5,MAX(0,MAX(0,Inputs!$B$43-B1955)-((R1921-1)*IF(Inputs!$B$38="pvp",15,MAX(0.1,Skills!D5-IF(TRUE=TRUE,Inputs!$B$32,0))))))/Skills!H5,1)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Skills!G6*IF(Skills!H6&gt;0,IF(Inputs!$B$38="pvp",MIN(Skills!I6,15),Skills!I6)/Skills!H6,1)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IFERROR(1/IF(Inputs!$B$38="pvp",15,MAX(0.1,Skills!D6-IF(TRUE=TRUE,Inputs!$B$32,0))),0)</f>
        <v/>
      </c>
      <c r="R1922">
        <f>IF(AND(Inputs!$B$38&lt;&gt;"pvp",Inputs!$B$43&gt;0),IF(MAX(0,Inputs!$B$43-B1955)&lt;=0,0,(INT(MAX(0,Inputs!$B$43-B1955)/IF(Inputs!$B$38="pvp",15,MAX(0.1,Skills!D6-IF(TRUE=TRUE,Inputs!$B$32,0))))+1)),0)</f>
        <v/>
      </c>
      <c r="S1922">
        <f>IFERROR((H1922*N1922*IF(AND(Inputs!$B$38&lt;&gt;"pvp",Inputs!$B$43&gt;0),((Skills!G6*((R1922-1)*IF(Skills!H6&gt;0,Skills!I6/Skills!H6,1)+IF(Skills!H6&gt;0,MIN(Skills!I6,MAX(0,MAX(0,Inputs!$B$43-B1955)-((R1922-1)*IF(Inputs!$B$38="pvp",15,MAX(0.1,Skills!D6-IF(TRUE=TRUE,Inputs!$B$32,0))))))/Skills!H6,1)))/Inputs!$B$43),G1922*Q1922))/N1922*IF(Inputs!$B$38="pvp",1,(1-Summary!$B$11)*1+Summary!$B$11*(MIN(Skills!R6,Inputs!$B$37))),0)</f>
        <v/>
      </c>
      <c r="T1922">
        <f>IF(C1922,(H1922*N1922*IF(AND(Inputs!$B$38&lt;&gt;"pvp",Inputs!$B$43&gt;0),((Skills!G6*((R1922-1)*IF(Skills!H6&gt;0,Skills!I6/Skills!H6,1)+IF(Skills!H6&gt;0,MIN(Skills!I6,MAX(0,MAX(0,Inputs!$B$43-B1955)-((R1922-1)*IF(Inputs!$B$38="pvp",15,MAX(0.1,Skills!D6-IF(TRUE=TRUE,Inputs!$B$32,0)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1955)-((R1922-1)*IF(Inputs!$B$38="pvp",15,MAX(0.1,Skills!D6-IF(TRUE=TRUE,Inputs!$B$32,0))))))/Skills!H6,1)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Skills!G7*IF(Skills!H7&gt;0,IF(Inputs!$B$38="pvp",MIN(Skills!I7,15),Skills!I7)/Skills!H7,1)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IFERROR(1/IF(Inputs!$B$38="pvp",15,MAX(0.1,Skills!D7-IF(TRUE=TRUE,Inputs!$B$32,0))),0)</f>
        <v/>
      </c>
      <c r="R1923">
        <f>IF(AND(Inputs!$B$38&lt;&gt;"pvp",Inputs!$B$43&gt;0),IF(MAX(0,Inputs!$B$43-B1955)&lt;=0,0,(INT(MAX(0,Inputs!$B$43-B1955)/IF(Inputs!$B$38="pvp",15,MAX(0.1,Skills!D7-IF(TRUE=TRUE,Inputs!$B$32,0))))+1)),0)</f>
        <v/>
      </c>
      <c r="S1923">
        <f>IFERROR((H1923*N1923*IF(AND(Inputs!$B$38&lt;&gt;"pvp",Inputs!$B$43&gt;0),((Skills!G7*((R1923-1)*IF(Skills!H7&gt;0,Skills!I7/Skills!H7,1)+IF(Skills!H7&gt;0,MIN(Skills!I7,MAX(0,MAX(0,Inputs!$B$43-B1955)-((R1923-1)*IF(Inputs!$B$38="pvp",15,MAX(0.1,Skills!D7-IF(TRUE=TRUE,Inputs!$B$32,0))))))/Skills!H7,1)))/Inputs!$B$43),G1923*Q1923))/N1923*IF(Inputs!$B$38="pvp",1,(1-Summary!$B$11)*1+Summary!$B$11*(MIN(Skills!R7,Inputs!$B$37))),0)</f>
        <v/>
      </c>
      <c r="T1923">
        <f>IF(C1923,(H1923*N1923*IF(AND(Inputs!$B$38&lt;&gt;"pvp",Inputs!$B$43&gt;0),((Skills!G7*((R1923-1)*IF(Skills!H7&gt;0,Skills!I7/Skills!H7,1)+IF(Skills!H7&gt;0,MIN(Skills!I7,MAX(0,MAX(0,Inputs!$B$43-B1955)-((R1923-1)*IF(Inputs!$B$38="pvp",15,MAX(0.1,Skills!D7-IF(TRUE=TRUE,Inputs!$B$32,0)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1955)-((R1923-1)*IF(Inputs!$B$38="pvp",15,MAX(0.1,Skills!D7-IF(TRUE=TRUE,Inputs!$B$32,0))))))/Skills!H7,1)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Skills!G9*IF(Skills!H9&gt;0,IF(Inputs!$B$38="pvp",MIN(Skills!I9,15),Skills!I9)/Skills!H9,1)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IFERROR(1/IF(Inputs!$B$38="pvp",15,MAX(0.1,Skills!D9-IF(TRUE=TRUE,Inputs!$B$32,0))),0)</f>
        <v/>
      </c>
      <c r="R1925">
        <f>IF(AND(Inputs!$B$38&lt;&gt;"pvp",Inputs!$B$43&gt;0),IF(MAX(0,Inputs!$B$43-B1955)&lt;=0,0,(INT(MAX(0,Inputs!$B$43-B1955)/IF(Inputs!$B$38="pvp",15,MAX(0.1,Skills!D9-IF(TRUE=TRUE,Inputs!$B$32,0))))+1)),0)</f>
        <v/>
      </c>
      <c r="S1925">
        <f>IFERROR((H1925*N1925*IF(AND(Inputs!$B$38&lt;&gt;"pvp",Inputs!$B$43&gt;0),((Skills!G9*((R1925-1)*IF(Skills!H9&gt;0,Skills!I9/Skills!H9,1)+IF(Skills!H9&gt;0,MIN(Skills!I9,MAX(0,MAX(0,Inputs!$B$43-B1955)-((R1925-1)*IF(Inputs!$B$38="pvp",15,MAX(0.1,Skills!D9-IF(TRUE=TRUE,Inputs!$B$32,0))))))/Skills!H9,1)))/Inputs!$B$43),G1925*Q1925))/N1925*IF(Inputs!$B$38="pvp",1,(1-Summary!$B$11)*1+Summary!$B$11*(MIN(Skills!R9,Inputs!$B$37))),0)</f>
        <v/>
      </c>
      <c r="T1925">
        <f>IF(C1925,(H1925*N1925*IF(AND(Inputs!$B$38&lt;&gt;"pvp",Inputs!$B$43&gt;0),((Skills!G9*((R1925-1)*IF(Skills!H9&gt;0,Skills!I9/Skills!H9,1)+IF(Skills!H9&gt;0,MIN(Skills!I9,MAX(0,MAX(0,Inputs!$B$43-B1955)-((R1925-1)*IF(Inputs!$B$38="pvp",15,MAX(0.1,Skills!D9-IF(TRUE=TRUE,Inputs!$B$32,0)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1955)-((R1925-1)*IF(Inputs!$B$38="pvp",15,MAX(0.1,Skills!D9-IF(TRUE=TRUE,Inputs!$B$32,0))))))/Skills!H9,1)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Skills!G10*IF(Skills!H10&gt;0,IF(Inputs!$B$38="pvp",MIN(Skills!I10,15),Skills!I10)/Skills!H10,1)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Skills!G11*IF(Skills!H11&gt;0,IF(Inputs!$B$38="pvp",MIN(Skills!I11,15),Skills!I11)/Skills!H11,1)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IFERROR(1/IF(Inputs!$B$38="pvp",15,MAX(0.1,Skills!D11-IF(TRUE=TRUE,Inputs!$B$32,0))),0)</f>
        <v/>
      </c>
      <c r="R1927">
        <f>IF(AND(Inputs!$B$38&lt;&gt;"pvp",Inputs!$B$43&gt;0),IF(MAX(0,Inputs!$B$43-B1955)&lt;=0,0,(INT(MAX(0,Inputs!$B$43-B1955)/IF(Inputs!$B$38="pvp",15,MAX(0.1,Skills!D11-IF(TRUE=TRUE,Inputs!$B$32,0))))+1)),0)</f>
        <v/>
      </c>
      <c r="S1927">
        <f>IFERROR((H1927*N1927*IF(AND(Inputs!$B$38&lt;&gt;"pvp",Inputs!$B$43&gt;0),((Skills!G11*((R1927-1)*IF(Skills!H11&gt;0,Skills!I11/Skills!H11,1)+IF(Skills!H11&gt;0,MIN(Skills!I11,MAX(0,MAX(0,Inputs!$B$43-B1955)-((R1927-1)*IF(Inputs!$B$38="pvp",15,MAX(0.1,Skills!D11-IF(TRUE=TRUE,Inputs!$B$32,0))))))/Skills!H11,1)))/Inputs!$B$43),G1927*Q1927))/N1927*IF(Inputs!$B$38="pvp",1,(1-Summary!$B$11)*1+Summary!$B$11*(MIN(Skills!R11,Inputs!$B$37))),0)</f>
        <v/>
      </c>
      <c r="T1927">
        <f>IF(C1927,(H1927*N1927*IF(AND(Inputs!$B$38&lt;&gt;"pvp",Inputs!$B$43&gt;0),((Skills!G11*((R1927-1)*IF(Skills!H11&gt;0,Skills!I11/Skills!H11,1)+IF(Skills!H11&gt;0,MIN(Skills!I11,MAX(0,MAX(0,Inputs!$B$43-B1955)-((R1927-1)*IF(Inputs!$B$38="pvp",15,MAX(0.1,Skills!D11-IF(TRUE=TRUE,Inputs!$B$32,0))))))/Skills!H11,1)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Inputs!$B$38&lt;&gt;"pvp",Inputs!$B$43=0),1,IF(IF(Inputs!$B$38="pvp",15,Inputs!$B$43)-(B1955)&lt;=0,1,MAX(0,IF(Inputs!$B$38="pvp",15,Inputs!$B$43)-MAX(5,B1955))/(IF(Inputs!$B$38="pvp",15,Inputs!$B$43)-(B1955))))*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Skills!I11/Skills!H11,1)+IF(Skills!H11&gt;0,MIN(Skills!I11,MAX(0,MAX(0,Inputs!$B$43-B1955)-((R1927-1)*IF(Inputs!$B$38="pvp",15,MAX(0.1,Skills!D11-IF(TRUE=TRUE,Inputs!$B$32,0))))))/Skills!H11,1)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Skills!G12*IF(Skills!H12&gt;0,IF(Inputs!$B$38="pvp",MIN(Skills!I12,15),Skills!I12)/Skills!H12,1)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Skills!G13*IF(Skills!H13&gt;0,IF(Inputs!$B$38="pvp",MIN(Skills!I13,15),Skills!I13)/Skills!H13,1)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Skills!G14*IF(Skills!H14&gt;0,IF(Inputs!$B$38="pvp",MIN(Skills!I14,15),Skills!I14)/Skills!H14,1)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Skills!G15*IF(Skills!H15&gt;0,IF(Inputs!$B$38="pvp",MIN(Skills!I15,15),Skills!I15)/Skills!H15,1)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IFERROR(1/IF(Inputs!$B$38="pvp",15,MAX(0.1,Skills!D15-IF(TRUE=TRUE,Inputs!$B$32,0))),0)</f>
        <v/>
      </c>
      <c r="R1931">
        <f>IF(AND(Inputs!$B$38&lt;&gt;"pvp",Inputs!$B$43&gt;0),IF(Inputs!$B$43&lt;=0,0,(INT(Inputs!$B$43/IF(Inputs!$B$38="pvp",15,MAX(0.1,Skills!D15-IF(TRUE=TRUE,Inputs!$B$32,0))))+1)),0)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Skills!G16*IF(Skills!H16&gt;0,IF(Inputs!$B$38="pvp",MIN(Skills!I16,15),Skills!I16)/Skills!H16,1)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IFERROR(1/IF(Inputs!$B$38="pvp",15,MAX(0.1,Skills!D16-IF(TRUE=TRUE,Inputs!$B$32,0))),0)</f>
        <v/>
      </c>
      <c r="R1932">
        <f>IF(AND(Inputs!$B$38&lt;&gt;"pvp",Inputs!$B$43&gt;0),IF(Inputs!$B$43&lt;=0,0,(INT(Inputs!$B$43/IF(Inputs!$B$38="pvp",15,MAX(0.1,Skills!D16-IF(TRUE=TRUE,Inputs!$B$32,0))))+1)),0)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Skills!G17*IF(Skills!H17&gt;0,IF(Inputs!$B$38="pvp",MIN(Skills!I17,15),Skills!I17)/Skills!H17,1)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Skills!G18*IF(Skills!H18&gt;0,IF(Inputs!$B$38="pvp",MIN(Skills!I18,15),Skills!I18)/Skills!H18,1)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IFERROR(1/IF(Inputs!$B$38="pvp",15,MAX(0.1,Skills!D18-IF(TRUE=TRUE,Inputs!$B$32,0))),0)</f>
        <v/>
      </c>
      <c r="R1934">
        <f>IF(AND(Inputs!$B$38&lt;&gt;"pvp",Inputs!$B$43&gt;0),IF(Inputs!$B$43&lt;=0,0,(INT(Inputs!$B$43/IF(Inputs!$B$38="pvp",15,MAX(0.1,Skills!D18-IF(TRUE=TRUE,Inputs!$B$32,0))))+1)),0)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Skills!G19*IF(Skills!H19&gt;0,IF(Inputs!$B$38="pvp",MIN(Skills!I19,15),Skills!I19)/Skills!H19,1)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Skills!G20*IF(Skills!H20&gt;0,IF(Inputs!$B$38="pvp",MIN(Skills!I20,15),Skills!I20)/Skills!H20,1)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Skills!G21*IF(Skills!H21&gt;0,IF(Inputs!$B$38="pvp",MIN(Skills!I21,15),Skills!I21)/Skills!H21,1)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Skills!G22*IF(Skills!H22&gt;0,IF(Inputs!$B$38="pvp",MIN(Skills!I22,15),Skills!I22)/Skills!H22,1)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Skills!G23*IF(Skills!H23&gt;0,IF(Inputs!$B$38="pvp",MIN(Skills!I23,15),Skills!I23)/Skills!H23,1)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Skills!G24*IF(Skills!H24&gt;0,IF(Inputs!$B$38="pvp",MIN(Skills!I24,15),Skills!I24)/Skills!H24,1)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Skills!G25*IF(Skills!H25&gt;0,IF(Inputs!$B$38="pvp",MIN(Skills!I25,15),Skills!I25)/Skills!H25,1)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Skills!G26*IF(Skills!H26&gt;0,IF(Inputs!$B$38="pvp",MIN(Skills!I26,15),Skills!I26)/Skills!H26,1)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Skills!G27*IF(Skills!H27&gt;0,IF(Inputs!$B$38="pvp",MIN(Skills!I27,15),Skills!I27)/Skills!H27,1)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Skills!G28*IF(Skills!H28&gt;0,IF(Inputs!$B$38="pvp",MIN(Skills!I28,15),Skills!I28)/Skills!H28,1)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Skills!G29*IF(Skills!H29&gt;0,IF(Inputs!$B$38="pvp",MIN(Skills!I29,15),Skills!I29)/Skills!H29,1)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MIN((Skills!T15*(1+Inputs!$B$34/100)),(1/Q1931))+MIN((Skills!T15*(1+Inputs!$B$34/100)),MAX(0,Inputs!$B$43-((R1931-1)*(1/Q1931)))))/Inputs!$B$43),IF(Inputs!$B$38="pvp",MIN((Skills!T15*(1+Inputs!$B$34/100)),15)/15,MIN(1,(Skills!T15*(1+Inputs!$B$34/100))/(1/Q1931)))))+((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1934=TRUE)*F1934*IF(AND(Inputs!$B$38&lt;&gt;"pvp",Inputs!$B$43&gt;0),(((R1934-1)*MIN((Skills!T18*(1+Inputs!$B$34/100)),(1/Q1934))+MIN((Skills!T18*(1+Inputs!$B$34/100)),MAX(0,Inputs!$B$43-((R1934-1)*(1/Q1934)))))/Inputs!$B$43),IF(Inputs!$B$38="pvp",MIN((Skills!T18*(1+Inputs!$B$34/100)),15)/15,MIN(1,(Skills!T18*(1+Inputs!$B$34/100))/(1/Q1934)))))</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MIN((Skills!T16*(1+Inputs!$B$34/100)),(1/Q1932))+MIN((Skills!T16*(1+Inputs!$B$34/100)),MAX(0,Inputs!$B$43-((R1932-1)*(1/Q1932)))))/Inputs!$B$43),IF(Inputs!$B$38="pvp",MIN((Skills!T16*(1+Inputs!$B$34/100)),15)/15,MIN(1,(Skills!T16*(1+Inputs!$B$34/100))/(1/Q1932))))</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Skills!G2*IF(Skills!H2&gt;0,IF(Inputs!$B$38="pvp",MIN(Skills!I2,15),Skills!I2)/Skills!H2,1)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Skills!G5*IF(Skills!H5&gt;0,IF(Inputs!$B$38="pvp",MIN(Skills!I5,15),Skills!I5)/Skills!H5,1)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IFERROR(1/IF(Inputs!$B$38="pvp",15,MAX(0.1,Skills!D5-IF(TRUE=TRUE,Inputs!$B$32,0))),0)</f>
        <v/>
      </c>
      <c r="R1966">
        <f>IF(AND(Inputs!$B$38&lt;&gt;"pvp",Inputs!$B$43&gt;0),IF(MAX(0,Inputs!$B$43-B2000)&lt;=0,0,(INT(MAX(0,Inputs!$B$43-B2000)/IF(Inputs!$B$38="pvp",15,MAX(0.1,Skills!D5-IF(TRUE=TRUE,Inputs!$B$32,0))))+1)),0)</f>
        <v/>
      </c>
      <c r="S1966">
        <f>IFERROR((H1966*N1966*IF(AND(Inputs!$B$38&lt;&gt;"pvp",Inputs!$B$43&gt;0),((Skills!G5*((R1966-1)*IF(Skills!H5&gt;0,Skills!I5/Skills!H5,1)+IF(Skills!H5&gt;0,MIN(Skills!I5,MAX(0,MAX(0,Inputs!$B$43-B2000)-((R1966-1)*IF(Inputs!$B$38="pvp",15,MAX(0.1,Skills!D5-IF(TRUE=TRUE,Inputs!$B$32,0))))))/Skills!H5,1)))/Inputs!$B$43),G1966*Q1966))/N1966*IF(Inputs!$B$38="pvp",1,(1-Summary!$B$11)*1+Summary!$B$11*(MIN(Skills!R5,Inputs!$B$37))),0)</f>
        <v/>
      </c>
      <c r="T1966">
        <f>IF(C1966,(H1966*N1966*IF(AND(Inputs!$B$38&lt;&gt;"pvp",Inputs!$B$43&gt;0),((Skills!G5*((R1966-1)*IF(Skills!H5&gt;0,Skills!I5/Skills!H5,1)+IF(Skills!H5&gt;0,MIN(Skills!I5,MAX(0,MAX(0,Inputs!$B$43-B2000)-((R1966-1)*IF(Inputs!$B$38="pvp",15,MAX(0.1,Skills!D5-IF(TRUE=TRUE,Inputs!$B$32,0)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2000)-((R1966-1)*IF(Inputs!$B$38="pvp",15,MAX(0.1,Skills!D5-IF(TRUE=TRUE,Inputs!$B$32,0))))))/Skills!H5,1)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Skills!G6*IF(Skills!H6&gt;0,IF(Inputs!$B$38="pvp",MIN(Skills!I6,15),Skills!I6)/Skills!H6,1)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IFERROR(1/IF(Inputs!$B$38="pvp",15,MAX(0.1,Skills!D6-IF(TRUE=TRUE,Inputs!$B$32,0))),0)</f>
        <v/>
      </c>
      <c r="R1967">
        <f>IF(AND(Inputs!$B$38&lt;&gt;"pvp",Inputs!$B$43&gt;0),IF(MAX(0,Inputs!$B$43-B2000)&lt;=0,0,(INT(MAX(0,Inputs!$B$43-B2000)/IF(Inputs!$B$38="pvp",15,MAX(0.1,Skills!D6-IF(TRUE=TRUE,Inputs!$B$32,0))))+1)),0)</f>
        <v/>
      </c>
      <c r="S1967">
        <f>IFERROR((H1967*N1967*IF(AND(Inputs!$B$38&lt;&gt;"pvp",Inputs!$B$43&gt;0),((Skills!G6*((R1967-1)*IF(Skills!H6&gt;0,Skills!I6/Skills!H6,1)+IF(Skills!H6&gt;0,MIN(Skills!I6,MAX(0,MAX(0,Inputs!$B$43-B2000)-((R1967-1)*IF(Inputs!$B$38="pvp",15,MAX(0.1,Skills!D6-IF(TRUE=TRUE,Inputs!$B$32,0))))))/Skills!H6,1)))/Inputs!$B$43),G1967*Q1967))/N1967*IF(Inputs!$B$38="pvp",1,(1-Summary!$B$11)*1+Summary!$B$11*(MIN(Skills!R6,Inputs!$B$37))),0)</f>
        <v/>
      </c>
      <c r="T1967">
        <f>IF(C1967,(H1967*N1967*IF(AND(Inputs!$B$38&lt;&gt;"pvp",Inputs!$B$43&gt;0),((Skills!G6*((R1967-1)*IF(Skills!H6&gt;0,Skills!I6/Skills!H6,1)+IF(Skills!H6&gt;0,MIN(Skills!I6,MAX(0,MAX(0,Inputs!$B$43-B2000)-((R1967-1)*IF(Inputs!$B$38="pvp",15,MAX(0.1,Skills!D6-IF(TRUE=TRUE,Inputs!$B$32,0)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2000)-((R1967-1)*IF(Inputs!$B$38="pvp",15,MAX(0.1,Skills!D6-IF(TRUE=TRUE,Inputs!$B$32,0))))))/Skills!H6,1)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Skills!G7*IF(Skills!H7&gt;0,IF(Inputs!$B$38="pvp",MIN(Skills!I7,15),Skills!I7)/Skills!H7,1)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IFERROR(1/IF(Inputs!$B$38="pvp",15,MAX(0.1,Skills!D7-IF(TRUE=TRUE,Inputs!$B$32,0))),0)</f>
        <v/>
      </c>
      <c r="R1968">
        <f>IF(AND(Inputs!$B$38&lt;&gt;"pvp",Inputs!$B$43&gt;0),IF(MAX(0,Inputs!$B$43-B2000)&lt;=0,0,(INT(MAX(0,Inputs!$B$43-B2000)/IF(Inputs!$B$38="pvp",15,MAX(0.1,Skills!D7-IF(TRUE=TRUE,Inputs!$B$32,0))))+1)),0)</f>
        <v/>
      </c>
      <c r="S1968">
        <f>IFERROR((H1968*N1968*IF(AND(Inputs!$B$38&lt;&gt;"pvp",Inputs!$B$43&gt;0),((Skills!G7*((R1968-1)*IF(Skills!H7&gt;0,Skills!I7/Skills!H7,1)+IF(Skills!H7&gt;0,MIN(Skills!I7,MAX(0,MAX(0,Inputs!$B$43-B2000)-((R1968-1)*IF(Inputs!$B$38="pvp",15,MAX(0.1,Skills!D7-IF(TRUE=TRUE,Inputs!$B$32,0))))))/Skills!H7,1)))/Inputs!$B$43),G1968*Q1968))/N1968*IF(Inputs!$B$38="pvp",1,(1-Summary!$B$11)*1+Summary!$B$11*(MIN(Skills!R7,Inputs!$B$37))),0)</f>
        <v/>
      </c>
      <c r="T1968">
        <f>IF(C1968,(H1968*N1968*IF(AND(Inputs!$B$38&lt;&gt;"pvp",Inputs!$B$43&gt;0),((Skills!G7*((R1968-1)*IF(Skills!H7&gt;0,Skills!I7/Skills!H7,1)+IF(Skills!H7&gt;0,MIN(Skills!I7,MAX(0,MAX(0,Inputs!$B$43-B2000)-((R1968-1)*IF(Inputs!$B$38="pvp",15,MAX(0.1,Skills!D7-IF(TRUE=TRUE,Inputs!$B$32,0)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2000)-((R1968-1)*IF(Inputs!$B$38="pvp",15,MAX(0.1,Skills!D7-IF(TRUE=TRUE,Inputs!$B$32,0))))))/Skills!H7,1)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Skills!G9*IF(Skills!H9&gt;0,IF(Inputs!$B$38="pvp",MIN(Skills!I9,15),Skills!I9)/Skills!H9,1)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IFERROR(1/IF(Inputs!$B$38="pvp",15,MAX(0.1,Skills!D9-IF(TRUE=TRUE,Inputs!$B$32,0))),0)</f>
        <v/>
      </c>
      <c r="R1970">
        <f>IF(AND(Inputs!$B$38&lt;&gt;"pvp",Inputs!$B$43&gt;0),IF(MAX(0,Inputs!$B$43-B2000)&lt;=0,0,(INT(MAX(0,Inputs!$B$43-B2000)/IF(Inputs!$B$38="pvp",15,MAX(0.1,Skills!D9-IF(TRUE=TRUE,Inputs!$B$32,0))))+1)),0)</f>
        <v/>
      </c>
      <c r="S1970">
        <f>IFERROR((H1970*N1970*IF(AND(Inputs!$B$38&lt;&gt;"pvp",Inputs!$B$43&gt;0),((Skills!G9*((R1970-1)*IF(Skills!H9&gt;0,Skills!I9/Skills!H9,1)+IF(Skills!H9&gt;0,MIN(Skills!I9,MAX(0,MAX(0,Inputs!$B$43-B2000)-((R1970-1)*IF(Inputs!$B$38="pvp",15,MAX(0.1,Skills!D9-IF(TRUE=TRUE,Inputs!$B$32,0))))))/Skills!H9,1)))/Inputs!$B$43),G1970*Q1970))/N1970*IF(Inputs!$B$38="pvp",1,(1-Summary!$B$11)*1+Summary!$B$11*(MIN(Skills!R9,Inputs!$B$37))),0)</f>
        <v/>
      </c>
      <c r="T1970">
        <f>IF(C1970,(H1970*N1970*IF(AND(Inputs!$B$38&lt;&gt;"pvp",Inputs!$B$43&gt;0),((Skills!G9*((R1970-1)*IF(Skills!H9&gt;0,Skills!I9/Skills!H9,1)+IF(Skills!H9&gt;0,MIN(Skills!I9,MAX(0,MAX(0,Inputs!$B$43-B2000)-((R1970-1)*IF(Inputs!$B$38="pvp",15,MAX(0.1,Skills!D9-IF(TRUE=TRUE,Inputs!$B$32,0)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2000)-((R1970-1)*IF(Inputs!$B$38="pvp",15,MAX(0.1,Skills!D9-IF(TRUE=TRUE,Inputs!$B$32,0))))))/Skills!H9,1)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Skills!G10*IF(Skills!H10&gt;0,IF(Inputs!$B$38="pvp",MIN(Skills!I10,15),Skills!I10)/Skills!H10,1)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Skills!G11*IF(Skills!H11&gt;0,IF(Inputs!$B$38="pvp",MIN(Skills!I11,15),Skills!I11)/Skills!H11,1)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IFERROR(1/IF(Inputs!$B$38="pvp",15,MAX(0.1,Skills!D11-IF(TRUE=TRUE,Inputs!$B$32,0))),0)</f>
        <v/>
      </c>
      <c r="R1972">
        <f>IF(AND(Inputs!$B$38&lt;&gt;"pvp",Inputs!$B$43&gt;0),IF(MAX(0,Inputs!$B$43-B2000)&lt;=0,0,(INT(MAX(0,Inputs!$B$43-B2000)/IF(Inputs!$B$38="pvp",15,MAX(0.1,Skills!D11-IF(TRUE=TRUE,Inputs!$B$32,0))))+1)),0)</f>
        <v/>
      </c>
      <c r="S1972">
        <f>IFERROR((H1972*N1972*IF(AND(Inputs!$B$38&lt;&gt;"pvp",Inputs!$B$43&gt;0),((Skills!G11*((R1972-1)*IF(Skills!H11&gt;0,Skills!I11/Skills!H11,1)+IF(Skills!H11&gt;0,MIN(Skills!I11,MAX(0,MAX(0,Inputs!$B$43-B2000)-((R1972-1)*IF(Inputs!$B$38="pvp",15,MAX(0.1,Skills!D11-IF(TRUE=TRUE,Inputs!$B$32,0))))))/Skills!H11,1)))/Inputs!$B$43),G1972*Q1972))/N1972*IF(Inputs!$B$38="pvp",1,(1-Summary!$B$11)*1+Summary!$B$11*(MIN(Skills!R11,Inputs!$B$37))),0)</f>
        <v/>
      </c>
      <c r="T1972">
        <f>IF(C1972,(H1972*N1972*IF(AND(Inputs!$B$38&lt;&gt;"pvp",Inputs!$B$43&gt;0),((Skills!G11*((R1972-1)*IF(Skills!H11&gt;0,Skills!I11/Skills!H11,1)+IF(Skills!H11&gt;0,MIN(Skills!I11,MAX(0,MAX(0,Inputs!$B$43-B2000)-((R1972-1)*IF(Inputs!$B$38="pvp",15,MAX(0.1,Skills!D11-IF(TRUE=TRUE,Inputs!$B$32,0)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Inputs!$B$38&lt;&gt;"pvp",Inputs!$B$43=0),1,IF(IF(Inputs!$B$38="pvp",15,Inputs!$B$43)-(B2000)&lt;=0,1,MAX(0,IF(Inputs!$B$38="pvp",15,Inputs!$B$43)-MAX(5,B2000))/(IF(Inputs!$B$38="pvp",15,Inputs!$B$43)-(B2000)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2000)-((R1972-1)*IF(Inputs!$B$38="pvp",15,MAX(0.1,Skills!D11-IF(TRUE=TRUE,Inputs!$B$32,0))))))/Skills!H11,1)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Skills!G12*IF(Skills!H12&gt;0,IF(Inputs!$B$38="pvp",MIN(Skills!I12,15),Skills!I12)/Skills!H12,1)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Skills!G13*IF(Skills!H13&gt;0,IF(Inputs!$B$38="pvp",MIN(Skills!I13,15),Skills!I13)/Skills!H13,1)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Skills!G14*IF(Skills!H14&gt;0,IF(Inputs!$B$38="pvp",MIN(Skills!I14,15),Skills!I14)/Skills!H14,1)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Skills!G15*IF(Skills!H15&gt;0,IF(Inputs!$B$38="pvp",MIN(Skills!I15,15),Skills!I15)/Skills!H15,1)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IFERROR(1/IF(Inputs!$B$38="pvp",15,MAX(0.1,Skills!D15-IF(TRUE=TRUE,Inputs!$B$32,0))),0)</f>
        <v/>
      </c>
      <c r="R1976">
        <f>IF(AND(Inputs!$B$38&lt;&gt;"pvp",Inputs!$B$43&gt;0),IF(Inputs!$B$43&lt;=0,0,(INT(Inputs!$B$43/IF(Inputs!$B$38="pvp",15,MAX(0.1,Skills!D15-IF(TRUE=TRUE,Inputs!$B$32,0))))+1)),0)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Skills!G16*IF(Skills!H16&gt;0,IF(Inputs!$B$38="pvp",MIN(Skills!I16,15),Skills!I16)/Skills!H16,1)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IFERROR(1/IF(Inputs!$B$38="pvp",15,MAX(0.1,Skills!D16-IF(TRUE=TRUE,Inputs!$B$32,0))),0)</f>
        <v/>
      </c>
      <c r="R1977">
        <f>IF(AND(Inputs!$B$38&lt;&gt;"pvp",Inputs!$B$43&gt;0),IF(Inputs!$B$43&lt;=0,0,(INT(Inputs!$B$43/IF(Inputs!$B$38="pvp",15,MAX(0.1,Skills!D16-IF(TRUE=TRUE,Inputs!$B$32,0))))+1)),0)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Skills!G17*IF(Skills!H17&gt;0,IF(Inputs!$B$38="pvp",MIN(Skills!I17,15),Skills!I17)/Skills!H17,1)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Skills!G18*IF(Skills!H18&gt;0,IF(Inputs!$B$38="pvp",MIN(Skills!I18,15),Skills!I18)/Skills!H18,1)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IFERROR(1/IF(Inputs!$B$38="pvp",15,MAX(0.1,Skills!D18-IF(TRUE=TRUE,Inputs!$B$32,0))),0)</f>
        <v/>
      </c>
      <c r="R1979">
        <f>IF(AND(Inputs!$B$38&lt;&gt;"pvp",Inputs!$B$43&gt;0),IF(Inputs!$B$43&lt;=0,0,(INT(Inputs!$B$43/IF(Inputs!$B$38="pvp",15,MAX(0.1,Skills!D18-IF(TRUE=TRUE,Inputs!$B$32,0))))+1)),0)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Skills!G19*IF(Skills!H19&gt;0,IF(Inputs!$B$38="pvp",MIN(Skills!I19,15),Skills!I19)/Skills!H19,1)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Skills!G20*IF(Skills!H20&gt;0,IF(Inputs!$B$38="pvp",MIN(Skills!I20,15),Skills!I20)/Skills!H20,1)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Skills!G21*IF(Skills!H21&gt;0,IF(Inputs!$B$38="pvp",MIN(Skills!I21,15),Skills!I21)/Skills!H21,1)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Skills!G22*IF(Skills!H22&gt;0,IF(Inputs!$B$38="pvp",MIN(Skills!I22,15),Skills!I22)/Skills!H22,1)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Skills!G23*IF(Skills!H23&gt;0,IF(Inputs!$B$38="pvp",MIN(Skills!I23,15),Skills!I23)/Skills!H23,1)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Skills!G24*IF(Skills!H24&gt;0,IF(Inputs!$B$38="pvp",MIN(Skills!I24,15),Skills!I24)/Skills!H24,1)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Skills!G25*IF(Skills!H25&gt;0,IF(Inputs!$B$38="pvp",MIN(Skills!I25,15),Skills!I25)/Skills!H25,1)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Skills!G26*IF(Skills!H26&gt;0,IF(Inputs!$B$38="pvp",MIN(Skills!I26,15),Skills!I26)/Skills!H26,1)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Skills!G27*IF(Skills!H27&gt;0,IF(Inputs!$B$38="pvp",MIN(Skills!I27,15),Skills!I27)/Skills!H27,1)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Skills!G28*IF(Skills!H28&gt;0,IF(Inputs!$B$38="pvp",MIN(Skills!I28,15),Skills!I28)/Skills!H28,1)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Skills!G29*IF(Skills!H29&gt;0,IF(Inputs!$B$38="pvp",MIN(Skills!I29,15),Skills!I29)/Skills!H29,1)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MIN((Skills!T15*(1+Inputs!$B$34/100)),(1/Q1976))+MIN((Skills!T15*(1+Inputs!$B$34/100)),MAX(0,Inputs!$B$43-((R1976-1)*(1/Q1976)))))/Inputs!$B$43),IF(Inputs!$B$38="pvp",MIN((Skills!T15*(1+Inputs!$B$34/100)),15)/15,MIN(1,(Skills!T15*(1+Inputs!$B$34/100))/(1/Q1976)))))+((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t="n">
        <v>0</v>
      </c>
    </row>
    <row r="1994">
      <c r="A1994" t="inlineStr">
        <is>
          <t>Attack Speed Buff Bonus %</t>
        </is>
      </c>
      <c r="B1994">
        <f>((C1979=TRUE)*F1979*IF(AND(Inputs!$B$38&lt;&gt;"pvp",Inputs!$B$43&gt;0),(((R1979-1)*MIN((Skills!T18*(1+Inputs!$B$34/100)),(1/Q1979))+MIN((Skills!T18*(1+Inputs!$B$34/100)),MAX(0,Inputs!$B$43-((R1979-1)*(1/Q1979)))))/Inputs!$B$43),IF(Inputs!$B$38="pvp",MIN((Skills!T18*(1+Inputs!$B$34/100)),15)/15,MIN(1,(Skills!T18*(1+Inputs!$B$34/100))/(1/Q1979)))))</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MIN((Skills!T16*(1+Inputs!$B$34/100)),(1/Q1977))+MIN((Skills!T16*(1+Inputs!$B$34/100)),MAX(0,Inputs!$B$43-((R1977-1)*(1/Q1977)))))/Inputs!$B$43),IF(Inputs!$B$38="pvp",MIN((Skills!T16*(1+Inputs!$B$34/100)),15)/15,MIN(1,(Skills!T16*(1+Inputs!$B$34/100))/(1/Q1977))))</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Skills!G2*IF(Skills!H2&gt;0,IF(Inputs!$B$38="pvp",MIN(Skills!I2,15),Skills!I2)/Skills!H2,1)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Skills!G5*IF(Skills!H5&gt;0,IF(Inputs!$B$38="pvp",MIN(Skills!I5,15),Skills!I5)/Skills!H5,1)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IFERROR(1/IF(Inputs!$B$38="pvp",15,MAX(0.1,Skills!D5-IF(TRUE=TRUE,Inputs!$B$32,0))),0)</f>
        <v/>
      </c>
      <c r="R2011">
        <f>IF(AND(Inputs!$B$38&lt;&gt;"pvp",Inputs!$B$43&gt;0),IF(MAX(0,Inputs!$B$43-B2045)&lt;=0,0,(INT(MAX(0,Inputs!$B$43-B2045)/IF(Inputs!$B$38="pvp",15,MAX(0.1,Skills!D5-IF(TRUE=TRUE,Inputs!$B$32,0))))+1)),0)</f>
        <v/>
      </c>
      <c r="S2011">
        <f>IFERROR((H2011*N2011*IF(AND(Inputs!$B$38&lt;&gt;"pvp",Inputs!$B$43&gt;0),((Skills!G5*((R2011-1)*IF(Skills!H5&gt;0,Skills!I5/Skills!H5,1)+IF(Skills!H5&gt;0,MIN(Skills!I5,MAX(0,MAX(0,Inputs!$B$43-B2045)-((R2011-1)*IF(Inputs!$B$38="pvp",15,MAX(0.1,Skills!D5-IF(TRUE=TRUE,Inputs!$B$32,0))))))/Skills!H5,1)))/Inputs!$B$43),G2011*Q2011))/N2011*IF(Inputs!$B$38="pvp",1,(1-Summary!$B$11)*1+Summary!$B$11*(MIN(Skills!R5,Inputs!$B$37))),0)</f>
        <v/>
      </c>
      <c r="T2011">
        <f>IF(C2011,(H2011*N2011*IF(AND(Inputs!$B$38&lt;&gt;"pvp",Inputs!$B$43&gt;0),((Skills!G5*((R2011-1)*IF(Skills!H5&gt;0,Skills!I5/Skills!H5,1)+IF(Skills!H5&gt;0,MIN(Skills!I5,MAX(0,MAX(0,Inputs!$B$43-B2045)-((R2011-1)*IF(Inputs!$B$38="pvp",15,MAX(0.1,Skills!D5-IF(TRUE=TRUE,Inputs!$B$32,0)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2045)-((R2011-1)*IF(Inputs!$B$38="pvp",15,MAX(0.1,Skills!D5-IF(TRUE=TRUE,Inputs!$B$32,0))))))/Skills!H5,1)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Skills!G6*IF(Skills!H6&gt;0,IF(Inputs!$B$38="pvp",MIN(Skills!I6,15),Skills!I6)/Skills!H6,1)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IFERROR(1/IF(Inputs!$B$38="pvp",15,MAX(0.1,Skills!D6-IF(TRUE=TRUE,Inputs!$B$32,0))),0)</f>
        <v/>
      </c>
      <c r="R2012">
        <f>IF(AND(Inputs!$B$38&lt;&gt;"pvp",Inputs!$B$43&gt;0),IF(MAX(0,Inputs!$B$43-B2045)&lt;=0,0,(INT(MAX(0,Inputs!$B$43-B2045)/IF(Inputs!$B$38="pvp",15,MAX(0.1,Skills!D6-IF(TRUE=TRUE,Inputs!$B$32,0))))+1)),0)</f>
        <v/>
      </c>
      <c r="S2012">
        <f>IFERROR((H2012*N2012*IF(AND(Inputs!$B$38&lt;&gt;"pvp",Inputs!$B$43&gt;0),((Skills!G6*((R2012-1)*IF(Skills!H6&gt;0,Skills!I6/Skills!H6,1)+IF(Skills!H6&gt;0,MIN(Skills!I6,MAX(0,MAX(0,Inputs!$B$43-B2045)-((R2012-1)*IF(Inputs!$B$38="pvp",15,MAX(0.1,Skills!D6-IF(TRUE=TRUE,Inputs!$B$32,0))))))/Skills!H6,1)))/Inputs!$B$43),G2012*Q2012))/N2012*IF(Inputs!$B$38="pvp",1,(1-Summary!$B$11)*1+Summary!$B$11*(MIN(Skills!R6,Inputs!$B$37))),0)</f>
        <v/>
      </c>
      <c r="T2012">
        <f>IF(C2012,(H2012*N2012*IF(AND(Inputs!$B$38&lt;&gt;"pvp",Inputs!$B$43&gt;0),((Skills!G6*((R2012-1)*IF(Skills!H6&gt;0,Skills!I6/Skills!H6,1)+IF(Skills!H6&gt;0,MIN(Skills!I6,MAX(0,MAX(0,Inputs!$B$43-B2045)-((R2012-1)*IF(Inputs!$B$38="pvp",15,MAX(0.1,Skills!D6-IF(TRUE=TRUE,Inputs!$B$32,0)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2045)-((R2012-1)*IF(Inputs!$B$38="pvp",15,MAX(0.1,Skills!D6-IF(TRUE=TRUE,Inputs!$B$32,0))))))/Skills!H6,1)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Skills!G7*IF(Skills!H7&gt;0,IF(Inputs!$B$38="pvp",MIN(Skills!I7,15),Skills!I7)/Skills!H7,1)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IFERROR(1/IF(Inputs!$B$38="pvp",15,MAX(0.1,Skills!D7-IF(TRUE=TRUE,Inputs!$B$32,0))),0)</f>
        <v/>
      </c>
      <c r="R2013">
        <f>IF(AND(Inputs!$B$38&lt;&gt;"pvp",Inputs!$B$43&gt;0),IF(MAX(0,Inputs!$B$43-B2045)&lt;=0,0,(INT(MAX(0,Inputs!$B$43-B2045)/IF(Inputs!$B$38="pvp",15,MAX(0.1,Skills!D7-IF(TRUE=TRUE,Inputs!$B$32,0))))+1)),0)</f>
        <v/>
      </c>
      <c r="S2013">
        <f>IFERROR((H2013*N2013*IF(AND(Inputs!$B$38&lt;&gt;"pvp",Inputs!$B$43&gt;0),((Skills!G7*((R2013-1)*IF(Skills!H7&gt;0,Skills!I7/Skills!H7,1)+IF(Skills!H7&gt;0,MIN(Skills!I7,MAX(0,MAX(0,Inputs!$B$43-B2045)-((R2013-1)*IF(Inputs!$B$38="pvp",15,MAX(0.1,Skills!D7-IF(TRUE=TRUE,Inputs!$B$32,0))))))/Skills!H7,1)))/Inputs!$B$43),G2013*Q2013))/N2013*IF(Inputs!$B$38="pvp",1,(1-Summary!$B$11)*1+Summary!$B$11*(MIN(Skills!R7,Inputs!$B$37))),0)</f>
        <v/>
      </c>
      <c r="T2013">
        <f>IF(C2013,(H2013*N2013*IF(AND(Inputs!$B$38&lt;&gt;"pvp",Inputs!$B$43&gt;0),((Skills!G7*((R2013-1)*IF(Skills!H7&gt;0,Skills!I7/Skills!H7,1)+IF(Skills!H7&gt;0,MIN(Skills!I7,MAX(0,MAX(0,Inputs!$B$43-B2045)-((R2013-1)*IF(Inputs!$B$38="pvp",15,MAX(0.1,Skills!D7-IF(TRUE=TRUE,Inputs!$B$32,0)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2045)-((R2013-1)*IF(Inputs!$B$38="pvp",15,MAX(0.1,Skills!D7-IF(TRUE=TRUE,Inputs!$B$32,0))))))/Skills!H7,1)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Skills!G9*IF(Skills!H9&gt;0,IF(Inputs!$B$38="pvp",MIN(Skills!I9,15),Skills!I9)/Skills!H9,1)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IFERROR(1/IF(Inputs!$B$38="pvp",15,MAX(0.1,Skills!D9-IF(TRUE=TRUE,Inputs!$B$32,0))),0)</f>
        <v/>
      </c>
      <c r="R2015">
        <f>IF(AND(Inputs!$B$38&lt;&gt;"pvp",Inputs!$B$43&gt;0),IF(MAX(0,Inputs!$B$43-B2045)&lt;=0,0,(INT(MAX(0,Inputs!$B$43-B2045)/IF(Inputs!$B$38="pvp",15,MAX(0.1,Skills!D9-IF(TRUE=TRUE,Inputs!$B$32,0))))+1)),0)</f>
        <v/>
      </c>
      <c r="S2015">
        <f>IFERROR((H2015*N2015*IF(AND(Inputs!$B$38&lt;&gt;"pvp",Inputs!$B$43&gt;0),((Skills!G9*((R2015-1)*IF(Skills!H9&gt;0,Skills!I9/Skills!H9,1)+IF(Skills!H9&gt;0,MIN(Skills!I9,MAX(0,MAX(0,Inputs!$B$43-B2045)-((R2015-1)*IF(Inputs!$B$38="pvp",15,MAX(0.1,Skills!D9-IF(TRUE=TRUE,Inputs!$B$32,0))))))/Skills!H9,1)))/Inputs!$B$43),G2015*Q2015))/N2015*IF(Inputs!$B$38="pvp",1,(1-Summary!$B$11)*1+Summary!$B$11*(MIN(Skills!R9,Inputs!$B$37))),0)</f>
        <v/>
      </c>
      <c r="T2015">
        <f>IF(C2015,(H2015*N2015*IF(AND(Inputs!$B$38&lt;&gt;"pvp",Inputs!$B$43&gt;0),((Skills!G9*((R2015-1)*IF(Skills!H9&gt;0,Skills!I9/Skills!H9,1)+IF(Skills!H9&gt;0,MIN(Skills!I9,MAX(0,MAX(0,Inputs!$B$43-B2045)-((R2015-1)*IF(Inputs!$B$38="pvp",15,MAX(0.1,Skills!D9-IF(TRUE=TRUE,Inputs!$B$32,0)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2045)-((R2015-1)*IF(Inputs!$B$38="pvp",15,MAX(0.1,Skills!D9-IF(TRUE=TRUE,Inputs!$B$32,0))))))/Skills!H9,1)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Skills!G10*IF(Skills!H10&gt;0,IF(Inputs!$B$38="pvp",MIN(Skills!I10,15),Skills!I10)/Skills!H10,1)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Skills!G11*IF(Skills!H11&gt;0,IF(Inputs!$B$38="pvp",MIN(Skills!I11,15),Skills!I11)/Skills!H11,1)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IFERROR(1/IF(Inputs!$B$38="pvp",15,MAX(0.1,Skills!D11-IF(TRUE=TRUE,Inputs!$B$32,0))),0)</f>
        <v/>
      </c>
      <c r="R2017">
        <f>IF(AND(Inputs!$B$38&lt;&gt;"pvp",Inputs!$B$43&gt;0),IF(MAX(0,Inputs!$B$43-B2045)&lt;=0,0,(INT(MAX(0,Inputs!$B$43-B2045)/IF(Inputs!$B$38="pvp",15,MAX(0.1,Skills!D11-IF(TRUE=TRUE,Inputs!$B$32,0))))+1)),0)</f>
        <v/>
      </c>
      <c r="S2017">
        <f>IFERROR((H2017*N2017*IF(AND(Inputs!$B$38&lt;&gt;"pvp",Inputs!$B$43&gt;0),((Skills!G11*((R2017-1)*IF(Skills!H11&gt;0,Skills!I11/Skills!H11,1)+IF(Skills!H11&gt;0,MIN(Skills!I11,MAX(0,MAX(0,Inputs!$B$43-B2045)-((R2017-1)*IF(Inputs!$B$38="pvp",15,MAX(0.1,Skills!D11-IF(TRUE=TRUE,Inputs!$B$32,0))))))/Skills!H11,1)))/Inputs!$B$43),G2017*Q2017))/N2017*IF(Inputs!$B$38="pvp",1,(1-Summary!$B$11)*1+Summary!$B$11*(MIN(Skills!R11,Inputs!$B$37))),0)</f>
        <v/>
      </c>
      <c r="T2017">
        <f>IF(C2017,(H2017*N2017*IF(AND(Inputs!$B$38&lt;&gt;"pvp",Inputs!$B$43&gt;0),((Skills!G11*((R2017-1)*IF(Skills!H11&gt;0,Skills!I11/Skills!H11,1)+IF(Skills!H11&gt;0,MIN(Skills!I11,MAX(0,MAX(0,Inputs!$B$43-B2045)-((R2017-1)*IF(Inputs!$B$38="pvp",15,MAX(0.1,Skills!D11-IF(TRUE=TRUE,Inputs!$B$32,0)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Inputs!$B$38&lt;&gt;"pvp",Inputs!$B$43=0),1,IF(IF(Inputs!$B$38="pvp",15,Inputs!$B$43)-(B2045)&lt;=0,1,MAX(0,IF(Inputs!$B$38="pvp",15,Inputs!$B$43)-MAX(5,B2045))/(IF(Inputs!$B$38="pvp",15,Inputs!$B$43)-(B2045))))*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2045)-((R2017-1)*IF(Inputs!$B$38="pvp",15,MAX(0.1,Skills!D11-IF(TRUE=TRUE,Inputs!$B$32,0))))))/Skills!H11,1)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Skills!G12*IF(Skills!H12&gt;0,IF(Inputs!$B$38="pvp",MIN(Skills!I12,15),Skills!I12)/Skills!H12,1)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Skills!G13*IF(Skills!H13&gt;0,IF(Inputs!$B$38="pvp",MIN(Skills!I13,15),Skills!I13)/Skills!H13,1)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Skills!G14*IF(Skills!H14&gt;0,IF(Inputs!$B$38="pvp",MIN(Skills!I14,15),Skills!I14)/Skills!H14,1)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Skills!G15*IF(Skills!H15&gt;0,IF(Inputs!$B$38="pvp",MIN(Skills!I15,15),Skills!I15)/Skills!H15,1)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IFERROR(1/IF(Inputs!$B$38="pvp",15,MAX(0.1,Skills!D15-IF(TRUE=TRUE,Inputs!$B$32,0))),0)</f>
        <v/>
      </c>
      <c r="R2021">
        <f>IF(AND(Inputs!$B$38&lt;&gt;"pvp",Inputs!$B$43&gt;0),IF(Inputs!$B$43&lt;=0,0,(INT(Inputs!$B$43/IF(Inputs!$B$38="pvp",15,MAX(0.1,Skills!D15-IF(TRUE=TRUE,Inputs!$B$32,0))))+1)),0)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Skills!G16*IF(Skills!H16&gt;0,IF(Inputs!$B$38="pvp",MIN(Skills!I16,15),Skills!I16)/Skills!H16,1)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IFERROR(1/IF(Inputs!$B$38="pvp",15,MAX(0.1,Skills!D16-IF(TRUE=TRUE,Inputs!$B$32,0))),0)</f>
        <v/>
      </c>
      <c r="R2022">
        <f>IF(AND(Inputs!$B$38&lt;&gt;"pvp",Inputs!$B$43&gt;0),IF(Inputs!$B$43&lt;=0,0,(INT(Inputs!$B$43/IF(Inputs!$B$38="pvp",15,MAX(0.1,Skills!D16-IF(TRUE=TRUE,Inputs!$B$32,0))))+1)),0)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Skills!G17*IF(Skills!H17&gt;0,IF(Inputs!$B$38="pvp",MIN(Skills!I17,15),Skills!I17)/Skills!H17,1)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Skills!G18*IF(Skills!H18&gt;0,IF(Inputs!$B$38="pvp",MIN(Skills!I18,15),Skills!I18)/Skills!H18,1)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IFERROR(1/IF(Inputs!$B$38="pvp",15,MAX(0.1,Skills!D18-IF(TRUE=TRUE,Inputs!$B$32,0))),0)</f>
        <v/>
      </c>
      <c r="R2024">
        <f>IF(AND(Inputs!$B$38&lt;&gt;"pvp",Inputs!$B$43&gt;0),IF(Inputs!$B$43&lt;=0,0,(INT(Inputs!$B$43/IF(Inputs!$B$38="pvp",15,MAX(0.1,Skills!D18-IF(TRUE=TRUE,Inputs!$B$32,0))))+1)),0)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Skills!G19*IF(Skills!H19&gt;0,IF(Inputs!$B$38="pvp",MIN(Skills!I19,15),Skills!I19)/Skills!H19,1)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Skills!G20*IF(Skills!H20&gt;0,IF(Inputs!$B$38="pvp",MIN(Skills!I20,15),Skills!I20)/Skills!H20,1)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Skills!G21*IF(Skills!H21&gt;0,IF(Inputs!$B$38="pvp",MIN(Skills!I21,15),Skills!I21)/Skills!H21,1)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Skills!G22*IF(Skills!H22&gt;0,IF(Inputs!$B$38="pvp",MIN(Skills!I22,15),Skills!I22)/Skills!H22,1)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Skills!G23*IF(Skills!H23&gt;0,IF(Inputs!$B$38="pvp",MIN(Skills!I23,15),Skills!I23)/Skills!H23,1)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Skills!G24*IF(Skills!H24&gt;0,IF(Inputs!$B$38="pvp",MIN(Skills!I24,15),Skills!I24)/Skills!H24,1)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Skills!G25*IF(Skills!H25&gt;0,IF(Inputs!$B$38="pvp",MIN(Skills!I25,15),Skills!I25)/Skills!H25,1)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Skills!G26*IF(Skills!H26&gt;0,IF(Inputs!$B$38="pvp",MIN(Skills!I26,15),Skills!I26)/Skills!H26,1)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Skills!G27*IF(Skills!H27&gt;0,IF(Inputs!$B$38="pvp",MIN(Skills!I27,15),Skills!I27)/Skills!H27,1)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Skills!G28*IF(Skills!H28&gt;0,IF(Inputs!$B$38="pvp",MIN(Skills!I28,15),Skills!I28)/Skills!H28,1)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Skills!G29*IF(Skills!H29&gt;0,IF(Inputs!$B$38="pvp",MIN(Skills!I29,15),Skills!I29)/Skills!H29,1)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MIN((Skills!T15*(1+Inputs!$B$34/100)),(1/Q2021))+MIN((Skills!T15*(1+Inputs!$B$34/100)),MAX(0,Inputs!$B$43-((R2021-1)*(1/Q2021)))))/Inputs!$B$43),IF(Inputs!$B$38="pvp",MIN((Skills!T15*(1+Inputs!$B$34/100)),15)/15,MIN(1,(Skills!T15*(1+Inputs!$B$34/100))/(1/Q2021)))))+((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t="n">
        <v>0</v>
      </c>
    </row>
    <row r="2039">
      <c r="A2039" t="inlineStr">
        <is>
          <t>Attack Speed Buff Bonus %</t>
        </is>
      </c>
      <c r="B2039">
        <f>((C2024=TRUE)*F2024*IF(AND(Inputs!$B$38&lt;&gt;"pvp",Inputs!$B$43&gt;0),(((R2024-1)*MIN((Skills!T18*(1+Inputs!$B$34/100)),(1/Q2024))+MIN((Skills!T18*(1+Inputs!$B$34/100)),MAX(0,Inputs!$B$43-((R2024-1)*(1/Q2024)))))/Inputs!$B$43),IF(Inputs!$B$38="pvp",MIN((Skills!T18*(1+Inputs!$B$34/100)),15)/15,MIN(1,(Skills!T18*(1+Inputs!$B$34/100))/(1/Q2024)))))</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MIN((Skills!T16*(1+Inputs!$B$34/100)),(1/Q2022))+MIN((Skills!T16*(1+Inputs!$B$34/100)),MAX(0,Inputs!$B$43-((R2022-1)*(1/Q2022)))))/Inputs!$B$43),IF(Inputs!$B$38="pvp",MIN((Skills!T16*(1+Inputs!$B$34/100)),15)/15,MIN(1,(Skills!T16*(1+Inputs!$B$34/100))/(1/Q2022))))</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Skills!G2*IF(Skills!H2&gt;0,IF(Inputs!$B$38="pvp",MIN(Skills!I2,15),Skills!I2)/Skills!H2,1)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Skills!G5*IF(Skills!H5&gt;0,IF(Inputs!$B$38="pvp",MIN(Skills!I5,15),Skills!I5)/Skills!H5,1)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IFERROR(1/IF(Inputs!$B$38="pvp",15,MAX(0.1,Skills!D5-IF(TRUE=TRUE,Inputs!$B$32,0))),0)</f>
        <v/>
      </c>
      <c r="R2056">
        <f>IF(AND(Inputs!$B$38&lt;&gt;"pvp",Inputs!$B$43&gt;0),IF(MAX(0,Inputs!$B$43-B2090)&lt;=0,0,(INT(MAX(0,Inputs!$B$43-B2090)/IF(Inputs!$B$38="pvp",15,MAX(0.1,Skills!D5-IF(TRUE=TRUE,Inputs!$B$32,0))))+1)),0)</f>
        <v/>
      </c>
      <c r="S2056">
        <f>IFERROR((H2056*N2056*IF(AND(Inputs!$B$38&lt;&gt;"pvp",Inputs!$B$43&gt;0),((Skills!G5*((R2056-1)*IF(Skills!H5&gt;0,Skills!I5/Skills!H5,1)+IF(Skills!H5&gt;0,MIN(Skills!I5,MAX(0,MAX(0,Inputs!$B$43-B2090)-((R2056-1)*IF(Inputs!$B$38="pvp",15,MAX(0.1,Skills!D5-IF(TRUE=TRUE,Inputs!$B$32,0))))))/Skills!H5,1)))/Inputs!$B$43),G2056*Q2056))/N2056*IF(Inputs!$B$38="pvp",1,(1-Summary!$B$11)*1+Summary!$B$11*(MIN(Skills!R5,Inputs!$B$37))),0)</f>
        <v/>
      </c>
      <c r="T2056">
        <f>IF(C2056,(H2056*N2056*IF(AND(Inputs!$B$38&lt;&gt;"pvp",Inputs!$B$43&gt;0),((Skills!G5*((R2056-1)*IF(Skills!H5&gt;0,Skills!I5/Skills!H5,1)+IF(Skills!H5&gt;0,MIN(Skills!I5,MAX(0,MAX(0,Inputs!$B$43-B2090)-((R2056-1)*IF(Inputs!$B$38="pvp",15,MAX(0.1,Skills!D5-IF(TRUE=TRUE,Inputs!$B$32,0)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2090)-((R2056-1)*IF(Inputs!$B$38="pvp",15,MAX(0.1,Skills!D5-IF(TRUE=TRUE,Inputs!$B$32,0))))))/Skills!H5,1)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Skills!G6*IF(Skills!H6&gt;0,IF(Inputs!$B$38="pvp",MIN(Skills!I6,15),Skills!I6)/Skills!H6,1)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IFERROR(1/IF(Inputs!$B$38="pvp",15,MAX(0.1,Skills!D6-IF(TRUE=TRUE,Inputs!$B$32,0))),0)</f>
        <v/>
      </c>
      <c r="R2057">
        <f>IF(AND(Inputs!$B$38&lt;&gt;"pvp",Inputs!$B$43&gt;0),IF(MAX(0,Inputs!$B$43-B2090)&lt;=0,0,(INT(MAX(0,Inputs!$B$43-B2090)/IF(Inputs!$B$38="pvp",15,MAX(0.1,Skills!D6-IF(TRUE=TRUE,Inputs!$B$32,0))))+1)),0)</f>
        <v/>
      </c>
      <c r="S2057">
        <f>IFERROR((H2057*N2057*IF(AND(Inputs!$B$38&lt;&gt;"pvp",Inputs!$B$43&gt;0),((Skills!G6*((R2057-1)*IF(Skills!H6&gt;0,Skills!I6/Skills!H6,1)+IF(Skills!H6&gt;0,MIN(Skills!I6,MAX(0,MAX(0,Inputs!$B$43-B2090)-((R2057-1)*IF(Inputs!$B$38="pvp",15,MAX(0.1,Skills!D6-IF(TRUE=TRUE,Inputs!$B$32,0))))))/Skills!H6,1)))/Inputs!$B$43),G2057*Q2057))/N2057*IF(Inputs!$B$38="pvp",1,(1-Summary!$B$11)*1+Summary!$B$11*(MIN(Skills!R6,Inputs!$B$37))),0)</f>
        <v/>
      </c>
      <c r="T2057">
        <f>IF(C2057,(H2057*N2057*IF(AND(Inputs!$B$38&lt;&gt;"pvp",Inputs!$B$43&gt;0),((Skills!G6*((R2057-1)*IF(Skills!H6&gt;0,Skills!I6/Skills!H6,1)+IF(Skills!H6&gt;0,MIN(Skills!I6,MAX(0,MAX(0,Inputs!$B$43-B2090)-((R2057-1)*IF(Inputs!$B$38="pvp",15,MAX(0.1,Skills!D6-IF(TRUE=TRUE,Inputs!$B$32,0)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2090)-((R2057-1)*IF(Inputs!$B$38="pvp",15,MAX(0.1,Skills!D6-IF(TRUE=TRUE,Inputs!$B$32,0))))))/Skills!H6,1)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Skills!G7*IF(Skills!H7&gt;0,IF(Inputs!$B$38="pvp",MIN(Skills!I7,15),Skills!I7)/Skills!H7,1)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IFERROR(1/IF(Inputs!$B$38="pvp",15,MAX(0.1,Skills!D7-IF(TRUE=TRUE,Inputs!$B$32,0))),0)</f>
        <v/>
      </c>
      <c r="R2058">
        <f>IF(AND(Inputs!$B$38&lt;&gt;"pvp",Inputs!$B$43&gt;0),IF(MAX(0,Inputs!$B$43-B2090)&lt;=0,0,(INT(MAX(0,Inputs!$B$43-B2090)/IF(Inputs!$B$38="pvp",15,MAX(0.1,Skills!D7-IF(TRUE=TRUE,Inputs!$B$32,0))))+1)),0)</f>
        <v/>
      </c>
      <c r="S2058">
        <f>IFERROR((H2058*N2058*IF(AND(Inputs!$B$38&lt;&gt;"pvp",Inputs!$B$43&gt;0),((Skills!G7*((R2058-1)*IF(Skills!H7&gt;0,Skills!I7/Skills!H7,1)+IF(Skills!H7&gt;0,MIN(Skills!I7,MAX(0,MAX(0,Inputs!$B$43-B2090)-((R2058-1)*IF(Inputs!$B$38="pvp",15,MAX(0.1,Skills!D7-IF(TRUE=TRUE,Inputs!$B$32,0))))))/Skills!H7,1)))/Inputs!$B$43),G2058*Q2058))/N2058*IF(Inputs!$B$38="pvp",1,(1-Summary!$B$11)*1+Summary!$B$11*(MIN(Skills!R7,Inputs!$B$37))),0)</f>
        <v/>
      </c>
      <c r="T2058">
        <f>IF(C2058,(H2058*N2058*IF(AND(Inputs!$B$38&lt;&gt;"pvp",Inputs!$B$43&gt;0),((Skills!G7*((R2058-1)*IF(Skills!H7&gt;0,Skills!I7/Skills!H7,1)+IF(Skills!H7&gt;0,MIN(Skills!I7,MAX(0,MAX(0,Inputs!$B$43-B2090)-((R2058-1)*IF(Inputs!$B$38="pvp",15,MAX(0.1,Skills!D7-IF(TRUE=TRUE,Inputs!$B$32,0)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2090)-((R2058-1)*IF(Inputs!$B$38="pvp",15,MAX(0.1,Skills!D7-IF(TRUE=TRUE,Inputs!$B$32,0))))))/Skills!H7,1)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Skills!G9*IF(Skills!H9&gt;0,IF(Inputs!$B$38="pvp",MIN(Skills!I9,15),Skills!I9)/Skills!H9,1)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IFERROR(1/IF(Inputs!$B$38="pvp",15,MAX(0.1,Skills!D9-IF(TRUE=TRUE,Inputs!$B$32,0))),0)</f>
        <v/>
      </c>
      <c r="R2060">
        <f>IF(AND(Inputs!$B$38&lt;&gt;"pvp",Inputs!$B$43&gt;0),IF(MAX(0,Inputs!$B$43-B2090)&lt;=0,0,(INT(MAX(0,Inputs!$B$43-B2090)/IF(Inputs!$B$38="pvp",15,MAX(0.1,Skills!D9-IF(TRUE=TRUE,Inputs!$B$32,0))))+1)),0)</f>
        <v/>
      </c>
      <c r="S2060">
        <f>IFERROR((H2060*N2060*IF(AND(Inputs!$B$38&lt;&gt;"pvp",Inputs!$B$43&gt;0),((Skills!G9*((R2060-1)*IF(Skills!H9&gt;0,Skills!I9/Skills!H9,1)+IF(Skills!H9&gt;0,MIN(Skills!I9,MAX(0,MAX(0,Inputs!$B$43-B2090)-((R2060-1)*IF(Inputs!$B$38="pvp",15,MAX(0.1,Skills!D9-IF(TRUE=TRUE,Inputs!$B$32,0))))))/Skills!H9,1)))/Inputs!$B$43),G2060*Q2060))/N2060*IF(Inputs!$B$38="pvp",1,(1-Summary!$B$11)*1+Summary!$B$11*(MIN(Skills!R9,Inputs!$B$37))),0)</f>
        <v/>
      </c>
      <c r="T2060">
        <f>IF(C2060,(H2060*N2060*IF(AND(Inputs!$B$38&lt;&gt;"pvp",Inputs!$B$43&gt;0),((Skills!G9*((R2060-1)*IF(Skills!H9&gt;0,Skills!I9/Skills!H9,1)+IF(Skills!H9&gt;0,MIN(Skills!I9,MAX(0,MAX(0,Inputs!$B$43-B2090)-((R2060-1)*IF(Inputs!$B$38="pvp",15,MAX(0.1,Skills!D9-IF(TRUE=TRUE,Inputs!$B$32,0)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2090)-((R2060-1)*IF(Inputs!$B$38="pvp",15,MAX(0.1,Skills!D9-IF(TRUE=TRUE,Inputs!$B$32,0))))))/Skills!H9,1)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Skills!G10*IF(Skills!H10&gt;0,IF(Inputs!$B$38="pvp",MIN(Skills!I10,15),Skills!I10)/Skills!H10,1)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Skills!G11*IF(Skills!H11&gt;0,IF(Inputs!$B$38="pvp",MIN(Skills!I11,15),Skills!I11)/Skills!H11,1)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IFERROR(1/IF(Inputs!$B$38="pvp",15,MAX(0.1,Skills!D11-IF(TRUE=TRUE,Inputs!$B$32,0))),0)</f>
        <v/>
      </c>
      <c r="R2062">
        <f>IF(AND(Inputs!$B$38&lt;&gt;"pvp",Inputs!$B$43&gt;0),IF(MAX(0,Inputs!$B$43-B2090)&lt;=0,0,(INT(MAX(0,Inputs!$B$43-B2090)/IF(Inputs!$B$38="pvp",15,MAX(0.1,Skills!D11-IF(TRUE=TRUE,Inputs!$B$32,0))))+1)),0)</f>
        <v/>
      </c>
      <c r="S2062">
        <f>IFERROR((H2062*N2062*IF(AND(Inputs!$B$38&lt;&gt;"pvp",Inputs!$B$43&gt;0),((Skills!G11*((R2062-1)*IF(Skills!H11&gt;0,Skills!I11/Skills!H11,1)+IF(Skills!H11&gt;0,MIN(Skills!I11,MAX(0,MAX(0,Inputs!$B$43-B2090)-((R2062-1)*IF(Inputs!$B$38="pvp",15,MAX(0.1,Skills!D11-IF(TRUE=TRUE,Inputs!$B$32,0))))))/Skills!H11,1)))/Inputs!$B$43),G2062*Q2062))/N2062*IF(Inputs!$B$38="pvp",1,(1-Summary!$B$11)*1+Summary!$B$11*(MIN(Skills!R11,Inputs!$B$37))),0)</f>
        <v/>
      </c>
      <c r="T2062">
        <f>IF(C2062,(H2062*N2062*IF(AND(Inputs!$B$38&lt;&gt;"pvp",Inputs!$B$43&gt;0),((Skills!G11*((R2062-1)*IF(Skills!H11&gt;0,Skills!I11/Skills!H11,1)+IF(Skills!H11&gt;0,MIN(Skills!I11,MAX(0,MAX(0,Inputs!$B$43-B2090)-((R2062-1)*IF(Inputs!$B$38="pvp",15,MAX(0.1,Skills!D11-IF(TRUE=TRUE,Inputs!$B$32,0)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Inputs!$B$38&lt;&gt;"pvp",Inputs!$B$43=0),1,IF(IF(Inputs!$B$38="pvp",15,Inputs!$B$43)-(B2090)&lt;=0,1,MAX(0,IF(Inputs!$B$38="pvp",15,Inputs!$B$43)-MAX(5,B2090))/(IF(Inputs!$B$38="pvp",15,Inputs!$B$43)-(B2090)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2090)-((R2062-1)*IF(Inputs!$B$38="pvp",15,MAX(0.1,Skills!D11-IF(TRUE=TRUE,Inputs!$B$32,0))))))/Skills!H11,1)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Skills!G12*IF(Skills!H12&gt;0,IF(Inputs!$B$38="pvp",MIN(Skills!I12,15),Skills!I12)/Skills!H12,1)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Skills!G13*IF(Skills!H13&gt;0,IF(Inputs!$B$38="pvp",MIN(Skills!I13,15),Skills!I13)/Skills!H13,1)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Skills!G14*IF(Skills!H14&gt;0,IF(Inputs!$B$38="pvp",MIN(Skills!I14,15),Skills!I14)/Skills!H14,1)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Skills!G15*IF(Skills!H15&gt;0,IF(Inputs!$B$38="pvp",MIN(Skills!I15,15),Skills!I15)/Skills!H15,1)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IFERROR(1/IF(Inputs!$B$38="pvp",15,MAX(0.1,Skills!D15-IF(TRUE=TRUE,Inputs!$B$32,0))),0)</f>
        <v/>
      </c>
      <c r="R2066">
        <f>IF(AND(Inputs!$B$38&lt;&gt;"pvp",Inputs!$B$43&gt;0),IF(Inputs!$B$43&lt;=0,0,(INT(Inputs!$B$43/IF(Inputs!$B$38="pvp",15,MAX(0.1,Skills!D15-IF(TRUE=TRUE,Inputs!$B$32,0))))+1)),0)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Skills!G16*IF(Skills!H16&gt;0,IF(Inputs!$B$38="pvp",MIN(Skills!I16,15),Skills!I16)/Skills!H16,1)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IFERROR(1/IF(Inputs!$B$38="pvp",15,MAX(0.1,Skills!D16-IF(TRUE=TRUE,Inputs!$B$32,0))),0)</f>
        <v/>
      </c>
      <c r="R2067">
        <f>IF(AND(Inputs!$B$38&lt;&gt;"pvp",Inputs!$B$43&gt;0),IF(Inputs!$B$43&lt;=0,0,(INT(Inputs!$B$43/IF(Inputs!$B$38="pvp",15,MAX(0.1,Skills!D16-IF(TRUE=TRUE,Inputs!$B$32,0))))+1)),0)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Skills!G17*IF(Skills!H17&gt;0,IF(Inputs!$B$38="pvp",MIN(Skills!I17,15),Skills!I17)/Skills!H17,1)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Skills!G18*IF(Skills!H18&gt;0,IF(Inputs!$B$38="pvp",MIN(Skills!I18,15),Skills!I18)/Skills!H18,1)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IFERROR(1/IF(Inputs!$B$38="pvp",15,MAX(0.1,Skills!D18-IF(TRUE=TRUE,Inputs!$B$32,0))),0)</f>
        <v/>
      </c>
      <c r="R2069">
        <f>IF(AND(Inputs!$B$38&lt;&gt;"pvp",Inputs!$B$43&gt;0),IF(Inputs!$B$43&lt;=0,0,(INT(Inputs!$B$43/IF(Inputs!$B$38="pvp",15,MAX(0.1,Skills!D18-IF(TRUE=TRUE,Inputs!$B$32,0))))+1)),0)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Skills!G19*IF(Skills!H19&gt;0,IF(Inputs!$B$38="pvp",MIN(Skills!I19,15),Skills!I19)/Skills!H19,1)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Skills!G20*IF(Skills!H20&gt;0,IF(Inputs!$B$38="pvp",MIN(Skills!I20,15),Skills!I20)/Skills!H20,1)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Skills!G21*IF(Skills!H21&gt;0,IF(Inputs!$B$38="pvp",MIN(Skills!I21,15),Skills!I21)/Skills!H21,1)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Skills!G22*IF(Skills!H22&gt;0,IF(Inputs!$B$38="pvp",MIN(Skills!I22,15),Skills!I22)/Skills!H22,1)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Skills!G23*IF(Skills!H23&gt;0,IF(Inputs!$B$38="pvp",MIN(Skills!I23,15),Skills!I23)/Skills!H23,1)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Skills!G24*IF(Skills!H24&gt;0,IF(Inputs!$B$38="pvp",MIN(Skills!I24,15),Skills!I24)/Skills!H24,1)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Skills!G25*IF(Skills!H25&gt;0,IF(Inputs!$B$38="pvp",MIN(Skills!I25,15),Skills!I25)/Skills!H25,1)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Skills!G26*IF(Skills!H26&gt;0,IF(Inputs!$B$38="pvp",MIN(Skills!I26,15),Skills!I26)/Skills!H26,1)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Skills!G27*IF(Skills!H27&gt;0,IF(Inputs!$B$38="pvp",MIN(Skills!I27,15),Skills!I27)/Skills!H27,1)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Skills!G28*IF(Skills!H28&gt;0,IF(Inputs!$B$38="pvp",MIN(Skills!I28,15),Skills!I28)/Skills!H28,1)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Skills!G29*IF(Skills!H29&gt;0,IF(Inputs!$B$38="pvp",MIN(Skills!I29,15),Skills!I29)/Skills!H29,1)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MIN((Skills!T15*(1+Inputs!$B$34/100)),(1/Q2066))+MIN((Skills!T15*(1+Inputs!$B$34/100)),MAX(0,Inputs!$B$43-((R2066-1)*(1/Q2066)))))/Inputs!$B$43),IF(Inputs!$B$38="pvp",MIN((Skills!T15*(1+Inputs!$B$34/100)),15)/15,MIN(1,(Skills!T15*(1+Inputs!$B$34/100))/(1/Q2066)))))+((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t="n">
        <v>0</v>
      </c>
    </row>
    <row r="2084">
      <c r="A2084" t="inlineStr">
        <is>
          <t>Attack Speed Buff Bonus %</t>
        </is>
      </c>
      <c r="B2084">
        <f>((C2069=TRUE)*F2069*IF(AND(Inputs!$B$38&lt;&gt;"pvp",Inputs!$B$43&gt;0),(((R2069-1)*MIN((Skills!T18*(1+Inputs!$B$34/100)),(1/Q2069))+MIN((Skills!T18*(1+Inputs!$B$34/100)),MAX(0,Inputs!$B$43-((R2069-1)*(1/Q2069)))))/Inputs!$B$43),IF(Inputs!$B$38="pvp",MIN((Skills!T18*(1+Inputs!$B$34/100)),15)/15,MIN(1,(Skills!T18*(1+Inputs!$B$34/100))/(1/Q2069)))))</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MIN((Skills!T16*(1+Inputs!$B$34/100)),(1/Q2067))+MIN((Skills!T16*(1+Inputs!$B$34/100)),MAX(0,Inputs!$B$43-((R2067-1)*(1/Q2067)))))/Inputs!$B$43),IF(Inputs!$B$38="pvp",MIN((Skills!T16*(1+Inputs!$B$34/100)),15)/15,MIN(1,(Skills!T16*(1+Inputs!$B$34/100))/(1/Q2067))))</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Skills!G2*IF(Skills!H2&gt;0,IF(Inputs!$B$38="pvp",MIN(Skills!I2,15),Skills!I2)/Skills!H2,1)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Skills!G5*IF(Skills!H5&gt;0,IF(Inputs!$B$38="pvp",MIN(Skills!I5,15),Skills!I5)/Skills!H5,1)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IFERROR(1/IF(Inputs!$B$38="pvp",15,MAX(0.1,Skills!D5-IF(TRUE=TRUE,Inputs!$B$32,0))),0)</f>
        <v/>
      </c>
      <c r="R2101">
        <f>IF(AND(Inputs!$B$38&lt;&gt;"pvp",Inputs!$B$43&gt;0),IF(MAX(0,Inputs!$B$43-B2135)&lt;=0,0,(INT(MAX(0,Inputs!$B$43-B2135)/IF(Inputs!$B$38="pvp",15,MAX(0.1,Skills!D5-IF(TRUE=TRUE,Inputs!$B$32,0))))+1)),0)</f>
        <v/>
      </c>
      <c r="S2101">
        <f>IFERROR((H2101*N2101*IF(AND(Inputs!$B$38&lt;&gt;"pvp",Inputs!$B$43&gt;0),((Skills!G5*((R2101-1)*IF(Skills!H5&gt;0,Skills!I5/Skills!H5,1)+IF(Skills!H5&gt;0,MIN(Skills!I5,MAX(0,MAX(0,Inputs!$B$43-B2135)-((R2101-1)*IF(Inputs!$B$38="pvp",15,MAX(0.1,Skills!D5-IF(TRUE=TRUE,Inputs!$B$32,0))))))/Skills!H5,1)))/Inputs!$B$43),G2101*Q2101))/N2101*IF(Inputs!$B$38="pvp",1,(1-Summary!$B$11)*1+Summary!$B$11*(MIN(Skills!R5,Inputs!$B$37))),0)</f>
        <v/>
      </c>
      <c r="T2101">
        <f>IF(C2101,(H2101*N2101*IF(AND(Inputs!$B$38&lt;&gt;"pvp",Inputs!$B$43&gt;0),((Skills!G5*((R2101-1)*IF(Skills!H5&gt;0,Skills!I5/Skills!H5,1)+IF(Skills!H5&gt;0,MIN(Skills!I5,MAX(0,MAX(0,Inputs!$B$43-B2135)-((R2101-1)*IF(Inputs!$B$38="pvp",15,MAX(0.1,Skills!D5-IF(TRUE=TRUE,Inputs!$B$32,0))))))/Skills!H5,1)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Skills!I5/Skills!H5,1)+IF(Skills!H5&gt;0,MIN(Skills!I5,MAX(0,MAX(0,Inputs!$B$43-B2135)-((R2101-1)*IF(Inputs!$B$38="pvp",15,MAX(0.1,Skills!D5-IF(TRUE=TRUE,Inputs!$B$32,0))))))/Skills!H5,1)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Skills!G6*IF(Skills!H6&gt;0,IF(Inputs!$B$38="pvp",MIN(Skills!I6,15),Skills!I6)/Skills!H6,1)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IFERROR(1/IF(Inputs!$B$38="pvp",15,MAX(0.1,Skills!D6-IF(TRUE=TRUE,Inputs!$B$32,0))),0)</f>
        <v/>
      </c>
      <c r="R2102">
        <f>IF(AND(Inputs!$B$38&lt;&gt;"pvp",Inputs!$B$43&gt;0),IF(MAX(0,Inputs!$B$43-B2135)&lt;=0,0,(INT(MAX(0,Inputs!$B$43-B2135)/IF(Inputs!$B$38="pvp",15,MAX(0.1,Skills!D6-IF(TRUE=TRUE,Inputs!$B$32,0))))+1)),0)</f>
        <v/>
      </c>
      <c r="S2102">
        <f>IFERROR((H2102*N2102*IF(AND(Inputs!$B$38&lt;&gt;"pvp",Inputs!$B$43&gt;0),((Skills!G6*((R2102-1)*IF(Skills!H6&gt;0,Skills!I6/Skills!H6,1)+IF(Skills!H6&gt;0,MIN(Skills!I6,MAX(0,MAX(0,Inputs!$B$43-B2135)-((R2102-1)*IF(Inputs!$B$38="pvp",15,MAX(0.1,Skills!D6-IF(TRUE=TRUE,Inputs!$B$32,0))))))/Skills!H6,1)))/Inputs!$B$43),G2102*Q2102))/N2102*IF(Inputs!$B$38="pvp",1,(1-Summary!$B$11)*1+Summary!$B$11*(MIN(Skills!R6,Inputs!$B$37))),0)</f>
        <v/>
      </c>
      <c r="T2102">
        <f>IF(C2102,(H2102*N2102*IF(AND(Inputs!$B$38&lt;&gt;"pvp",Inputs!$B$43&gt;0),((Skills!G6*((R2102-1)*IF(Skills!H6&gt;0,Skills!I6/Skills!H6,1)+IF(Skills!H6&gt;0,MIN(Skills!I6,MAX(0,MAX(0,Inputs!$B$43-B2135)-((R2102-1)*IF(Inputs!$B$38="pvp",15,MAX(0.1,Skills!D6-IF(TRUE=TRUE,Inputs!$B$32,0)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2135)-((R2102-1)*IF(Inputs!$B$38="pvp",15,MAX(0.1,Skills!D6-IF(TRUE=TRUE,Inputs!$B$32,0))))))/Skills!H6,1)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Skills!G7*IF(Skills!H7&gt;0,IF(Inputs!$B$38="pvp",MIN(Skills!I7,15),Skills!I7)/Skills!H7,1)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IFERROR(1/IF(Inputs!$B$38="pvp",15,MAX(0.1,Skills!D7-IF(TRUE=TRUE,Inputs!$B$32,0))),0)</f>
        <v/>
      </c>
      <c r="R2103">
        <f>IF(AND(Inputs!$B$38&lt;&gt;"pvp",Inputs!$B$43&gt;0),IF(MAX(0,Inputs!$B$43-B2135)&lt;=0,0,(INT(MAX(0,Inputs!$B$43-B2135)/IF(Inputs!$B$38="pvp",15,MAX(0.1,Skills!D7-IF(TRUE=TRUE,Inputs!$B$32,0))))+1)),0)</f>
        <v/>
      </c>
      <c r="S2103">
        <f>IFERROR((H2103*N2103*IF(AND(Inputs!$B$38&lt;&gt;"pvp",Inputs!$B$43&gt;0),((Skills!G7*((R2103-1)*IF(Skills!H7&gt;0,Skills!I7/Skills!H7,1)+IF(Skills!H7&gt;0,MIN(Skills!I7,MAX(0,MAX(0,Inputs!$B$43-B2135)-((R2103-1)*IF(Inputs!$B$38="pvp",15,MAX(0.1,Skills!D7-IF(TRUE=TRUE,Inputs!$B$32,0))))))/Skills!H7,1)))/Inputs!$B$43),G2103*Q2103))/N2103*IF(Inputs!$B$38="pvp",1,(1-Summary!$B$11)*1+Summary!$B$11*(MIN(Skills!R7,Inputs!$B$37))),0)</f>
        <v/>
      </c>
      <c r="T2103">
        <f>IF(C2103,(H2103*N2103*IF(AND(Inputs!$B$38&lt;&gt;"pvp",Inputs!$B$43&gt;0),((Skills!G7*((R2103-1)*IF(Skills!H7&gt;0,Skills!I7/Skills!H7,1)+IF(Skills!H7&gt;0,MIN(Skills!I7,MAX(0,MAX(0,Inputs!$B$43-B2135)-((R2103-1)*IF(Inputs!$B$38="pvp",15,MAX(0.1,Skills!D7-IF(TRUE=TRUE,Inputs!$B$32,0)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2135)-((R2103-1)*IF(Inputs!$B$38="pvp",15,MAX(0.1,Skills!D7-IF(TRUE=TRUE,Inputs!$B$32,0))))))/Skills!H7,1)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Skills!G9*IF(Skills!H9&gt;0,IF(Inputs!$B$38="pvp",MIN(Skills!I9,15),Skills!I9)/Skills!H9,1)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IFERROR(1/IF(Inputs!$B$38="pvp",15,MAX(0.1,Skills!D9-IF(TRUE=TRUE,Inputs!$B$32,0))),0)</f>
        <v/>
      </c>
      <c r="R2105">
        <f>IF(AND(Inputs!$B$38&lt;&gt;"pvp",Inputs!$B$43&gt;0),IF(MAX(0,Inputs!$B$43-B2135)&lt;=0,0,(INT(MAX(0,Inputs!$B$43-B2135)/IF(Inputs!$B$38="pvp",15,MAX(0.1,Skills!D9-IF(TRUE=TRUE,Inputs!$B$32,0))))+1)),0)</f>
        <v/>
      </c>
      <c r="S2105">
        <f>IFERROR((H2105*N2105*IF(AND(Inputs!$B$38&lt;&gt;"pvp",Inputs!$B$43&gt;0),((Skills!G9*((R2105-1)*IF(Skills!H9&gt;0,Skills!I9/Skills!H9,1)+IF(Skills!H9&gt;0,MIN(Skills!I9,MAX(0,MAX(0,Inputs!$B$43-B2135)-((R2105-1)*IF(Inputs!$B$38="pvp",15,MAX(0.1,Skills!D9-IF(TRUE=TRUE,Inputs!$B$32,0))))))/Skills!H9,1)))/Inputs!$B$43),G2105*Q2105))/N2105*IF(Inputs!$B$38="pvp",1,(1-Summary!$B$11)*1+Summary!$B$11*(MIN(Skills!R9,Inputs!$B$37))),0)</f>
        <v/>
      </c>
      <c r="T2105">
        <f>IF(C2105,(H2105*N2105*IF(AND(Inputs!$B$38&lt;&gt;"pvp",Inputs!$B$43&gt;0),((Skills!G9*((R2105-1)*IF(Skills!H9&gt;0,Skills!I9/Skills!H9,1)+IF(Skills!H9&gt;0,MIN(Skills!I9,MAX(0,MAX(0,Inputs!$B$43-B2135)-((R2105-1)*IF(Inputs!$B$38="pvp",15,MAX(0.1,Skills!D9-IF(TRUE=TRUE,Inputs!$B$32,0)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2135)-((R2105-1)*IF(Inputs!$B$38="pvp",15,MAX(0.1,Skills!D9-IF(TRUE=TRUE,Inputs!$B$32,0))))))/Skills!H9,1)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Skills!G10*IF(Skills!H10&gt;0,IF(Inputs!$B$38="pvp",MIN(Skills!I10,15),Skills!I10)/Skills!H10,1)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Skills!G11*IF(Skills!H11&gt;0,IF(Inputs!$B$38="pvp",MIN(Skills!I11,15),Skills!I11)/Skills!H11,1)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IFERROR(1/IF(Inputs!$B$38="pvp",15,MAX(0.1,Skills!D11-IF(TRUE=TRUE,Inputs!$B$32,0))),0)</f>
        <v/>
      </c>
      <c r="R2107">
        <f>IF(AND(Inputs!$B$38&lt;&gt;"pvp",Inputs!$B$43&gt;0),IF(MAX(0,Inputs!$B$43-B2135)&lt;=0,0,(INT(MAX(0,Inputs!$B$43-B2135)/IF(Inputs!$B$38="pvp",15,MAX(0.1,Skills!D11-IF(TRUE=TRUE,Inputs!$B$32,0))))+1)),0)</f>
        <v/>
      </c>
      <c r="S2107">
        <f>IFERROR((H2107*N2107*IF(AND(Inputs!$B$38&lt;&gt;"pvp",Inputs!$B$43&gt;0),((Skills!G11*((R2107-1)*IF(Skills!H11&gt;0,Skills!I11/Skills!H11,1)+IF(Skills!H11&gt;0,MIN(Skills!I11,MAX(0,MAX(0,Inputs!$B$43-B2135)-((R2107-1)*IF(Inputs!$B$38="pvp",15,MAX(0.1,Skills!D11-IF(TRUE=TRUE,Inputs!$B$32,0))))))/Skills!H11,1)))/Inputs!$B$43),G2107*Q2107))/N2107*IF(Inputs!$B$38="pvp",1,(1-Summary!$B$11)*1+Summary!$B$11*(MIN(Skills!R11,Inputs!$B$37))),0)</f>
        <v/>
      </c>
      <c r="T2107">
        <f>IF(C2107,(H2107*N2107*IF(AND(Inputs!$B$38&lt;&gt;"pvp",Inputs!$B$43&gt;0),((Skills!G11*((R2107-1)*IF(Skills!H11&gt;0,Skills!I11/Skills!H11,1)+IF(Skills!H11&gt;0,MIN(Skills!I11,MAX(0,MAX(0,Inputs!$B$43-B2135)-((R2107-1)*IF(Inputs!$B$38="pvp",15,MAX(0.1,Skills!D11-IF(TRUE=TRUE,Inputs!$B$32,0))))))/Skills!H11,1)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Inputs!$B$38&lt;&gt;"pvp",Inputs!$B$43=0),1,IF(IF(Inputs!$B$38="pvp",15,Inputs!$B$43)-(B2135)&lt;=0,1,MAX(0,IF(Inputs!$B$38="pvp",15,Inputs!$B$43)-MAX(5,B2135))/(IF(Inputs!$B$38="pvp",15,Inputs!$B$43)-(B2135))))*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Skills!I11/Skills!H11,1)+IF(Skills!H11&gt;0,MIN(Skills!I11,MAX(0,MAX(0,Inputs!$B$43-B2135)-((R2107-1)*IF(Inputs!$B$38="pvp",15,MAX(0.1,Skills!D11-IF(TRUE=TRUE,Inputs!$B$32,0))))))/Skills!H11,1)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Skills!G12*IF(Skills!H12&gt;0,IF(Inputs!$B$38="pvp",MIN(Skills!I12,15),Skills!I12)/Skills!H12,1)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Skills!G13*IF(Skills!H13&gt;0,IF(Inputs!$B$38="pvp",MIN(Skills!I13,15),Skills!I13)/Skills!H13,1)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Skills!G14*IF(Skills!H14&gt;0,IF(Inputs!$B$38="pvp",MIN(Skills!I14,15),Skills!I14)/Skills!H14,1)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Skills!G15*IF(Skills!H15&gt;0,IF(Inputs!$B$38="pvp",MIN(Skills!I15,15),Skills!I15)/Skills!H15,1)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IFERROR(1/IF(Inputs!$B$38="pvp",15,MAX(0.1,Skills!D15-IF(TRUE=TRUE,Inputs!$B$32,0))),0)</f>
        <v/>
      </c>
      <c r="R2111">
        <f>IF(AND(Inputs!$B$38&lt;&gt;"pvp",Inputs!$B$43&gt;0),IF(Inputs!$B$43&lt;=0,0,(INT(Inputs!$B$43/IF(Inputs!$B$38="pvp",15,MAX(0.1,Skills!D15-IF(TRUE=TRUE,Inputs!$B$32,0))))+1)),0)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Skills!G16*IF(Skills!H16&gt;0,IF(Inputs!$B$38="pvp",MIN(Skills!I16,15),Skills!I16)/Skills!H16,1)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IFERROR(1/IF(Inputs!$B$38="pvp",15,MAX(0.1,Skills!D16-IF(TRUE=TRUE,Inputs!$B$32,0))),0)</f>
        <v/>
      </c>
      <c r="R2112">
        <f>IF(AND(Inputs!$B$38&lt;&gt;"pvp",Inputs!$B$43&gt;0),IF(Inputs!$B$43&lt;=0,0,(INT(Inputs!$B$43/IF(Inputs!$B$38="pvp",15,MAX(0.1,Skills!D16-IF(TRUE=TRUE,Inputs!$B$32,0))))+1)),0)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Skills!G17*IF(Skills!H17&gt;0,IF(Inputs!$B$38="pvp",MIN(Skills!I17,15),Skills!I17)/Skills!H17,1)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Skills!G18*IF(Skills!H18&gt;0,IF(Inputs!$B$38="pvp",MIN(Skills!I18,15),Skills!I18)/Skills!H18,1)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IFERROR(1/IF(Inputs!$B$38="pvp",15,MAX(0.1,Skills!D18-IF(TRUE=TRUE,Inputs!$B$32,0))),0)</f>
        <v/>
      </c>
      <c r="R2114">
        <f>IF(AND(Inputs!$B$38&lt;&gt;"pvp",Inputs!$B$43&gt;0),IF(Inputs!$B$43&lt;=0,0,(INT(Inputs!$B$43/IF(Inputs!$B$38="pvp",15,MAX(0.1,Skills!D18-IF(TRUE=TRUE,Inputs!$B$32,0))))+1)),0)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Skills!G19*IF(Skills!H19&gt;0,IF(Inputs!$B$38="pvp",MIN(Skills!I19,15),Skills!I19)/Skills!H19,1)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Skills!G20*IF(Skills!H20&gt;0,IF(Inputs!$B$38="pvp",MIN(Skills!I20,15),Skills!I20)/Skills!H20,1)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Skills!G21*IF(Skills!H21&gt;0,IF(Inputs!$B$38="pvp",MIN(Skills!I21,15),Skills!I21)/Skills!H21,1)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Skills!G22*IF(Skills!H22&gt;0,IF(Inputs!$B$38="pvp",MIN(Skills!I22,15),Skills!I22)/Skills!H22,1)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Skills!G23*IF(Skills!H23&gt;0,IF(Inputs!$B$38="pvp",MIN(Skills!I23,15),Skills!I23)/Skills!H23,1)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Skills!G24*IF(Skills!H24&gt;0,IF(Inputs!$B$38="pvp",MIN(Skills!I24,15),Skills!I24)/Skills!H24,1)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Skills!G25*IF(Skills!H25&gt;0,IF(Inputs!$B$38="pvp",MIN(Skills!I25,15),Skills!I25)/Skills!H25,1)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Skills!G26*IF(Skills!H26&gt;0,IF(Inputs!$B$38="pvp",MIN(Skills!I26,15),Skills!I26)/Skills!H26,1)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Skills!G27*IF(Skills!H27&gt;0,IF(Inputs!$B$38="pvp",MIN(Skills!I27,15),Skills!I27)/Skills!H27,1)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Skills!G28*IF(Skills!H28&gt;0,IF(Inputs!$B$38="pvp",MIN(Skills!I28,15),Skills!I28)/Skills!H28,1)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Skills!G29*IF(Skills!H29&gt;0,IF(Inputs!$B$38="pvp",MIN(Skills!I29,15),Skills!I29)/Skills!H29,1)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MIN((Skills!T15*(1+Inputs!$B$34/100)),(1/Q2111))+MIN((Skills!T15*(1+Inputs!$B$34/100)),MAX(0,Inputs!$B$43-((R2111-1)*(1/Q2111)))))/Inputs!$B$43),IF(Inputs!$B$38="pvp",MIN((Skills!T15*(1+Inputs!$B$34/100)),15)/15,MIN(1,(Skills!T15*(1+Inputs!$B$34/100))/(1/Q2111)))))+((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t="n">
        <v>0</v>
      </c>
    </row>
    <row r="2129">
      <c r="A2129" t="inlineStr">
        <is>
          <t>Attack Speed Buff Bonus %</t>
        </is>
      </c>
      <c r="B2129">
        <f>((C2114=TRUE)*F2114*IF(AND(Inputs!$B$38&lt;&gt;"pvp",Inputs!$B$43&gt;0),(((R2114-1)*MIN((Skills!T18*(1+Inputs!$B$34/100)),(1/Q2114))+MIN((Skills!T18*(1+Inputs!$B$34/100)),MAX(0,Inputs!$B$43-((R2114-1)*(1/Q2114)))))/Inputs!$B$43),IF(Inputs!$B$38="pvp",MIN((Skills!T18*(1+Inputs!$B$34/100)),15)/15,MIN(1,(Skills!T18*(1+Inputs!$B$34/100))/(1/Q2114)))))</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MIN((Skills!T16*(1+Inputs!$B$34/100)),(1/Q2112))+MIN((Skills!T16*(1+Inputs!$B$34/100)),MAX(0,Inputs!$B$43-((R2112-1)*(1/Q2112)))))/Inputs!$B$43),IF(Inputs!$B$38="pvp",MIN((Skills!T16*(1+Inputs!$B$34/100)),15)/15,MIN(1,(Skills!T16*(1+Inputs!$B$34/100))/(1/Q2112))))</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Skills!G2*IF(Skills!H2&gt;0,IF(Inputs!$B$38="pvp",MIN(Skills!I2,15),Skills!I2)/Skills!H2,1)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Skills!G5*IF(Skills!H5&gt;0,IF(Inputs!$B$38="pvp",MIN(Skills!I5,15),Skills!I5)/Skills!H5,1)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IFERROR(1/IF(Inputs!$B$38="pvp",15,MAX(0.1,Skills!D5-IF(TRUE=TRUE,Inputs!$B$32,0))),0)</f>
        <v/>
      </c>
      <c r="R2146">
        <f>IF(AND(Inputs!$B$38&lt;&gt;"pvp",Inputs!$B$43&gt;0),IF(MAX(0,Inputs!$B$43-B2180)&lt;=0,0,(INT(MAX(0,Inputs!$B$43-B2180)/IF(Inputs!$B$38="pvp",15,MAX(0.1,Skills!D5-IF(TRUE=TRUE,Inputs!$B$32,0))))+1)),0)</f>
        <v/>
      </c>
      <c r="S2146">
        <f>IFERROR((H2146*N2146*IF(AND(Inputs!$B$38&lt;&gt;"pvp",Inputs!$B$43&gt;0),((Skills!G5*((R2146-1)*IF(Skills!H5&gt;0,Skills!I5/Skills!H5,1)+IF(Skills!H5&gt;0,MIN(Skills!I5,MAX(0,MAX(0,Inputs!$B$43-B2180)-((R2146-1)*IF(Inputs!$B$38="pvp",15,MAX(0.1,Skills!D5-IF(TRUE=TRUE,Inputs!$B$32,0))))))/Skills!H5,1)))/Inputs!$B$43),G2146*Q2146))/N2146*IF(Inputs!$B$38="pvp",1,(1-Summary!$B$11)*1+Summary!$B$11*(MIN(Skills!R5,Inputs!$B$37))),0)</f>
        <v/>
      </c>
      <c r="T2146">
        <f>IF(C2146,(H2146*N2146*IF(AND(Inputs!$B$38&lt;&gt;"pvp",Inputs!$B$43&gt;0),((Skills!G5*((R2146-1)*IF(Skills!H5&gt;0,Skills!I5/Skills!H5,1)+IF(Skills!H5&gt;0,MIN(Skills!I5,MAX(0,MAX(0,Inputs!$B$43-B2180)-((R2146-1)*IF(Inputs!$B$38="pvp",15,MAX(0.1,Skills!D5-IF(TRUE=TRUE,Inputs!$B$32,0)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2180)-((R2146-1)*IF(Inputs!$B$38="pvp",15,MAX(0.1,Skills!D5-IF(TRUE=TRUE,Inputs!$B$32,0))))))/Skills!H5,1)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Skills!G6*IF(Skills!H6&gt;0,IF(Inputs!$B$38="pvp",MIN(Skills!I6,15),Skills!I6)/Skills!H6,1)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IFERROR(1/IF(Inputs!$B$38="pvp",15,MAX(0.1,Skills!D6-IF(TRUE=TRUE,Inputs!$B$32,0))),0)</f>
        <v/>
      </c>
      <c r="R2147">
        <f>IF(AND(Inputs!$B$38&lt;&gt;"pvp",Inputs!$B$43&gt;0),IF(MAX(0,Inputs!$B$43-B2180)&lt;=0,0,(INT(MAX(0,Inputs!$B$43-B2180)/IF(Inputs!$B$38="pvp",15,MAX(0.1,Skills!D6-IF(TRUE=TRUE,Inputs!$B$32,0))))+1)),0)</f>
        <v/>
      </c>
      <c r="S2147">
        <f>IFERROR((H2147*N2147*IF(AND(Inputs!$B$38&lt;&gt;"pvp",Inputs!$B$43&gt;0),((Skills!G6*((R2147-1)*IF(Skills!H6&gt;0,Skills!I6/Skills!H6,1)+IF(Skills!H6&gt;0,MIN(Skills!I6,MAX(0,MAX(0,Inputs!$B$43-B2180)-((R2147-1)*IF(Inputs!$B$38="pvp",15,MAX(0.1,Skills!D6-IF(TRUE=TRUE,Inputs!$B$32,0))))))/Skills!H6,1)))/Inputs!$B$43),G2147*Q2147))/N2147*IF(Inputs!$B$38="pvp",1,(1-Summary!$B$11)*1+Summary!$B$11*(MIN(Skills!R6,Inputs!$B$37))),0)</f>
        <v/>
      </c>
      <c r="T2147">
        <f>IF(C2147,(H2147*N2147*IF(AND(Inputs!$B$38&lt;&gt;"pvp",Inputs!$B$43&gt;0),((Skills!G6*((R2147-1)*IF(Skills!H6&gt;0,Skills!I6/Skills!H6,1)+IF(Skills!H6&gt;0,MIN(Skills!I6,MAX(0,MAX(0,Inputs!$B$43-B2180)-((R2147-1)*IF(Inputs!$B$38="pvp",15,MAX(0.1,Skills!D6-IF(TRUE=TRUE,Inputs!$B$32,0)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2180)-((R2147-1)*IF(Inputs!$B$38="pvp",15,MAX(0.1,Skills!D6-IF(TRUE=TRUE,Inputs!$B$32,0))))))/Skills!H6,1)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Skills!G7*IF(Skills!H7&gt;0,IF(Inputs!$B$38="pvp",MIN(Skills!I7,15),Skills!I7)/Skills!H7,1)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IFERROR(1/IF(Inputs!$B$38="pvp",15,MAX(0.1,Skills!D7-IF(TRUE=TRUE,Inputs!$B$32,0))),0)</f>
        <v/>
      </c>
      <c r="R2148">
        <f>IF(AND(Inputs!$B$38&lt;&gt;"pvp",Inputs!$B$43&gt;0),IF(MAX(0,Inputs!$B$43-B2180)&lt;=0,0,(INT(MAX(0,Inputs!$B$43-B2180)/IF(Inputs!$B$38="pvp",15,MAX(0.1,Skills!D7-IF(TRUE=TRUE,Inputs!$B$32,0))))+1)),0)</f>
        <v/>
      </c>
      <c r="S2148">
        <f>IFERROR((H2148*N2148*IF(AND(Inputs!$B$38&lt;&gt;"pvp",Inputs!$B$43&gt;0),((Skills!G7*((R2148-1)*IF(Skills!H7&gt;0,Skills!I7/Skills!H7,1)+IF(Skills!H7&gt;0,MIN(Skills!I7,MAX(0,MAX(0,Inputs!$B$43-B2180)-((R2148-1)*IF(Inputs!$B$38="pvp",15,MAX(0.1,Skills!D7-IF(TRUE=TRUE,Inputs!$B$32,0))))))/Skills!H7,1)))/Inputs!$B$43),G2148*Q2148))/N2148*IF(Inputs!$B$38="pvp",1,(1-Summary!$B$11)*1+Summary!$B$11*(MIN(Skills!R7,Inputs!$B$37))),0)</f>
        <v/>
      </c>
      <c r="T2148">
        <f>IF(C2148,(H2148*N2148*IF(AND(Inputs!$B$38&lt;&gt;"pvp",Inputs!$B$43&gt;0),((Skills!G7*((R2148-1)*IF(Skills!H7&gt;0,Skills!I7/Skills!H7,1)+IF(Skills!H7&gt;0,MIN(Skills!I7,MAX(0,MAX(0,Inputs!$B$43-B2180)-((R2148-1)*IF(Inputs!$B$38="pvp",15,MAX(0.1,Skills!D7-IF(TRUE=TRUE,Inputs!$B$32,0)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2180)-((R2148-1)*IF(Inputs!$B$38="pvp",15,MAX(0.1,Skills!D7-IF(TRUE=TRUE,Inputs!$B$32,0))))))/Skills!H7,1)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Skills!G9*IF(Skills!H9&gt;0,IF(Inputs!$B$38="pvp",MIN(Skills!I9,15),Skills!I9)/Skills!H9,1)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IFERROR(1/IF(Inputs!$B$38="pvp",15,MAX(0.1,Skills!D9-IF(TRUE=TRUE,Inputs!$B$32,0))),0)</f>
        <v/>
      </c>
      <c r="R2150">
        <f>IF(AND(Inputs!$B$38&lt;&gt;"pvp",Inputs!$B$43&gt;0),IF(MAX(0,Inputs!$B$43-B2180)&lt;=0,0,(INT(MAX(0,Inputs!$B$43-B2180)/IF(Inputs!$B$38="pvp",15,MAX(0.1,Skills!D9-IF(TRUE=TRUE,Inputs!$B$32,0))))+1)),0)</f>
        <v/>
      </c>
      <c r="S2150">
        <f>IFERROR((H2150*N2150*IF(AND(Inputs!$B$38&lt;&gt;"pvp",Inputs!$B$43&gt;0),((Skills!G9*((R2150-1)*IF(Skills!H9&gt;0,Skills!I9/Skills!H9,1)+IF(Skills!H9&gt;0,MIN(Skills!I9,MAX(0,MAX(0,Inputs!$B$43-B2180)-((R2150-1)*IF(Inputs!$B$38="pvp",15,MAX(0.1,Skills!D9-IF(TRUE=TRUE,Inputs!$B$32,0))))))/Skills!H9,1)))/Inputs!$B$43),G2150*Q2150))/N2150*IF(Inputs!$B$38="pvp",1,(1-Summary!$B$11)*1+Summary!$B$11*(MIN(Skills!R9,Inputs!$B$37))),0)</f>
        <v/>
      </c>
      <c r="T2150">
        <f>IF(C2150,(H2150*N2150*IF(AND(Inputs!$B$38&lt;&gt;"pvp",Inputs!$B$43&gt;0),((Skills!G9*((R2150-1)*IF(Skills!H9&gt;0,Skills!I9/Skills!H9,1)+IF(Skills!H9&gt;0,MIN(Skills!I9,MAX(0,MAX(0,Inputs!$B$43-B2180)-((R2150-1)*IF(Inputs!$B$38="pvp",15,MAX(0.1,Skills!D9-IF(TRUE=TRUE,Inputs!$B$32,0)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2180)-((R2150-1)*IF(Inputs!$B$38="pvp",15,MAX(0.1,Skills!D9-IF(TRUE=TRUE,Inputs!$B$32,0))))))/Skills!H9,1)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Skills!G10*IF(Skills!H10&gt;0,IF(Inputs!$B$38="pvp",MIN(Skills!I10,15),Skills!I10)/Skills!H10,1)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Skills!G11*IF(Skills!H11&gt;0,IF(Inputs!$B$38="pvp",MIN(Skills!I11,15),Skills!I11)/Skills!H11,1)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IFERROR(1/IF(Inputs!$B$38="pvp",15,MAX(0.1,Skills!D11-IF(TRUE=TRUE,Inputs!$B$32,0))),0)</f>
        <v/>
      </c>
      <c r="R2152">
        <f>IF(AND(Inputs!$B$38&lt;&gt;"pvp",Inputs!$B$43&gt;0),IF(MAX(0,Inputs!$B$43-B2180)&lt;=0,0,(INT(MAX(0,Inputs!$B$43-B2180)/IF(Inputs!$B$38="pvp",15,MAX(0.1,Skills!D11-IF(TRUE=TRUE,Inputs!$B$32,0))))+1)),0)</f>
        <v/>
      </c>
      <c r="S2152">
        <f>IFERROR((H2152*N2152*IF(AND(Inputs!$B$38&lt;&gt;"pvp",Inputs!$B$43&gt;0),((Skills!G11*((R2152-1)*IF(Skills!H11&gt;0,Skills!I11/Skills!H11,1)+IF(Skills!H11&gt;0,MIN(Skills!I11,MAX(0,MAX(0,Inputs!$B$43-B2180)-((R2152-1)*IF(Inputs!$B$38="pvp",15,MAX(0.1,Skills!D11-IF(TRUE=TRUE,Inputs!$B$32,0))))))/Skills!H11,1)))/Inputs!$B$43),G2152*Q2152))/N2152*IF(Inputs!$B$38="pvp",1,(1-Summary!$B$11)*1+Summary!$B$11*(MIN(Skills!R11,Inputs!$B$37))),0)</f>
        <v/>
      </c>
      <c r="T2152">
        <f>IF(C2152,(H2152*N2152*IF(AND(Inputs!$B$38&lt;&gt;"pvp",Inputs!$B$43&gt;0),((Skills!G11*((R2152-1)*IF(Skills!H11&gt;0,Skills!I11/Skills!H11,1)+IF(Skills!H11&gt;0,MIN(Skills!I11,MAX(0,MAX(0,Inputs!$B$43-B2180)-((R2152-1)*IF(Inputs!$B$38="pvp",15,MAX(0.1,Skills!D11-IF(TRUE=TRUE,Inputs!$B$32,0)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Inputs!$B$38&lt;&gt;"pvp",Inputs!$B$43=0),1,IF(IF(Inputs!$B$38="pvp",15,Inputs!$B$43)-(B2180)&lt;=0,1,MAX(0,IF(Inputs!$B$38="pvp",15,Inputs!$B$43)-MAX(5,B2180))/(IF(Inputs!$B$38="pvp",15,Inputs!$B$43)-(B2180)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2180)-((R2152-1)*IF(Inputs!$B$38="pvp",15,MAX(0.1,Skills!D11-IF(TRUE=TRUE,Inputs!$B$32,0))))))/Skills!H11,1)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Skills!G12*IF(Skills!H12&gt;0,IF(Inputs!$B$38="pvp",MIN(Skills!I12,15),Skills!I12)/Skills!H12,1)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Skills!G13*IF(Skills!H13&gt;0,IF(Inputs!$B$38="pvp",MIN(Skills!I13,15),Skills!I13)/Skills!H13,1)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Skills!G14*IF(Skills!H14&gt;0,IF(Inputs!$B$38="pvp",MIN(Skills!I14,15),Skills!I14)/Skills!H14,1)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Skills!G15*IF(Skills!H15&gt;0,IF(Inputs!$B$38="pvp",MIN(Skills!I15,15),Skills!I15)/Skills!H15,1)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IFERROR(1/IF(Inputs!$B$38="pvp",15,MAX(0.1,Skills!D15-IF(TRUE=TRUE,Inputs!$B$32,0))),0)</f>
        <v/>
      </c>
      <c r="R2156">
        <f>IF(AND(Inputs!$B$38&lt;&gt;"pvp",Inputs!$B$43&gt;0),IF(Inputs!$B$43&lt;=0,0,(INT(Inputs!$B$43/IF(Inputs!$B$38="pvp",15,MAX(0.1,Skills!D15-IF(TRUE=TRUE,Inputs!$B$32,0))))+1)),0)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Skills!G16*IF(Skills!H16&gt;0,IF(Inputs!$B$38="pvp",MIN(Skills!I16,15),Skills!I16)/Skills!H16,1)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IFERROR(1/IF(Inputs!$B$38="pvp",15,MAX(0.1,Skills!D16-IF(TRUE=TRUE,Inputs!$B$32,0))),0)</f>
        <v/>
      </c>
      <c r="R2157">
        <f>IF(AND(Inputs!$B$38&lt;&gt;"pvp",Inputs!$B$43&gt;0),IF(Inputs!$B$43&lt;=0,0,(INT(Inputs!$B$43/IF(Inputs!$B$38="pvp",15,MAX(0.1,Skills!D16-IF(TRUE=TRUE,Inputs!$B$32,0))))+1)),0)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Skills!G17*IF(Skills!H17&gt;0,IF(Inputs!$B$38="pvp",MIN(Skills!I17,15),Skills!I17)/Skills!H17,1)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Skills!G18*IF(Skills!H18&gt;0,IF(Inputs!$B$38="pvp",MIN(Skills!I18,15),Skills!I18)/Skills!H18,1)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IFERROR(1/IF(Inputs!$B$38="pvp",15,MAX(0.1,Skills!D18-IF(TRUE=TRUE,Inputs!$B$32,0))),0)</f>
        <v/>
      </c>
      <c r="R2159">
        <f>IF(AND(Inputs!$B$38&lt;&gt;"pvp",Inputs!$B$43&gt;0),IF(Inputs!$B$43&lt;=0,0,(INT(Inputs!$B$43/IF(Inputs!$B$38="pvp",15,MAX(0.1,Skills!D18-IF(TRUE=TRUE,Inputs!$B$32,0))))+1)),0)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Skills!G19*IF(Skills!H19&gt;0,IF(Inputs!$B$38="pvp",MIN(Skills!I19,15),Skills!I19)/Skills!H19,1)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Skills!G20*IF(Skills!H20&gt;0,IF(Inputs!$B$38="pvp",MIN(Skills!I20,15),Skills!I20)/Skills!H20,1)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Skills!G21*IF(Skills!H21&gt;0,IF(Inputs!$B$38="pvp",MIN(Skills!I21,15),Skills!I21)/Skills!H21,1)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Skills!G22*IF(Skills!H22&gt;0,IF(Inputs!$B$38="pvp",MIN(Skills!I22,15),Skills!I22)/Skills!H22,1)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Skills!G23*IF(Skills!H23&gt;0,IF(Inputs!$B$38="pvp",MIN(Skills!I23,15),Skills!I23)/Skills!H23,1)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Skills!G24*IF(Skills!H24&gt;0,IF(Inputs!$B$38="pvp",MIN(Skills!I24,15),Skills!I24)/Skills!H24,1)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Skills!G25*IF(Skills!H25&gt;0,IF(Inputs!$B$38="pvp",MIN(Skills!I25,15),Skills!I25)/Skills!H25,1)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Skills!G26*IF(Skills!H26&gt;0,IF(Inputs!$B$38="pvp",MIN(Skills!I26,15),Skills!I26)/Skills!H26,1)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Skills!G27*IF(Skills!H27&gt;0,IF(Inputs!$B$38="pvp",MIN(Skills!I27,15),Skills!I27)/Skills!H27,1)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Skills!G28*IF(Skills!H28&gt;0,IF(Inputs!$B$38="pvp",MIN(Skills!I28,15),Skills!I28)/Skills!H28,1)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Skills!G29*IF(Skills!H29&gt;0,IF(Inputs!$B$38="pvp",MIN(Skills!I29,15),Skills!I29)/Skills!H29,1)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MIN((Skills!T15*(1+Inputs!$B$34/100)),(1/Q2156))+MIN((Skills!T15*(1+Inputs!$B$34/100)),MAX(0,Inputs!$B$43-((R2156-1)*(1/Q2156)))))/Inputs!$B$43),IF(Inputs!$B$38="pvp",MIN((Skills!T15*(1+Inputs!$B$34/100)),15)/15,MIN(1,(Skills!T15*(1+Inputs!$B$34/100))/(1/Q2156)))))+((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t="n">
        <v>0</v>
      </c>
    </row>
    <row r="2174">
      <c r="A2174" t="inlineStr">
        <is>
          <t>Attack Speed Buff Bonus %</t>
        </is>
      </c>
      <c r="B2174">
        <f>((C2159=TRUE)*F2159*IF(AND(Inputs!$B$38&lt;&gt;"pvp",Inputs!$B$43&gt;0),(((R2159-1)*MIN((Skills!T18*(1+Inputs!$B$34/100)),(1/Q2159))+MIN((Skills!T18*(1+Inputs!$B$34/100)),MAX(0,Inputs!$B$43-((R2159-1)*(1/Q2159)))))/Inputs!$B$43),IF(Inputs!$B$38="pvp",MIN((Skills!T18*(1+Inputs!$B$34/100)),15)/15,MIN(1,(Skills!T18*(1+Inputs!$B$34/100))/(1/Q2159)))))</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MIN((Skills!T16*(1+Inputs!$B$34/100)),(1/Q2157))+MIN((Skills!T16*(1+Inputs!$B$34/100)),MAX(0,Inputs!$B$43-((R2157-1)*(1/Q2157)))))/Inputs!$B$43),IF(Inputs!$B$38="pvp",MIN((Skills!T16*(1+Inputs!$B$34/100)),15)/15,MIN(1,(Skills!T16*(1+Inputs!$B$34/100))/(1/Q2157))))</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Skills!G2*IF(Skills!H2&gt;0,IF(Inputs!$B$38="pvp",MIN(Skills!I2,15),Skills!I2)/Skills!H2,1)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Skills!G5*IF(Skills!H5&gt;0,IF(Inputs!$B$38="pvp",MIN(Skills!I5,15),Skills!I5)/Skills!H5,1)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IFERROR(1/IF(Inputs!$B$38="pvp",15,MAX(0.1,Skills!D5-IF(TRUE=TRUE,Inputs!$B$32,0))),0)</f>
        <v/>
      </c>
      <c r="R2191">
        <f>IF(AND(Inputs!$B$38&lt;&gt;"pvp",Inputs!$B$43&gt;0),IF(MAX(0,Inputs!$B$43-B2225)&lt;=0,0,(INT(MAX(0,Inputs!$B$43-B2225)/IF(Inputs!$B$38="pvp",15,MAX(0.1,Skills!D5-IF(TRUE=TRUE,Inputs!$B$32,0))))+1)),0)</f>
        <v/>
      </c>
      <c r="S2191">
        <f>IFERROR((H2191*N2191*IF(AND(Inputs!$B$38&lt;&gt;"pvp",Inputs!$B$43&gt;0),((Skills!G5*((R2191-1)*IF(Skills!H5&gt;0,Skills!I5/Skills!H5,1)+IF(Skills!H5&gt;0,MIN(Skills!I5,MAX(0,MAX(0,Inputs!$B$43-B2225)-((R2191-1)*IF(Inputs!$B$38="pvp",15,MAX(0.1,Skills!D5-IF(TRUE=TRUE,Inputs!$B$32,0))))))/Skills!H5,1)))/Inputs!$B$43),G2191*Q2191))/N2191*IF(Inputs!$B$38="pvp",1,(1-Summary!$B$11)*1+Summary!$B$11*(MIN(Skills!R5,Inputs!$B$37))),0)</f>
        <v/>
      </c>
      <c r="T2191">
        <f>IF(C2191,(H2191*N2191*IF(AND(Inputs!$B$38&lt;&gt;"pvp",Inputs!$B$43&gt;0),((Skills!G5*((R2191-1)*IF(Skills!H5&gt;0,Skills!I5/Skills!H5,1)+IF(Skills!H5&gt;0,MIN(Skills!I5,MAX(0,MAX(0,Inputs!$B$43-B2225)-((R2191-1)*IF(Inputs!$B$38="pvp",15,MAX(0.1,Skills!D5-IF(TRUE=TRUE,Inputs!$B$32,0)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2225)-((R2191-1)*IF(Inputs!$B$38="pvp",15,MAX(0.1,Skills!D5-IF(TRUE=TRUE,Inputs!$B$32,0))))))/Skills!H5,1)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Skills!G6*IF(Skills!H6&gt;0,IF(Inputs!$B$38="pvp",MIN(Skills!I6,15),Skills!I6)/Skills!H6,1)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IFERROR(1/IF(Inputs!$B$38="pvp",15,MAX(0.1,Skills!D6-IF(TRUE=TRUE,Inputs!$B$32,0))),0)</f>
        <v/>
      </c>
      <c r="R2192">
        <f>IF(AND(Inputs!$B$38&lt;&gt;"pvp",Inputs!$B$43&gt;0),IF(MAX(0,Inputs!$B$43-B2225)&lt;=0,0,(INT(MAX(0,Inputs!$B$43-B2225)/IF(Inputs!$B$38="pvp",15,MAX(0.1,Skills!D6-IF(TRUE=TRUE,Inputs!$B$32,0))))+1)),0)</f>
        <v/>
      </c>
      <c r="S2192">
        <f>IFERROR((H2192*N2192*IF(AND(Inputs!$B$38&lt;&gt;"pvp",Inputs!$B$43&gt;0),((Skills!G6*((R2192-1)*IF(Skills!H6&gt;0,Skills!I6/Skills!H6,1)+IF(Skills!H6&gt;0,MIN(Skills!I6,MAX(0,MAX(0,Inputs!$B$43-B2225)-((R2192-1)*IF(Inputs!$B$38="pvp",15,MAX(0.1,Skills!D6-IF(TRUE=TRUE,Inputs!$B$32,0))))))/Skills!H6,1)))/Inputs!$B$43),G2192*Q2192))/N2192*IF(Inputs!$B$38="pvp",1,(1-Summary!$B$11)*1+Summary!$B$11*(MIN(Skills!R6,Inputs!$B$37))),0)</f>
        <v/>
      </c>
      <c r="T2192">
        <f>IF(C2192,(H2192*N2192*IF(AND(Inputs!$B$38&lt;&gt;"pvp",Inputs!$B$43&gt;0),((Skills!G6*((R2192-1)*IF(Skills!H6&gt;0,Skills!I6/Skills!H6,1)+IF(Skills!H6&gt;0,MIN(Skills!I6,MAX(0,MAX(0,Inputs!$B$43-B2225)-((R2192-1)*IF(Inputs!$B$38="pvp",15,MAX(0.1,Skills!D6-IF(TRUE=TRUE,Inputs!$B$32,0)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2225)-((R2192-1)*IF(Inputs!$B$38="pvp",15,MAX(0.1,Skills!D6-IF(TRUE=TRUE,Inputs!$B$32,0))))))/Skills!H6,1)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Skills!G7*IF(Skills!H7&gt;0,IF(Inputs!$B$38="pvp",MIN(Skills!I7,15),Skills!I7)/Skills!H7,1)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IFERROR(1/IF(Inputs!$B$38="pvp",15,MAX(0.1,Skills!D7-IF(TRUE=TRUE,Inputs!$B$32,0))),0)</f>
        <v/>
      </c>
      <c r="R2193">
        <f>IF(AND(Inputs!$B$38&lt;&gt;"pvp",Inputs!$B$43&gt;0),IF(MAX(0,Inputs!$B$43-B2225)&lt;=0,0,(INT(MAX(0,Inputs!$B$43-B2225)/IF(Inputs!$B$38="pvp",15,MAX(0.1,Skills!D7-IF(TRUE=TRUE,Inputs!$B$32,0))))+1)),0)</f>
        <v/>
      </c>
      <c r="S2193">
        <f>IFERROR((H2193*N2193*IF(AND(Inputs!$B$38&lt;&gt;"pvp",Inputs!$B$43&gt;0),((Skills!G7*((R2193-1)*IF(Skills!H7&gt;0,Skills!I7/Skills!H7,1)+IF(Skills!H7&gt;0,MIN(Skills!I7,MAX(0,MAX(0,Inputs!$B$43-B2225)-((R2193-1)*IF(Inputs!$B$38="pvp",15,MAX(0.1,Skills!D7-IF(TRUE=TRUE,Inputs!$B$32,0))))))/Skills!H7,1)))/Inputs!$B$43),G2193*Q2193))/N2193*IF(Inputs!$B$38="pvp",1,(1-Summary!$B$11)*1+Summary!$B$11*(MIN(Skills!R7,Inputs!$B$37))),0)</f>
        <v/>
      </c>
      <c r="T2193">
        <f>IF(C2193,(H2193*N2193*IF(AND(Inputs!$B$38&lt;&gt;"pvp",Inputs!$B$43&gt;0),((Skills!G7*((R2193-1)*IF(Skills!H7&gt;0,Skills!I7/Skills!H7,1)+IF(Skills!H7&gt;0,MIN(Skills!I7,MAX(0,MAX(0,Inputs!$B$43-B2225)-((R2193-1)*IF(Inputs!$B$38="pvp",15,MAX(0.1,Skills!D7-IF(TRUE=TRUE,Inputs!$B$32,0)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2225)-((R2193-1)*IF(Inputs!$B$38="pvp",15,MAX(0.1,Skills!D7-IF(TRUE=TRUE,Inputs!$B$32,0))))))/Skills!H7,1)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Skills!G9*IF(Skills!H9&gt;0,IF(Inputs!$B$38="pvp",MIN(Skills!I9,15),Skills!I9)/Skills!H9,1)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IFERROR(1/IF(Inputs!$B$38="pvp",15,MAX(0.1,Skills!D9-IF(TRUE=TRUE,Inputs!$B$32,0))),0)</f>
        <v/>
      </c>
      <c r="R2195">
        <f>IF(AND(Inputs!$B$38&lt;&gt;"pvp",Inputs!$B$43&gt;0),IF(MAX(0,Inputs!$B$43-B2225)&lt;=0,0,(INT(MAX(0,Inputs!$B$43-B2225)/IF(Inputs!$B$38="pvp",15,MAX(0.1,Skills!D9-IF(TRUE=TRUE,Inputs!$B$32,0))))+1)),0)</f>
        <v/>
      </c>
      <c r="S2195">
        <f>IFERROR((H2195*N2195*IF(AND(Inputs!$B$38&lt;&gt;"pvp",Inputs!$B$43&gt;0),((Skills!G9*((R2195-1)*IF(Skills!H9&gt;0,Skills!I9/Skills!H9,1)+IF(Skills!H9&gt;0,MIN(Skills!I9,MAX(0,MAX(0,Inputs!$B$43-B2225)-((R2195-1)*IF(Inputs!$B$38="pvp",15,MAX(0.1,Skills!D9-IF(TRUE=TRUE,Inputs!$B$32,0))))))/Skills!H9,1)))/Inputs!$B$43),G2195*Q2195))/N2195*IF(Inputs!$B$38="pvp",1,(1-Summary!$B$11)*1+Summary!$B$11*(MIN(Skills!R9,Inputs!$B$37))),0)</f>
        <v/>
      </c>
      <c r="T2195">
        <f>IF(C2195,(H2195*N2195*IF(AND(Inputs!$B$38&lt;&gt;"pvp",Inputs!$B$43&gt;0),((Skills!G9*((R2195-1)*IF(Skills!H9&gt;0,Skills!I9/Skills!H9,1)+IF(Skills!H9&gt;0,MIN(Skills!I9,MAX(0,MAX(0,Inputs!$B$43-B2225)-((R2195-1)*IF(Inputs!$B$38="pvp",15,MAX(0.1,Skills!D9-IF(TRUE=TRUE,Inputs!$B$32,0)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2225)-((R2195-1)*IF(Inputs!$B$38="pvp",15,MAX(0.1,Skills!D9-IF(TRUE=TRUE,Inputs!$B$32,0))))))/Skills!H9,1)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Skills!G10*IF(Skills!H10&gt;0,IF(Inputs!$B$38="pvp",MIN(Skills!I10,15),Skills!I10)/Skills!H10,1)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Skills!G11*IF(Skills!H11&gt;0,IF(Inputs!$B$38="pvp",MIN(Skills!I11,15),Skills!I11)/Skills!H11,1)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IFERROR(1/IF(Inputs!$B$38="pvp",15,MAX(0.1,Skills!D11-IF(TRUE=TRUE,Inputs!$B$32,0))),0)</f>
        <v/>
      </c>
      <c r="R2197">
        <f>IF(AND(Inputs!$B$38&lt;&gt;"pvp",Inputs!$B$43&gt;0),IF(MAX(0,Inputs!$B$43-B2225)&lt;=0,0,(INT(MAX(0,Inputs!$B$43-B2225)/IF(Inputs!$B$38="pvp",15,MAX(0.1,Skills!D11-IF(TRUE=TRUE,Inputs!$B$32,0))))+1)),0)</f>
        <v/>
      </c>
      <c r="S2197">
        <f>IFERROR((H2197*N2197*IF(AND(Inputs!$B$38&lt;&gt;"pvp",Inputs!$B$43&gt;0),((Skills!G11*((R2197-1)*IF(Skills!H11&gt;0,Skills!I11/Skills!H11,1)+IF(Skills!H11&gt;0,MIN(Skills!I11,MAX(0,MAX(0,Inputs!$B$43-B2225)-((R2197-1)*IF(Inputs!$B$38="pvp",15,MAX(0.1,Skills!D11-IF(TRUE=TRUE,Inputs!$B$32,0))))))/Skills!H11,1)))/Inputs!$B$43),G2197*Q2197))/N2197*IF(Inputs!$B$38="pvp",1,(1-Summary!$B$11)*1+Summary!$B$11*(MIN(Skills!R11,Inputs!$B$37))),0)</f>
        <v/>
      </c>
      <c r="T2197">
        <f>IF(C2197,(H2197*N2197*IF(AND(Inputs!$B$38&lt;&gt;"pvp",Inputs!$B$43&gt;0),((Skills!G11*((R2197-1)*IF(Skills!H11&gt;0,Skills!I11/Skills!H11,1)+IF(Skills!H11&gt;0,MIN(Skills!I11,MAX(0,MAX(0,Inputs!$B$43-B2225)-((R2197-1)*IF(Inputs!$B$38="pvp",15,MAX(0.1,Skills!D11-IF(TRUE=TRUE,Inputs!$B$32,0))))))/Skills!H11,1)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Inputs!$B$38&lt;&gt;"pvp",Inputs!$B$43=0),1,IF(IF(Inputs!$B$38="pvp",15,Inputs!$B$43)-(B2225)&lt;=0,1,MAX(0,IF(Inputs!$B$38="pvp",15,Inputs!$B$43)-MAX(5,B2225))/(IF(Inputs!$B$38="pvp",15,Inputs!$B$43)-(B2225))))*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Skills!I11/Skills!H11,1)+IF(Skills!H11&gt;0,MIN(Skills!I11,MAX(0,MAX(0,Inputs!$B$43-B2225)-((R2197-1)*IF(Inputs!$B$38="pvp",15,MAX(0.1,Skills!D11-IF(TRUE=TRUE,Inputs!$B$32,0))))))/Skills!H11,1)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Skills!G12*IF(Skills!H12&gt;0,IF(Inputs!$B$38="pvp",MIN(Skills!I12,15),Skills!I12)/Skills!H12,1)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Skills!G13*IF(Skills!H13&gt;0,IF(Inputs!$B$38="pvp",MIN(Skills!I13,15),Skills!I13)/Skills!H13,1)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Skills!G14*IF(Skills!H14&gt;0,IF(Inputs!$B$38="pvp",MIN(Skills!I14,15),Skills!I14)/Skills!H14,1)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Skills!G15*IF(Skills!H15&gt;0,IF(Inputs!$B$38="pvp",MIN(Skills!I15,15),Skills!I15)/Skills!H15,1)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IFERROR(1/IF(Inputs!$B$38="pvp",15,MAX(0.1,Skills!D15-IF(TRUE=TRUE,Inputs!$B$32,0))),0)</f>
        <v/>
      </c>
      <c r="R2201">
        <f>IF(AND(Inputs!$B$38&lt;&gt;"pvp",Inputs!$B$43&gt;0),IF(Inputs!$B$43&lt;=0,0,(INT(Inputs!$B$43/IF(Inputs!$B$38="pvp",15,MAX(0.1,Skills!D15-IF(TRUE=TRUE,Inputs!$B$32,0))))+1)),0)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Skills!G16*IF(Skills!H16&gt;0,IF(Inputs!$B$38="pvp",MIN(Skills!I16,15),Skills!I16)/Skills!H16,1)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IFERROR(1/IF(Inputs!$B$38="pvp",15,MAX(0.1,Skills!D16-IF(TRUE=TRUE,Inputs!$B$32,0))),0)</f>
        <v/>
      </c>
      <c r="R2202">
        <f>IF(AND(Inputs!$B$38&lt;&gt;"pvp",Inputs!$B$43&gt;0),IF(Inputs!$B$43&lt;=0,0,(INT(Inputs!$B$43/IF(Inputs!$B$38="pvp",15,MAX(0.1,Skills!D16-IF(TRUE=TRUE,Inputs!$B$32,0))))+1)),0)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Skills!G17*IF(Skills!H17&gt;0,IF(Inputs!$B$38="pvp",MIN(Skills!I17,15),Skills!I17)/Skills!H17,1)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Skills!G18*IF(Skills!H18&gt;0,IF(Inputs!$B$38="pvp",MIN(Skills!I18,15),Skills!I18)/Skills!H18,1)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IFERROR(1/IF(Inputs!$B$38="pvp",15,MAX(0.1,Skills!D18-IF(TRUE=TRUE,Inputs!$B$32,0))),0)</f>
        <v/>
      </c>
      <c r="R2204">
        <f>IF(AND(Inputs!$B$38&lt;&gt;"pvp",Inputs!$B$43&gt;0),IF(Inputs!$B$43&lt;=0,0,(INT(Inputs!$B$43/IF(Inputs!$B$38="pvp",15,MAX(0.1,Skills!D18-IF(TRUE=TRUE,Inputs!$B$32,0))))+1)),0)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Skills!G19*IF(Skills!H19&gt;0,IF(Inputs!$B$38="pvp",MIN(Skills!I19,15),Skills!I19)/Skills!H19,1)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Skills!G20*IF(Skills!H20&gt;0,IF(Inputs!$B$38="pvp",MIN(Skills!I20,15),Skills!I20)/Skills!H20,1)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Skills!G21*IF(Skills!H21&gt;0,IF(Inputs!$B$38="pvp",MIN(Skills!I21,15),Skills!I21)/Skills!H21,1)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Skills!G22*IF(Skills!H22&gt;0,IF(Inputs!$B$38="pvp",MIN(Skills!I22,15),Skills!I22)/Skills!H22,1)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Skills!G23*IF(Skills!H23&gt;0,IF(Inputs!$B$38="pvp",MIN(Skills!I23,15),Skills!I23)/Skills!H23,1)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Skills!G24*IF(Skills!H24&gt;0,IF(Inputs!$B$38="pvp",MIN(Skills!I24,15),Skills!I24)/Skills!H24,1)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Skills!G25*IF(Skills!H25&gt;0,IF(Inputs!$B$38="pvp",MIN(Skills!I25,15),Skills!I25)/Skills!H25,1)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Skills!G26*IF(Skills!H26&gt;0,IF(Inputs!$B$38="pvp",MIN(Skills!I26,15),Skills!I26)/Skills!H26,1)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Skills!G27*IF(Skills!H27&gt;0,IF(Inputs!$B$38="pvp",MIN(Skills!I27,15),Skills!I27)/Skills!H27,1)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Skills!G28*IF(Skills!H28&gt;0,IF(Inputs!$B$38="pvp",MIN(Skills!I28,15),Skills!I28)/Skills!H28,1)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Skills!G29*IF(Skills!H29&gt;0,IF(Inputs!$B$38="pvp",MIN(Skills!I29,15),Skills!I29)/Skills!H29,1)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MIN((Skills!T15*(1+Inputs!$B$34/100)),(1/Q2201))+MIN((Skills!T15*(1+Inputs!$B$34/100)),MAX(0,Inputs!$B$43-((R2201-1)*(1/Q2201)))))/Inputs!$B$43),IF(Inputs!$B$38="pvp",MIN((Skills!T15*(1+Inputs!$B$34/100)),15)/15,MIN(1,(Skills!T15*(1+Inputs!$B$34/100))/(1/Q2201)))))+((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2204=TRUE)*F2204*IF(AND(Inputs!$B$38&lt;&gt;"pvp",Inputs!$B$43&gt;0),(((R2204-1)*MIN((Skills!T18*(1+Inputs!$B$34/100)),(1/Q2204))+MIN((Skills!T18*(1+Inputs!$B$34/100)),MAX(0,Inputs!$B$43-((R2204-1)*(1/Q2204)))))/Inputs!$B$43),IF(Inputs!$B$38="pvp",MIN((Skills!T18*(1+Inputs!$B$34/100)),15)/15,MIN(1,(Skills!T18*(1+Inputs!$B$34/100))/(1/Q2204)))))</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MIN((Skills!T16*(1+Inputs!$B$34/100)),(1/Q2202))+MIN((Skills!T16*(1+Inputs!$B$34/100)),MAX(0,Inputs!$B$43-((R2202-1)*(1/Q2202)))))/Inputs!$B$43),IF(Inputs!$B$38="pvp",MIN((Skills!T16*(1+Inputs!$B$34/100)),15)/15,MIN(1,(Skills!T16*(1+Inputs!$B$34/100))/(1/Q2202))))</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Skills!G2*IF(Skills!H2&gt;0,IF(Inputs!$B$38="pvp",MIN(Skills!I2,15),Skills!I2)/Skills!H2,1)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Skills!G5*IF(Skills!H5&gt;0,IF(Inputs!$B$38="pvp",MIN(Skills!I5,15),Skills!I5)/Skills!H5,1)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IFERROR(1/IF(Inputs!$B$38="pvp",15,MAX(0.1,Skills!D5-IF(TRUE=TRUE,Inputs!$B$32,0))),0)</f>
        <v/>
      </c>
      <c r="R2236">
        <f>IF(AND(Inputs!$B$38&lt;&gt;"pvp",Inputs!$B$43&gt;0),IF(MAX(0,Inputs!$B$43-B2270)&lt;=0,0,(INT(MAX(0,Inputs!$B$43-B2270)/IF(Inputs!$B$38="pvp",15,MAX(0.1,Skills!D5-IF(TRUE=TRUE,Inputs!$B$32,0))))+1)),0)</f>
        <v/>
      </c>
      <c r="S2236">
        <f>IFERROR((H2236*N2236*IF(AND(Inputs!$B$38&lt;&gt;"pvp",Inputs!$B$43&gt;0),((Skills!G5*((R2236-1)*IF(Skills!H5&gt;0,Skills!I5/Skills!H5,1)+IF(Skills!H5&gt;0,MIN(Skills!I5,MAX(0,MAX(0,Inputs!$B$43-B2270)-((R2236-1)*IF(Inputs!$B$38="pvp",15,MAX(0.1,Skills!D5-IF(TRUE=TRUE,Inputs!$B$32,0))))))/Skills!H5,1)))/Inputs!$B$43),G2236*Q2236))/N2236*IF(Inputs!$B$38="pvp",1,(1-Summary!$B$11)*1+Summary!$B$11*(MIN(Skills!R5,Inputs!$B$37))),0)</f>
        <v/>
      </c>
      <c r="T2236">
        <f>IF(C2236,(H2236*N2236*IF(AND(Inputs!$B$38&lt;&gt;"pvp",Inputs!$B$43&gt;0),((Skills!G5*((R2236-1)*IF(Skills!H5&gt;0,Skills!I5/Skills!H5,1)+IF(Skills!H5&gt;0,MIN(Skills!I5,MAX(0,MAX(0,Inputs!$B$43-B2270)-((R2236-1)*IF(Inputs!$B$38="pvp",15,MAX(0.1,Skills!D5-IF(TRUE=TRUE,Inputs!$B$32,0)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2270)-((R2236-1)*IF(Inputs!$B$38="pvp",15,MAX(0.1,Skills!D5-IF(TRUE=TRUE,Inputs!$B$32,0))))))/Skills!H5,1)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Skills!G6*IF(Skills!H6&gt;0,IF(Inputs!$B$38="pvp",MIN(Skills!I6,15),Skills!I6)/Skills!H6,1)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IFERROR(1/IF(Inputs!$B$38="pvp",15,MAX(0.1,Skills!D6-IF(TRUE=TRUE,Inputs!$B$32,0))),0)</f>
        <v/>
      </c>
      <c r="R2237">
        <f>IF(AND(Inputs!$B$38&lt;&gt;"pvp",Inputs!$B$43&gt;0),IF(MAX(0,Inputs!$B$43-B2270)&lt;=0,0,(INT(MAX(0,Inputs!$B$43-B2270)/IF(Inputs!$B$38="pvp",15,MAX(0.1,Skills!D6-IF(TRUE=TRUE,Inputs!$B$32,0))))+1)),0)</f>
        <v/>
      </c>
      <c r="S2237">
        <f>IFERROR((H2237*N2237*IF(AND(Inputs!$B$38&lt;&gt;"pvp",Inputs!$B$43&gt;0),((Skills!G6*((R2237-1)*IF(Skills!H6&gt;0,Skills!I6/Skills!H6,1)+IF(Skills!H6&gt;0,MIN(Skills!I6,MAX(0,MAX(0,Inputs!$B$43-B2270)-((R2237-1)*IF(Inputs!$B$38="pvp",15,MAX(0.1,Skills!D6-IF(TRUE=TRUE,Inputs!$B$32,0))))))/Skills!H6,1)))/Inputs!$B$43),G2237*Q2237))/N2237*IF(Inputs!$B$38="pvp",1,(1-Summary!$B$11)*1+Summary!$B$11*(MIN(Skills!R6,Inputs!$B$37))),0)</f>
        <v/>
      </c>
      <c r="T2237">
        <f>IF(C2237,(H2237*N2237*IF(AND(Inputs!$B$38&lt;&gt;"pvp",Inputs!$B$43&gt;0),((Skills!G6*((R2237-1)*IF(Skills!H6&gt;0,Skills!I6/Skills!H6,1)+IF(Skills!H6&gt;0,MIN(Skills!I6,MAX(0,MAX(0,Inputs!$B$43-B2270)-((R2237-1)*IF(Inputs!$B$38="pvp",15,MAX(0.1,Skills!D6-IF(TRUE=TRUE,Inputs!$B$32,0)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2270)-((R2237-1)*IF(Inputs!$B$38="pvp",15,MAX(0.1,Skills!D6-IF(TRUE=TRUE,Inputs!$B$32,0))))))/Skills!H6,1)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Skills!G7*IF(Skills!H7&gt;0,IF(Inputs!$B$38="pvp",MIN(Skills!I7,15),Skills!I7)/Skills!H7,1)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IFERROR(1/IF(Inputs!$B$38="pvp",15,MAX(0.1,Skills!D7-IF(TRUE=TRUE,Inputs!$B$32,0))),0)</f>
        <v/>
      </c>
      <c r="R2238">
        <f>IF(AND(Inputs!$B$38&lt;&gt;"pvp",Inputs!$B$43&gt;0),IF(MAX(0,Inputs!$B$43-B2270)&lt;=0,0,(INT(MAX(0,Inputs!$B$43-B2270)/IF(Inputs!$B$38="pvp",15,MAX(0.1,Skills!D7-IF(TRUE=TRUE,Inputs!$B$32,0))))+1)),0)</f>
        <v/>
      </c>
      <c r="S2238">
        <f>IFERROR((H2238*N2238*IF(AND(Inputs!$B$38&lt;&gt;"pvp",Inputs!$B$43&gt;0),((Skills!G7*((R2238-1)*IF(Skills!H7&gt;0,Skills!I7/Skills!H7,1)+IF(Skills!H7&gt;0,MIN(Skills!I7,MAX(0,MAX(0,Inputs!$B$43-B2270)-((R2238-1)*IF(Inputs!$B$38="pvp",15,MAX(0.1,Skills!D7-IF(TRUE=TRUE,Inputs!$B$32,0))))))/Skills!H7,1)))/Inputs!$B$43),G2238*Q2238))/N2238*IF(Inputs!$B$38="pvp",1,(1-Summary!$B$11)*1+Summary!$B$11*(MIN(Skills!R7,Inputs!$B$37))),0)</f>
        <v/>
      </c>
      <c r="T2238">
        <f>IF(C2238,(H2238*N2238*IF(AND(Inputs!$B$38&lt;&gt;"pvp",Inputs!$B$43&gt;0),((Skills!G7*((R2238-1)*IF(Skills!H7&gt;0,Skills!I7/Skills!H7,1)+IF(Skills!H7&gt;0,MIN(Skills!I7,MAX(0,MAX(0,Inputs!$B$43-B2270)-((R2238-1)*IF(Inputs!$B$38="pvp",15,MAX(0.1,Skills!D7-IF(TRUE=TRUE,Inputs!$B$32,0)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2270)-((R2238-1)*IF(Inputs!$B$38="pvp",15,MAX(0.1,Skills!D7-IF(TRUE=TRUE,Inputs!$B$32,0))))))/Skills!H7,1)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Skills!G9*IF(Skills!H9&gt;0,IF(Inputs!$B$38="pvp",MIN(Skills!I9,15),Skills!I9)/Skills!H9,1)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IFERROR(1/IF(Inputs!$B$38="pvp",15,MAX(0.1,Skills!D9-IF(TRUE=TRUE,Inputs!$B$32,0))),0)</f>
        <v/>
      </c>
      <c r="R2240">
        <f>IF(AND(Inputs!$B$38&lt;&gt;"pvp",Inputs!$B$43&gt;0),IF(MAX(0,Inputs!$B$43-B2270)&lt;=0,0,(INT(MAX(0,Inputs!$B$43-B2270)/IF(Inputs!$B$38="pvp",15,MAX(0.1,Skills!D9-IF(TRUE=TRUE,Inputs!$B$32,0))))+1)),0)</f>
        <v/>
      </c>
      <c r="S2240">
        <f>IFERROR((H2240*N2240*IF(AND(Inputs!$B$38&lt;&gt;"pvp",Inputs!$B$43&gt;0),((Skills!G9*((R2240-1)*IF(Skills!H9&gt;0,Skills!I9/Skills!H9,1)+IF(Skills!H9&gt;0,MIN(Skills!I9,MAX(0,MAX(0,Inputs!$B$43-B2270)-((R2240-1)*IF(Inputs!$B$38="pvp",15,MAX(0.1,Skills!D9-IF(TRUE=TRUE,Inputs!$B$32,0))))))/Skills!H9,1)))/Inputs!$B$43),G2240*Q2240))/N2240*IF(Inputs!$B$38="pvp",1,(1-Summary!$B$11)*1+Summary!$B$11*(MIN(Skills!R9,Inputs!$B$37))),0)</f>
        <v/>
      </c>
      <c r="T2240">
        <f>IF(C2240,(H2240*N2240*IF(AND(Inputs!$B$38&lt;&gt;"pvp",Inputs!$B$43&gt;0),((Skills!G9*((R2240-1)*IF(Skills!H9&gt;0,Skills!I9/Skills!H9,1)+IF(Skills!H9&gt;0,MIN(Skills!I9,MAX(0,MAX(0,Inputs!$B$43-B2270)-((R2240-1)*IF(Inputs!$B$38="pvp",15,MAX(0.1,Skills!D9-IF(TRUE=TRUE,Inputs!$B$32,0)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2270)-((R2240-1)*IF(Inputs!$B$38="pvp",15,MAX(0.1,Skills!D9-IF(TRUE=TRUE,Inputs!$B$32,0))))))/Skills!H9,1)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Skills!G10*IF(Skills!H10&gt;0,IF(Inputs!$B$38="pvp",MIN(Skills!I10,15),Skills!I10)/Skills!H10,1)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Skills!G11*IF(Skills!H11&gt;0,IF(Inputs!$B$38="pvp",MIN(Skills!I11,15),Skills!I11)/Skills!H11,1)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IFERROR(1/IF(Inputs!$B$38="pvp",15,MAX(0.1,Skills!D11-IF(TRUE=TRUE,Inputs!$B$32,0))),0)</f>
        <v/>
      </c>
      <c r="R2242">
        <f>IF(AND(Inputs!$B$38&lt;&gt;"pvp",Inputs!$B$43&gt;0),IF(MAX(0,Inputs!$B$43-B2270)&lt;=0,0,(INT(MAX(0,Inputs!$B$43-B2270)/IF(Inputs!$B$38="pvp",15,MAX(0.1,Skills!D11-IF(TRUE=TRUE,Inputs!$B$32,0))))+1)),0)</f>
        <v/>
      </c>
      <c r="S2242">
        <f>IFERROR((H2242*N2242*IF(AND(Inputs!$B$38&lt;&gt;"pvp",Inputs!$B$43&gt;0),((Skills!G11*((R2242-1)*IF(Skills!H11&gt;0,Skills!I11/Skills!H11,1)+IF(Skills!H11&gt;0,MIN(Skills!I11,MAX(0,MAX(0,Inputs!$B$43-B2270)-((R2242-1)*IF(Inputs!$B$38="pvp",15,MAX(0.1,Skills!D11-IF(TRUE=TRUE,Inputs!$B$32,0))))))/Skills!H11,1)))/Inputs!$B$43),G2242*Q2242))/N2242*IF(Inputs!$B$38="pvp",1,(1-Summary!$B$11)*1+Summary!$B$11*(MIN(Skills!R11,Inputs!$B$37))),0)</f>
        <v/>
      </c>
      <c r="T2242">
        <f>IF(C2242,(H2242*N2242*IF(AND(Inputs!$B$38&lt;&gt;"pvp",Inputs!$B$43&gt;0),((Skills!G11*((R2242-1)*IF(Skills!H11&gt;0,Skills!I11/Skills!H11,1)+IF(Skills!H11&gt;0,MIN(Skills!I11,MAX(0,MAX(0,Inputs!$B$43-B2270)-((R2242-1)*IF(Inputs!$B$38="pvp",15,MAX(0.1,Skills!D11-IF(TRUE=TRUE,Inputs!$B$32,0)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Inputs!$B$38&lt;&gt;"pvp",Inputs!$B$43=0),1,IF(IF(Inputs!$B$38="pvp",15,Inputs!$B$43)-(B2270)&lt;=0,1,MAX(0,IF(Inputs!$B$38="pvp",15,Inputs!$B$43)-MAX(5,B2270))/(IF(Inputs!$B$38="pvp",15,Inputs!$B$43)-(B2270)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2270)-((R2242-1)*IF(Inputs!$B$38="pvp",15,MAX(0.1,Skills!D11-IF(TRUE=TRUE,Inputs!$B$32,0))))))/Skills!H11,1)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Skills!G12*IF(Skills!H12&gt;0,IF(Inputs!$B$38="pvp",MIN(Skills!I12,15),Skills!I12)/Skills!H12,1)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Skills!G13*IF(Skills!H13&gt;0,IF(Inputs!$B$38="pvp",MIN(Skills!I13,15),Skills!I13)/Skills!H13,1)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Skills!G14*IF(Skills!H14&gt;0,IF(Inputs!$B$38="pvp",MIN(Skills!I14,15),Skills!I14)/Skills!H14,1)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Skills!G15*IF(Skills!H15&gt;0,IF(Inputs!$B$38="pvp",MIN(Skills!I15,15),Skills!I15)/Skills!H15,1)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IFERROR(1/IF(Inputs!$B$38="pvp",15,MAX(0.1,Skills!D15-IF(TRUE=TRUE,Inputs!$B$32,0))),0)</f>
        <v/>
      </c>
      <c r="R2246">
        <f>IF(AND(Inputs!$B$38&lt;&gt;"pvp",Inputs!$B$43&gt;0),IF(Inputs!$B$43&lt;=0,0,(INT(Inputs!$B$43/IF(Inputs!$B$38="pvp",15,MAX(0.1,Skills!D15-IF(TRUE=TRUE,Inputs!$B$32,0))))+1)),0)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Skills!G16*IF(Skills!H16&gt;0,IF(Inputs!$B$38="pvp",MIN(Skills!I16,15),Skills!I16)/Skills!H16,1)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IFERROR(1/IF(Inputs!$B$38="pvp",15,MAX(0.1,Skills!D16-IF(TRUE=TRUE,Inputs!$B$32,0))),0)</f>
        <v/>
      </c>
      <c r="R2247">
        <f>IF(AND(Inputs!$B$38&lt;&gt;"pvp",Inputs!$B$43&gt;0),IF(Inputs!$B$43&lt;=0,0,(INT(Inputs!$B$43/IF(Inputs!$B$38="pvp",15,MAX(0.1,Skills!D16-IF(TRUE=TRUE,Inputs!$B$32,0))))+1)),0)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Skills!G17*IF(Skills!H17&gt;0,IF(Inputs!$B$38="pvp",MIN(Skills!I17,15),Skills!I17)/Skills!H17,1)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Skills!G18*IF(Skills!H18&gt;0,IF(Inputs!$B$38="pvp",MIN(Skills!I18,15),Skills!I18)/Skills!H18,1)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IFERROR(1/IF(Inputs!$B$38="pvp",15,MAX(0.1,Skills!D18-IF(TRUE=TRUE,Inputs!$B$32,0))),0)</f>
        <v/>
      </c>
      <c r="R2249">
        <f>IF(AND(Inputs!$B$38&lt;&gt;"pvp",Inputs!$B$43&gt;0),IF(Inputs!$B$43&lt;=0,0,(INT(Inputs!$B$43/IF(Inputs!$B$38="pvp",15,MAX(0.1,Skills!D18-IF(TRUE=TRUE,Inputs!$B$32,0))))+1)),0)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Skills!G19*IF(Skills!H19&gt;0,IF(Inputs!$B$38="pvp",MIN(Skills!I19,15),Skills!I19)/Skills!H19,1)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Skills!G20*IF(Skills!H20&gt;0,IF(Inputs!$B$38="pvp",MIN(Skills!I20,15),Skills!I20)/Skills!H20,1)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Skills!G21*IF(Skills!H21&gt;0,IF(Inputs!$B$38="pvp",MIN(Skills!I21,15),Skills!I21)/Skills!H21,1)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Skills!G22*IF(Skills!H22&gt;0,IF(Inputs!$B$38="pvp",MIN(Skills!I22,15),Skills!I22)/Skills!H22,1)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Skills!G23*IF(Skills!H23&gt;0,IF(Inputs!$B$38="pvp",MIN(Skills!I23,15),Skills!I23)/Skills!H23,1)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Skills!G24*IF(Skills!H24&gt;0,IF(Inputs!$B$38="pvp",MIN(Skills!I24,15),Skills!I24)/Skills!H24,1)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Skills!G25*IF(Skills!H25&gt;0,IF(Inputs!$B$38="pvp",MIN(Skills!I25,15),Skills!I25)/Skills!H25,1)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Skills!G26*IF(Skills!H26&gt;0,IF(Inputs!$B$38="pvp",MIN(Skills!I26,15),Skills!I26)/Skills!H26,1)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Skills!G27*IF(Skills!H27&gt;0,IF(Inputs!$B$38="pvp",MIN(Skills!I27,15),Skills!I27)/Skills!H27,1)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Skills!G28*IF(Skills!H28&gt;0,IF(Inputs!$B$38="pvp",MIN(Skills!I28,15),Skills!I28)/Skills!H28,1)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Skills!G29*IF(Skills!H29&gt;0,IF(Inputs!$B$38="pvp",MIN(Skills!I29,15),Skills!I29)/Skills!H29,1)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MIN((Skills!T15*(1+Inputs!$B$34/100)),(1/Q2246))+MIN((Skills!T15*(1+Inputs!$B$34/100)),MAX(0,Inputs!$B$43-((R2246-1)*(1/Q2246)))))/Inputs!$B$43),IF(Inputs!$B$38="pvp",MIN((Skills!T15*(1+Inputs!$B$34/100)),15)/15,MIN(1,(Skills!T15*(1+Inputs!$B$34/100))/(1/Q2246)))))+((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t="n">
        <v>0</v>
      </c>
    </row>
    <row r="2264">
      <c r="A2264" t="inlineStr">
        <is>
          <t>Attack Speed Buff Bonus %</t>
        </is>
      </c>
      <c r="B2264">
        <f>((C2249=TRUE)*F2249*IF(AND(Inputs!$B$38&lt;&gt;"pvp",Inputs!$B$43&gt;0),(((R2249-1)*MIN((Skills!T18*(1+Inputs!$B$34/100)),(1/Q2249))+MIN((Skills!T18*(1+Inputs!$B$34/100)),MAX(0,Inputs!$B$43-((R2249-1)*(1/Q2249)))))/Inputs!$B$43),IF(Inputs!$B$38="pvp",MIN((Skills!T18*(1+Inputs!$B$34/100)),15)/15,MIN(1,(Skills!T18*(1+Inputs!$B$34/100))/(1/Q2249)))))</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MIN((Skills!T16*(1+Inputs!$B$34/100)),(1/Q2247))+MIN((Skills!T16*(1+Inputs!$B$34/100)),MAX(0,Inputs!$B$43-((R2247-1)*(1/Q2247)))))/Inputs!$B$43),IF(Inputs!$B$38="pvp",MIN((Skills!T16*(1+Inputs!$B$34/100)),15)/15,MIN(1,(Skills!T16*(1+Inputs!$B$34/100))/(1/Q2247))))</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Skills!G2*IF(Skills!H2&gt;0,IF(Inputs!$B$38="pvp",MIN(Skills!I2,15),Skills!I2)/Skills!H2,1)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Skills!G5*IF(Skills!H5&gt;0,IF(Inputs!$B$38="pvp",MIN(Skills!I5,15),Skills!I5)/Skills!H5,1)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IFERROR(1/IF(Inputs!$B$38="pvp",15,MAX(0.1,Skills!D5-IF(TRUE=TRUE,Inputs!$B$32,0))),0)</f>
        <v/>
      </c>
      <c r="R2281">
        <f>IF(AND(Inputs!$B$38&lt;&gt;"pvp",Inputs!$B$43&gt;0),IF(MAX(0,Inputs!$B$43-B2315)&lt;=0,0,(INT(MAX(0,Inputs!$B$43-B2315)/IF(Inputs!$B$38="pvp",15,MAX(0.1,Skills!D5-IF(TRUE=TRUE,Inputs!$B$32,0))))+1)),0)</f>
        <v/>
      </c>
      <c r="S2281">
        <f>IFERROR((H2281*N2281*IF(AND(Inputs!$B$38&lt;&gt;"pvp",Inputs!$B$43&gt;0),((Skills!G5*((R2281-1)*IF(Skills!H5&gt;0,Skills!I5/Skills!H5,1)+IF(Skills!H5&gt;0,MIN(Skills!I5,MAX(0,MAX(0,Inputs!$B$43-B2315)-((R2281-1)*IF(Inputs!$B$38="pvp",15,MAX(0.1,Skills!D5-IF(TRUE=TRUE,Inputs!$B$32,0))))))/Skills!H5,1)))/Inputs!$B$43),G2281*Q2281))/N2281*IF(Inputs!$B$38="pvp",1,(1-Summary!$B$11)*1+Summary!$B$11*(MIN(Skills!R5,Inputs!$B$37))),0)</f>
        <v/>
      </c>
      <c r="T2281">
        <f>IF(C2281,(H2281*N2281*IF(AND(Inputs!$B$38&lt;&gt;"pvp",Inputs!$B$43&gt;0),((Skills!G5*((R2281-1)*IF(Skills!H5&gt;0,Skills!I5/Skills!H5,1)+IF(Skills!H5&gt;0,MIN(Skills!I5,MAX(0,MAX(0,Inputs!$B$43-B2315)-((R2281-1)*IF(Inputs!$B$38="pvp",15,MAX(0.1,Skills!D5-IF(TRUE=TRUE,Inputs!$B$32,0))))))/Skills!H5,1)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Skills!I5/Skills!H5,1)+IF(Skills!H5&gt;0,MIN(Skills!I5,MAX(0,MAX(0,Inputs!$B$43-B2315)-((R2281-1)*IF(Inputs!$B$38="pvp",15,MAX(0.1,Skills!D5-IF(TRUE=TRUE,Inputs!$B$32,0))))))/Skills!H5,1)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Skills!G6*IF(Skills!H6&gt;0,IF(Inputs!$B$38="pvp",MIN(Skills!I6,15),Skills!I6)/Skills!H6,1)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IFERROR(1/IF(Inputs!$B$38="pvp",15,MAX(0.1,Skills!D6-IF(TRUE=TRUE,Inputs!$B$32,0))),0)</f>
        <v/>
      </c>
      <c r="R2282">
        <f>IF(AND(Inputs!$B$38&lt;&gt;"pvp",Inputs!$B$43&gt;0),IF(MAX(0,Inputs!$B$43-B2315)&lt;=0,0,(INT(MAX(0,Inputs!$B$43-B2315)/IF(Inputs!$B$38="pvp",15,MAX(0.1,Skills!D6-IF(TRUE=TRUE,Inputs!$B$32,0))))+1)),0)</f>
        <v/>
      </c>
      <c r="S2282">
        <f>IFERROR((H2282*N2282*IF(AND(Inputs!$B$38&lt;&gt;"pvp",Inputs!$B$43&gt;0),((Skills!G6*((R2282-1)*IF(Skills!H6&gt;0,Skills!I6/Skills!H6,1)+IF(Skills!H6&gt;0,MIN(Skills!I6,MAX(0,MAX(0,Inputs!$B$43-B2315)-((R2282-1)*IF(Inputs!$B$38="pvp",15,MAX(0.1,Skills!D6-IF(TRUE=TRUE,Inputs!$B$32,0))))))/Skills!H6,1)))/Inputs!$B$43),G2282*Q2282))/N2282*IF(Inputs!$B$38="pvp",1,(1-Summary!$B$11)*1+Summary!$B$11*(MIN(Skills!R6,Inputs!$B$37))),0)</f>
        <v/>
      </c>
      <c r="T2282">
        <f>IF(C2282,(H2282*N2282*IF(AND(Inputs!$B$38&lt;&gt;"pvp",Inputs!$B$43&gt;0),((Skills!G6*((R2282-1)*IF(Skills!H6&gt;0,Skills!I6/Skills!H6,1)+IF(Skills!H6&gt;0,MIN(Skills!I6,MAX(0,MAX(0,Inputs!$B$43-B2315)-((R2282-1)*IF(Inputs!$B$38="pvp",15,MAX(0.1,Skills!D6-IF(TRUE=TRUE,Inputs!$B$32,0)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2315)-((R2282-1)*IF(Inputs!$B$38="pvp",15,MAX(0.1,Skills!D6-IF(TRUE=TRUE,Inputs!$B$32,0))))))/Skills!H6,1)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Skills!G7*IF(Skills!H7&gt;0,IF(Inputs!$B$38="pvp",MIN(Skills!I7,15),Skills!I7)/Skills!H7,1)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IFERROR(1/IF(Inputs!$B$38="pvp",15,MAX(0.1,Skills!D7-IF(TRUE=TRUE,Inputs!$B$32,0))),0)</f>
        <v/>
      </c>
      <c r="R2283">
        <f>IF(AND(Inputs!$B$38&lt;&gt;"pvp",Inputs!$B$43&gt;0),IF(MAX(0,Inputs!$B$43-B2315)&lt;=0,0,(INT(MAX(0,Inputs!$B$43-B2315)/IF(Inputs!$B$38="pvp",15,MAX(0.1,Skills!D7-IF(TRUE=TRUE,Inputs!$B$32,0))))+1)),0)</f>
        <v/>
      </c>
      <c r="S2283">
        <f>IFERROR((H2283*N2283*IF(AND(Inputs!$B$38&lt;&gt;"pvp",Inputs!$B$43&gt;0),((Skills!G7*((R2283-1)*IF(Skills!H7&gt;0,Skills!I7/Skills!H7,1)+IF(Skills!H7&gt;0,MIN(Skills!I7,MAX(0,MAX(0,Inputs!$B$43-B2315)-((R2283-1)*IF(Inputs!$B$38="pvp",15,MAX(0.1,Skills!D7-IF(TRUE=TRUE,Inputs!$B$32,0))))))/Skills!H7,1)))/Inputs!$B$43),G2283*Q2283))/N2283*IF(Inputs!$B$38="pvp",1,(1-Summary!$B$11)*1+Summary!$B$11*(MIN(Skills!R7,Inputs!$B$37))),0)</f>
        <v/>
      </c>
      <c r="T2283">
        <f>IF(C2283,(H2283*N2283*IF(AND(Inputs!$B$38&lt;&gt;"pvp",Inputs!$B$43&gt;0),((Skills!G7*((R2283-1)*IF(Skills!H7&gt;0,Skills!I7/Skills!H7,1)+IF(Skills!H7&gt;0,MIN(Skills!I7,MAX(0,MAX(0,Inputs!$B$43-B2315)-((R2283-1)*IF(Inputs!$B$38="pvp",15,MAX(0.1,Skills!D7-IF(TRUE=TRUE,Inputs!$B$32,0)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2315)-((R2283-1)*IF(Inputs!$B$38="pvp",15,MAX(0.1,Skills!D7-IF(TRUE=TRUE,Inputs!$B$32,0))))))/Skills!H7,1)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Skills!G9*IF(Skills!H9&gt;0,IF(Inputs!$B$38="pvp",MIN(Skills!I9,15),Skills!I9)/Skills!H9,1)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IFERROR(1/IF(Inputs!$B$38="pvp",15,MAX(0.1,Skills!D9-IF(TRUE=TRUE,Inputs!$B$32,0))),0)</f>
        <v/>
      </c>
      <c r="R2285">
        <f>IF(AND(Inputs!$B$38&lt;&gt;"pvp",Inputs!$B$43&gt;0),IF(MAX(0,Inputs!$B$43-B2315)&lt;=0,0,(INT(MAX(0,Inputs!$B$43-B2315)/IF(Inputs!$B$38="pvp",15,MAX(0.1,Skills!D9-IF(TRUE=TRUE,Inputs!$B$32,0))))+1)),0)</f>
        <v/>
      </c>
      <c r="S2285">
        <f>IFERROR((H2285*N2285*IF(AND(Inputs!$B$38&lt;&gt;"pvp",Inputs!$B$43&gt;0),((Skills!G9*((R2285-1)*IF(Skills!H9&gt;0,Skills!I9/Skills!H9,1)+IF(Skills!H9&gt;0,MIN(Skills!I9,MAX(0,MAX(0,Inputs!$B$43-B2315)-((R2285-1)*IF(Inputs!$B$38="pvp",15,MAX(0.1,Skills!D9-IF(TRUE=TRUE,Inputs!$B$32,0))))))/Skills!H9,1)))/Inputs!$B$43),G2285*Q2285))/N2285*IF(Inputs!$B$38="pvp",1,(1-Summary!$B$11)*1+Summary!$B$11*(MIN(Skills!R9,Inputs!$B$37))),0)</f>
        <v/>
      </c>
      <c r="T2285">
        <f>IF(C2285,(H2285*N2285*IF(AND(Inputs!$B$38&lt;&gt;"pvp",Inputs!$B$43&gt;0),((Skills!G9*((R2285-1)*IF(Skills!H9&gt;0,Skills!I9/Skills!H9,1)+IF(Skills!H9&gt;0,MIN(Skills!I9,MAX(0,MAX(0,Inputs!$B$43-B2315)-((R2285-1)*IF(Inputs!$B$38="pvp",15,MAX(0.1,Skills!D9-IF(TRUE=TRUE,Inputs!$B$32,0)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2315)-((R2285-1)*IF(Inputs!$B$38="pvp",15,MAX(0.1,Skills!D9-IF(TRUE=TRUE,Inputs!$B$32,0))))))/Skills!H9,1)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Skills!G10*IF(Skills!H10&gt;0,IF(Inputs!$B$38="pvp",MIN(Skills!I10,15),Skills!I10)/Skills!H10,1)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Skills!G11*IF(Skills!H11&gt;0,IF(Inputs!$B$38="pvp",MIN(Skills!I11,15),Skills!I11)/Skills!H11,1)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IFERROR(1/IF(Inputs!$B$38="pvp",15,MAX(0.1,Skills!D11-IF(TRUE=TRUE,Inputs!$B$32,0))),0)</f>
        <v/>
      </c>
      <c r="R2287">
        <f>IF(AND(Inputs!$B$38&lt;&gt;"pvp",Inputs!$B$43&gt;0),IF(MAX(0,Inputs!$B$43-B2315)&lt;=0,0,(INT(MAX(0,Inputs!$B$43-B2315)/IF(Inputs!$B$38="pvp",15,MAX(0.1,Skills!D11-IF(TRUE=TRUE,Inputs!$B$32,0))))+1)),0)</f>
        <v/>
      </c>
      <c r="S2287">
        <f>IFERROR((H2287*N2287*IF(AND(Inputs!$B$38&lt;&gt;"pvp",Inputs!$B$43&gt;0),((Skills!G11*((R2287-1)*IF(Skills!H11&gt;0,Skills!I11/Skills!H11,1)+IF(Skills!H11&gt;0,MIN(Skills!I11,MAX(0,MAX(0,Inputs!$B$43-B2315)-((R2287-1)*IF(Inputs!$B$38="pvp",15,MAX(0.1,Skills!D11-IF(TRUE=TRUE,Inputs!$B$32,0))))))/Skills!H11,1)))/Inputs!$B$43),G2287*Q2287))/N2287*IF(Inputs!$B$38="pvp",1,(1-Summary!$B$11)*1+Summary!$B$11*(MIN(Skills!R11,Inputs!$B$37))),0)</f>
        <v/>
      </c>
      <c r="T2287">
        <f>IF(C2287,(H2287*N2287*IF(AND(Inputs!$B$38&lt;&gt;"pvp",Inputs!$B$43&gt;0),((Skills!G11*((R2287-1)*IF(Skills!H11&gt;0,Skills!I11/Skills!H11,1)+IF(Skills!H11&gt;0,MIN(Skills!I11,MAX(0,MAX(0,Inputs!$B$43-B2315)-((R2287-1)*IF(Inputs!$B$38="pvp",15,MAX(0.1,Skills!D11-IF(TRUE=TRUE,Inputs!$B$32,0))))))/Skills!H11,1)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Inputs!$B$38&lt;&gt;"pvp",Inputs!$B$43=0),1,IF(IF(Inputs!$B$38="pvp",15,Inputs!$B$43)-(B2315)&lt;=0,1,MAX(0,IF(Inputs!$B$38="pvp",15,Inputs!$B$43)-MAX(5,B2315))/(IF(Inputs!$B$38="pvp",15,Inputs!$B$43)-(B2315))))*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Skills!I11/Skills!H11,1)+IF(Skills!H11&gt;0,MIN(Skills!I11,MAX(0,MAX(0,Inputs!$B$43-B2315)-((R2287-1)*IF(Inputs!$B$38="pvp",15,MAX(0.1,Skills!D11-IF(TRUE=TRUE,Inputs!$B$32,0))))))/Skills!H11,1)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Skills!G12*IF(Skills!H12&gt;0,IF(Inputs!$B$38="pvp",MIN(Skills!I12,15),Skills!I12)/Skills!H12,1)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Skills!G13*IF(Skills!H13&gt;0,IF(Inputs!$B$38="pvp",MIN(Skills!I13,15),Skills!I13)/Skills!H13,1)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Skills!G14*IF(Skills!H14&gt;0,IF(Inputs!$B$38="pvp",MIN(Skills!I14,15),Skills!I14)/Skills!H14,1)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Skills!G15*IF(Skills!H15&gt;0,IF(Inputs!$B$38="pvp",MIN(Skills!I15,15),Skills!I15)/Skills!H15,1)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IFERROR(1/IF(Inputs!$B$38="pvp",15,MAX(0.1,Skills!D15-IF(TRUE=TRUE,Inputs!$B$32,0))),0)</f>
        <v/>
      </c>
      <c r="R2291">
        <f>IF(AND(Inputs!$B$38&lt;&gt;"pvp",Inputs!$B$43&gt;0),IF(Inputs!$B$43&lt;=0,0,(INT(Inputs!$B$43/IF(Inputs!$B$38="pvp",15,MAX(0.1,Skills!D15-IF(TRUE=TRUE,Inputs!$B$32,0))))+1)),0)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Skills!G16*IF(Skills!H16&gt;0,IF(Inputs!$B$38="pvp",MIN(Skills!I16,15),Skills!I16)/Skills!H16,1)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IFERROR(1/IF(Inputs!$B$38="pvp",15,MAX(0.1,Skills!D16-IF(TRUE=TRUE,Inputs!$B$32,0))),0)</f>
        <v/>
      </c>
      <c r="R2292">
        <f>IF(AND(Inputs!$B$38&lt;&gt;"pvp",Inputs!$B$43&gt;0),IF(Inputs!$B$43&lt;=0,0,(INT(Inputs!$B$43/IF(Inputs!$B$38="pvp",15,MAX(0.1,Skills!D16-IF(TRUE=TRUE,Inputs!$B$32,0))))+1)),0)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Skills!G17*IF(Skills!H17&gt;0,IF(Inputs!$B$38="pvp",MIN(Skills!I17,15),Skills!I17)/Skills!H17,1)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Skills!G18*IF(Skills!H18&gt;0,IF(Inputs!$B$38="pvp",MIN(Skills!I18,15),Skills!I18)/Skills!H18,1)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IFERROR(1/IF(Inputs!$B$38="pvp",15,MAX(0.1,Skills!D18-IF(TRUE=TRUE,Inputs!$B$32,0))),0)</f>
        <v/>
      </c>
      <c r="R2294">
        <f>IF(AND(Inputs!$B$38&lt;&gt;"pvp",Inputs!$B$43&gt;0),IF(Inputs!$B$43&lt;=0,0,(INT(Inputs!$B$43/IF(Inputs!$B$38="pvp",15,MAX(0.1,Skills!D18-IF(TRUE=TRUE,Inputs!$B$32,0))))+1)),0)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Skills!G19*IF(Skills!H19&gt;0,IF(Inputs!$B$38="pvp",MIN(Skills!I19,15),Skills!I19)/Skills!H19,1)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Skills!G20*IF(Skills!H20&gt;0,IF(Inputs!$B$38="pvp",MIN(Skills!I20,15),Skills!I20)/Skills!H20,1)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Skills!G21*IF(Skills!H21&gt;0,IF(Inputs!$B$38="pvp",MIN(Skills!I21,15),Skills!I21)/Skills!H21,1)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Skills!G22*IF(Skills!H22&gt;0,IF(Inputs!$B$38="pvp",MIN(Skills!I22,15),Skills!I22)/Skills!H22,1)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Skills!G23*IF(Skills!H23&gt;0,IF(Inputs!$B$38="pvp",MIN(Skills!I23,15),Skills!I23)/Skills!H23,1)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Skills!G24*IF(Skills!H24&gt;0,IF(Inputs!$B$38="pvp",MIN(Skills!I24,15),Skills!I24)/Skills!H24,1)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Skills!G25*IF(Skills!H25&gt;0,IF(Inputs!$B$38="pvp",MIN(Skills!I25,15),Skills!I25)/Skills!H25,1)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Skills!G26*IF(Skills!H26&gt;0,IF(Inputs!$B$38="pvp",MIN(Skills!I26,15),Skills!I26)/Skills!H26,1)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Skills!G27*IF(Skills!H27&gt;0,IF(Inputs!$B$38="pvp",MIN(Skills!I27,15),Skills!I27)/Skills!H27,1)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Skills!G28*IF(Skills!H28&gt;0,IF(Inputs!$B$38="pvp",MIN(Skills!I28,15),Skills!I28)/Skills!H28,1)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Skills!G29*IF(Skills!H29&gt;0,IF(Inputs!$B$38="pvp",MIN(Skills!I29,15),Skills!I29)/Skills!H29,1)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MIN((Skills!T15*(1+Inputs!$B$34/100)),(1/Q2291))+MIN((Skills!T15*(1+Inputs!$B$34/100)),MAX(0,Inputs!$B$43-((R2291-1)*(1/Q2291)))))/Inputs!$B$43),IF(Inputs!$B$38="pvp",MIN((Skills!T15*(1+Inputs!$B$34/100)),15)/15,MIN(1,(Skills!T15*(1+Inputs!$B$34/100))/(1/Q2291)))))+((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t="n">
        <v>0</v>
      </c>
    </row>
    <row r="2309">
      <c r="A2309" t="inlineStr">
        <is>
          <t>Attack Speed Buff Bonus %</t>
        </is>
      </c>
      <c r="B2309">
        <f>((C2294=TRUE)*F2294*IF(AND(Inputs!$B$38&lt;&gt;"pvp",Inputs!$B$43&gt;0),(((R2294-1)*MIN((Skills!T18*(1+Inputs!$B$34/100)),(1/Q2294))+MIN((Skills!T18*(1+Inputs!$B$34/100)),MAX(0,Inputs!$B$43-((R2294-1)*(1/Q2294)))))/Inputs!$B$43),IF(Inputs!$B$38="pvp",MIN((Skills!T18*(1+Inputs!$B$34/100)),15)/15,MIN(1,(Skills!T18*(1+Inputs!$B$34/100))/(1/Q2294)))))</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MIN((Skills!T16*(1+Inputs!$B$34/100)),(1/Q2292))+MIN((Skills!T16*(1+Inputs!$B$34/100)),MAX(0,Inputs!$B$43-((R2292-1)*(1/Q2292)))))/Inputs!$B$43),IF(Inputs!$B$38="pvp",MIN((Skills!T16*(1+Inputs!$B$34/100)),15)/15,MIN(1,(Skills!T16*(1+Inputs!$B$34/100))/(1/Q2292))))</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Skills!G2*IF(Skills!H2&gt;0,IF(Inputs!$B$38="pvp",MIN(Skills!I2,15),Skills!I2)/Skills!H2,1)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Skills!G5*IF(Skills!H5&gt;0,IF(Inputs!$B$38="pvp",MIN(Skills!I5,15),Skills!I5)/Skills!H5,1)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IFERROR(1/IF(Inputs!$B$38="pvp",15,MAX(0.1,Skills!D5-IF(TRUE=TRUE,Inputs!$B$32,0))),0)</f>
        <v/>
      </c>
      <c r="R2326">
        <f>IF(AND(Inputs!$B$38&lt;&gt;"pvp",Inputs!$B$43&gt;0),IF(MAX(0,Inputs!$B$43-B2360)&lt;=0,0,(INT(MAX(0,Inputs!$B$43-B2360)/IF(Inputs!$B$38="pvp",15,MAX(0.1,Skills!D5-IF(TRUE=TRUE,Inputs!$B$32,0))))+1)),0)</f>
        <v/>
      </c>
      <c r="S2326">
        <f>IFERROR((H2326*N2326*IF(AND(Inputs!$B$38&lt;&gt;"pvp",Inputs!$B$43&gt;0),((Skills!G5*((R2326-1)*IF(Skills!H5&gt;0,Skills!I5/Skills!H5,1)+IF(Skills!H5&gt;0,MIN(Skills!I5,MAX(0,MAX(0,Inputs!$B$43-B2360)-((R2326-1)*IF(Inputs!$B$38="pvp",15,MAX(0.1,Skills!D5-IF(TRUE=TRUE,Inputs!$B$32,0))))))/Skills!H5,1)))/Inputs!$B$43),G2326*Q2326))/N2326*IF(Inputs!$B$38="pvp",1,(1-Summary!$B$11)*1+Summary!$B$11*(MIN(Skills!R5,Inputs!$B$37))),0)</f>
        <v/>
      </c>
      <c r="T2326">
        <f>IF(C2326,(H2326*N2326*IF(AND(Inputs!$B$38&lt;&gt;"pvp",Inputs!$B$43&gt;0),((Skills!G5*((R2326-1)*IF(Skills!H5&gt;0,Skills!I5/Skills!H5,1)+IF(Skills!H5&gt;0,MIN(Skills!I5,MAX(0,MAX(0,Inputs!$B$43-B2360)-((R2326-1)*IF(Inputs!$B$38="pvp",15,MAX(0.1,Skills!D5-IF(TRUE=TRUE,Inputs!$B$32,0))))))/Skills!H5,1)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Skills!I5/Skills!H5,1)+IF(Skills!H5&gt;0,MIN(Skills!I5,MAX(0,MAX(0,Inputs!$B$43-B2360)-((R2326-1)*IF(Inputs!$B$38="pvp",15,MAX(0.1,Skills!D5-IF(TRUE=TRUE,Inputs!$B$32,0))))))/Skills!H5,1)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Skills!G6*IF(Skills!H6&gt;0,IF(Inputs!$B$38="pvp",MIN(Skills!I6,15),Skills!I6)/Skills!H6,1)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IFERROR(1/IF(Inputs!$B$38="pvp",15,MAX(0.1,Skills!D6-IF(TRUE=TRUE,Inputs!$B$32,0))),0)</f>
        <v/>
      </c>
      <c r="R2327">
        <f>IF(AND(Inputs!$B$38&lt;&gt;"pvp",Inputs!$B$43&gt;0),IF(MAX(0,Inputs!$B$43-B2360)&lt;=0,0,(INT(MAX(0,Inputs!$B$43-B2360)/IF(Inputs!$B$38="pvp",15,MAX(0.1,Skills!D6-IF(TRUE=TRUE,Inputs!$B$32,0))))+1)),0)</f>
        <v/>
      </c>
      <c r="S2327">
        <f>IFERROR((H2327*N2327*IF(AND(Inputs!$B$38&lt;&gt;"pvp",Inputs!$B$43&gt;0),((Skills!G6*((R2327-1)*IF(Skills!H6&gt;0,Skills!I6/Skills!H6,1)+IF(Skills!H6&gt;0,MIN(Skills!I6,MAX(0,MAX(0,Inputs!$B$43-B2360)-((R2327-1)*IF(Inputs!$B$38="pvp",15,MAX(0.1,Skills!D6-IF(TRUE=TRUE,Inputs!$B$32,0))))))/Skills!H6,1)))/Inputs!$B$43),G2327*Q2327))/N2327*IF(Inputs!$B$38="pvp",1,(1-Summary!$B$11)*1+Summary!$B$11*(MIN(Skills!R6,Inputs!$B$37))),0)</f>
        <v/>
      </c>
      <c r="T2327">
        <f>IF(C2327,(H2327*N2327*IF(AND(Inputs!$B$38&lt;&gt;"pvp",Inputs!$B$43&gt;0),((Skills!G6*((R2327-1)*IF(Skills!H6&gt;0,Skills!I6/Skills!H6,1)+IF(Skills!H6&gt;0,MIN(Skills!I6,MAX(0,MAX(0,Inputs!$B$43-B2360)-((R2327-1)*IF(Inputs!$B$38="pvp",15,MAX(0.1,Skills!D6-IF(TRUE=TRUE,Inputs!$B$32,0)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2360)-((R2327-1)*IF(Inputs!$B$38="pvp",15,MAX(0.1,Skills!D6-IF(TRUE=TRUE,Inputs!$B$32,0))))))/Skills!H6,1)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Skills!G7*IF(Skills!H7&gt;0,IF(Inputs!$B$38="pvp",MIN(Skills!I7,15),Skills!I7)/Skills!H7,1)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IFERROR(1/IF(Inputs!$B$38="pvp",15,MAX(0.1,Skills!D7-IF(TRUE=TRUE,Inputs!$B$32,0))),0)</f>
        <v/>
      </c>
      <c r="R2328">
        <f>IF(AND(Inputs!$B$38&lt;&gt;"pvp",Inputs!$B$43&gt;0),IF(MAX(0,Inputs!$B$43-B2360)&lt;=0,0,(INT(MAX(0,Inputs!$B$43-B2360)/IF(Inputs!$B$38="pvp",15,MAX(0.1,Skills!D7-IF(TRUE=TRUE,Inputs!$B$32,0))))+1)),0)</f>
        <v/>
      </c>
      <c r="S2328">
        <f>IFERROR((H2328*N2328*IF(AND(Inputs!$B$38&lt;&gt;"pvp",Inputs!$B$43&gt;0),((Skills!G7*((R2328-1)*IF(Skills!H7&gt;0,Skills!I7/Skills!H7,1)+IF(Skills!H7&gt;0,MIN(Skills!I7,MAX(0,MAX(0,Inputs!$B$43-B2360)-((R2328-1)*IF(Inputs!$B$38="pvp",15,MAX(0.1,Skills!D7-IF(TRUE=TRUE,Inputs!$B$32,0))))))/Skills!H7,1)))/Inputs!$B$43),G2328*Q2328))/N2328*IF(Inputs!$B$38="pvp",1,(1-Summary!$B$11)*1+Summary!$B$11*(MIN(Skills!R7,Inputs!$B$37))),0)</f>
        <v/>
      </c>
      <c r="T2328">
        <f>IF(C2328,(H2328*N2328*IF(AND(Inputs!$B$38&lt;&gt;"pvp",Inputs!$B$43&gt;0),((Skills!G7*((R2328-1)*IF(Skills!H7&gt;0,Skills!I7/Skills!H7,1)+IF(Skills!H7&gt;0,MIN(Skills!I7,MAX(0,MAX(0,Inputs!$B$43-B2360)-((R2328-1)*IF(Inputs!$B$38="pvp",15,MAX(0.1,Skills!D7-IF(TRUE=TRUE,Inputs!$B$32,0)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2360)-((R2328-1)*IF(Inputs!$B$38="pvp",15,MAX(0.1,Skills!D7-IF(TRUE=TRUE,Inputs!$B$32,0))))))/Skills!H7,1)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Skills!G9*IF(Skills!H9&gt;0,IF(Inputs!$B$38="pvp",MIN(Skills!I9,15),Skills!I9)/Skills!H9,1)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IFERROR(1/IF(Inputs!$B$38="pvp",15,MAX(0.1,Skills!D9-IF(TRUE=TRUE,Inputs!$B$32,0))),0)</f>
        <v/>
      </c>
      <c r="R2330">
        <f>IF(AND(Inputs!$B$38&lt;&gt;"pvp",Inputs!$B$43&gt;0),IF(MAX(0,Inputs!$B$43-B2360)&lt;=0,0,(INT(MAX(0,Inputs!$B$43-B2360)/IF(Inputs!$B$38="pvp",15,MAX(0.1,Skills!D9-IF(TRUE=TRUE,Inputs!$B$32,0))))+1)),0)</f>
        <v/>
      </c>
      <c r="S2330">
        <f>IFERROR((H2330*N2330*IF(AND(Inputs!$B$38&lt;&gt;"pvp",Inputs!$B$43&gt;0),((Skills!G9*((R2330-1)*IF(Skills!H9&gt;0,Skills!I9/Skills!H9,1)+IF(Skills!H9&gt;0,MIN(Skills!I9,MAX(0,MAX(0,Inputs!$B$43-B2360)-((R2330-1)*IF(Inputs!$B$38="pvp",15,MAX(0.1,Skills!D9-IF(TRUE=TRUE,Inputs!$B$32,0))))))/Skills!H9,1)))/Inputs!$B$43),G2330*Q2330))/N2330*IF(Inputs!$B$38="pvp",1,(1-Summary!$B$11)*1+Summary!$B$11*(MIN(Skills!R9,Inputs!$B$37))),0)</f>
        <v/>
      </c>
      <c r="T2330">
        <f>IF(C2330,(H2330*N2330*IF(AND(Inputs!$B$38&lt;&gt;"pvp",Inputs!$B$43&gt;0),((Skills!G9*((R2330-1)*IF(Skills!H9&gt;0,Skills!I9/Skills!H9,1)+IF(Skills!H9&gt;0,MIN(Skills!I9,MAX(0,MAX(0,Inputs!$B$43-B2360)-((R2330-1)*IF(Inputs!$B$38="pvp",15,MAX(0.1,Skills!D9-IF(TRUE=TRUE,Inputs!$B$32,0)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2360)-((R2330-1)*IF(Inputs!$B$38="pvp",15,MAX(0.1,Skills!D9-IF(TRUE=TRUE,Inputs!$B$32,0))))))/Skills!H9,1)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Skills!G10*IF(Skills!H10&gt;0,IF(Inputs!$B$38="pvp",MIN(Skills!I10,15),Skills!I10)/Skills!H10,1)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Skills!G11*IF(Skills!H11&gt;0,IF(Inputs!$B$38="pvp",MIN(Skills!I11,15),Skills!I11)/Skills!H11,1)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IFERROR(1/IF(Inputs!$B$38="pvp",15,MAX(0.1,Skills!D11-IF(TRUE=TRUE,Inputs!$B$32,0))),0)</f>
        <v/>
      </c>
      <c r="R2332">
        <f>IF(AND(Inputs!$B$38&lt;&gt;"pvp",Inputs!$B$43&gt;0),IF(MAX(0,Inputs!$B$43-B2360)&lt;=0,0,(INT(MAX(0,Inputs!$B$43-B2360)/IF(Inputs!$B$38="pvp",15,MAX(0.1,Skills!D11-IF(TRUE=TRUE,Inputs!$B$32,0))))+1)),0)</f>
        <v/>
      </c>
      <c r="S2332">
        <f>IFERROR((H2332*N2332*IF(AND(Inputs!$B$38&lt;&gt;"pvp",Inputs!$B$43&gt;0),((Skills!G11*((R2332-1)*IF(Skills!H11&gt;0,Skills!I11/Skills!H11,1)+IF(Skills!H11&gt;0,MIN(Skills!I11,MAX(0,MAX(0,Inputs!$B$43-B2360)-((R2332-1)*IF(Inputs!$B$38="pvp",15,MAX(0.1,Skills!D11-IF(TRUE=TRUE,Inputs!$B$32,0))))))/Skills!H11,1)))/Inputs!$B$43),G2332*Q2332))/N2332*IF(Inputs!$B$38="pvp",1,(1-Summary!$B$11)*1+Summary!$B$11*(MIN(Skills!R11,Inputs!$B$37))),0)</f>
        <v/>
      </c>
      <c r="T2332">
        <f>IF(C2332,(H2332*N2332*IF(AND(Inputs!$B$38&lt;&gt;"pvp",Inputs!$B$43&gt;0),((Skills!G11*((R2332-1)*IF(Skills!H11&gt;0,Skills!I11/Skills!H11,1)+IF(Skills!H11&gt;0,MIN(Skills!I11,MAX(0,MAX(0,Inputs!$B$43-B2360)-((R2332-1)*IF(Inputs!$B$38="pvp",15,MAX(0.1,Skills!D11-IF(TRUE=TRUE,Inputs!$B$32,0))))))/Skills!H11,1)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Inputs!$B$38&lt;&gt;"pvp",Inputs!$B$43=0),1,IF(IF(Inputs!$B$38="pvp",15,Inputs!$B$43)-(B2360)&lt;=0,1,MAX(0,IF(Inputs!$B$38="pvp",15,Inputs!$B$43)-MAX(5,B2360))/(IF(Inputs!$B$38="pvp",15,Inputs!$B$43)-(B2360)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Skills!I11/Skills!H11,1)+IF(Skills!H11&gt;0,MIN(Skills!I11,MAX(0,MAX(0,Inputs!$B$43-B2360)-((R2332-1)*IF(Inputs!$B$38="pvp",15,MAX(0.1,Skills!D11-IF(TRUE=TRUE,Inputs!$B$32,0))))))/Skills!H11,1)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Skills!G12*IF(Skills!H12&gt;0,IF(Inputs!$B$38="pvp",MIN(Skills!I12,15),Skills!I12)/Skills!H12,1)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Skills!G13*IF(Skills!H13&gt;0,IF(Inputs!$B$38="pvp",MIN(Skills!I13,15),Skills!I13)/Skills!H13,1)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Skills!G14*IF(Skills!H14&gt;0,IF(Inputs!$B$38="pvp",MIN(Skills!I14,15),Skills!I14)/Skills!H14,1)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Skills!G15*IF(Skills!H15&gt;0,IF(Inputs!$B$38="pvp",MIN(Skills!I15,15),Skills!I15)/Skills!H15,1)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IFERROR(1/IF(Inputs!$B$38="pvp",15,MAX(0.1,Skills!D15-IF(TRUE=TRUE,Inputs!$B$32,0))),0)</f>
        <v/>
      </c>
      <c r="R2336">
        <f>IF(AND(Inputs!$B$38&lt;&gt;"pvp",Inputs!$B$43&gt;0),IF(Inputs!$B$43&lt;=0,0,(INT(Inputs!$B$43/IF(Inputs!$B$38="pvp",15,MAX(0.1,Skills!D15-IF(TRUE=TRUE,Inputs!$B$32,0))))+1)),0)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Skills!G16*IF(Skills!H16&gt;0,IF(Inputs!$B$38="pvp",MIN(Skills!I16,15),Skills!I16)/Skills!H16,1)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IFERROR(1/IF(Inputs!$B$38="pvp",15,MAX(0.1,Skills!D16-IF(TRUE=TRUE,Inputs!$B$32,0))),0)</f>
        <v/>
      </c>
      <c r="R2337">
        <f>IF(AND(Inputs!$B$38&lt;&gt;"pvp",Inputs!$B$43&gt;0),IF(Inputs!$B$43&lt;=0,0,(INT(Inputs!$B$43/IF(Inputs!$B$38="pvp",15,MAX(0.1,Skills!D16-IF(TRUE=TRUE,Inputs!$B$32,0))))+1)),0)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Skills!G17*IF(Skills!H17&gt;0,IF(Inputs!$B$38="pvp",MIN(Skills!I17,15),Skills!I17)/Skills!H17,1)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Skills!G18*IF(Skills!H18&gt;0,IF(Inputs!$B$38="pvp",MIN(Skills!I18,15),Skills!I18)/Skills!H18,1)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IFERROR(1/IF(Inputs!$B$38="pvp",15,MAX(0.1,Skills!D18-IF(TRUE=TRUE,Inputs!$B$32,0))),0)</f>
        <v/>
      </c>
      <c r="R2339">
        <f>IF(AND(Inputs!$B$38&lt;&gt;"pvp",Inputs!$B$43&gt;0),IF(Inputs!$B$43&lt;=0,0,(INT(Inputs!$B$43/IF(Inputs!$B$38="pvp",15,MAX(0.1,Skills!D18-IF(TRUE=TRUE,Inputs!$B$32,0))))+1)),0)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Skills!G19*IF(Skills!H19&gt;0,IF(Inputs!$B$38="pvp",MIN(Skills!I19,15),Skills!I19)/Skills!H19,1)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Skills!G20*IF(Skills!H20&gt;0,IF(Inputs!$B$38="pvp",MIN(Skills!I20,15),Skills!I20)/Skills!H20,1)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Skills!G21*IF(Skills!H21&gt;0,IF(Inputs!$B$38="pvp",MIN(Skills!I21,15),Skills!I21)/Skills!H21,1)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Skills!G22*IF(Skills!H22&gt;0,IF(Inputs!$B$38="pvp",MIN(Skills!I22,15),Skills!I22)/Skills!H22,1)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Skills!G23*IF(Skills!H23&gt;0,IF(Inputs!$B$38="pvp",MIN(Skills!I23,15),Skills!I23)/Skills!H23,1)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Skills!G24*IF(Skills!H24&gt;0,IF(Inputs!$B$38="pvp",MIN(Skills!I24,15),Skills!I24)/Skills!H24,1)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Skills!G25*IF(Skills!H25&gt;0,IF(Inputs!$B$38="pvp",MIN(Skills!I25,15),Skills!I25)/Skills!H25,1)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Skills!G26*IF(Skills!H26&gt;0,IF(Inputs!$B$38="pvp",MIN(Skills!I26,15),Skills!I26)/Skills!H26,1)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Skills!G27*IF(Skills!H27&gt;0,IF(Inputs!$B$38="pvp",MIN(Skills!I27,15),Skills!I27)/Skills!H27,1)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Skills!G28*IF(Skills!H28&gt;0,IF(Inputs!$B$38="pvp",MIN(Skills!I28,15),Skills!I28)/Skills!H28,1)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Skills!G29*IF(Skills!H29&gt;0,IF(Inputs!$B$38="pvp",MIN(Skills!I29,15),Skills!I29)/Skills!H29,1)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MIN((Skills!T15*(1+Inputs!$B$34/100)),(1/Q2336))+MIN((Skills!T15*(1+Inputs!$B$34/100)),MAX(0,Inputs!$B$43-((R2336-1)*(1/Q2336)))))/Inputs!$B$43),IF(Inputs!$B$38="pvp",MIN((Skills!T15*(1+Inputs!$B$34/100)),15)/15,MIN(1,(Skills!T15*(1+Inputs!$B$34/100))/(1/Q2336)))))+((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t="n">
        <v>0</v>
      </c>
    </row>
    <row r="2354">
      <c r="A2354" t="inlineStr">
        <is>
          <t>Attack Speed Buff Bonus %</t>
        </is>
      </c>
      <c r="B2354">
        <f>((C2339=TRUE)*F2339*IF(AND(Inputs!$B$38&lt;&gt;"pvp",Inputs!$B$43&gt;0),(((R2339-1)*MIN((Skills!T18*(1+Inputs!$B$34/100)),(1/Q2339))+MIN((Skills!T18*(1+Inputs!$B$34/100)),MAX(0,Inputs!$B$43-((R2339-1)*(1/Q2339)))))/Inputs!$B$43),IF(Inputs!$B$38="pvp",MIN((Skills!T18*(1+Inputs!$B$34/100)),15)/15,MIN(1,(Skills!T18*(1+Inputs!$B$34/100))/(1/Q2339)))))</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MIN((Skills!T16*(1+Inputs!$B$34/100)),(1/Q2337))+MIN((Skills!T16*(1+Inputs!$B$34/100)),MAX(0,Inputs!$B$43-((R2337-1)*(1/Q2337)))))/Inputs!$B$43),IF(Inputs!$B$38="pvp",MIN((Skills!T16*(1+Inputs!$B$34/100)),15)/15,MIN(1,(Skills!T16*(1+Inputs!$B$34/100))/(1/Q2337))))</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Skills!G2*IF(Skills!H2&gt;0,IF(Inputs!$B$38="pvp",MIN(Skills!I2,15),Skills!I2)/Skills!H2,1)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Skills!G5*IF(Skills!H5&gt;0,IF(Inputs!$B$38="pvp",MIN(Skills!I5,15),Skills!I5)/Skills!H5,1)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IFERROR(1/IF(Inputs!$B$38="pvp",15,MAX(0.1,Skills!D5-IF(TRUE=TRUE,Inputs!$B$32,0))),0)</f>
        <v/>
      </c>
      <c r="R2371">
        <f>IF(AND(Inputs!$B$38&lt;&gt;"pvp",Inputs!$B$43&gt;0),IF(MAX(0,Inputs!$B$43-B2405)&lt;=0,0,(INT(MAX(0,Inputs!$B$43-B2405)/IF(Inputs!$B$38="pvp",15,MAX(0.1,Skills!D5-IF(TRUE=TRUE,Inputs!$B$32,0))))+1)),0)</f>
        <v/>
      </c>
      <c r="S2371">
        <f>IFERROR((H2371*N2371*IF(AND(Inputs!$B$38&lt;&gt;"pvp",Inputs!$B$43&gt;0),((Skills!G5*((R2371-1)*IF(Skills!H5&gt;0,Skills!I5/Skills!H5,1)+IF(Skills!H5&gt;0,MIN(Skills!I5,MAX(0,MAX(0,Inputs!$B$43-B2405)-((R2371-1)*IF(Inputs!$B$38="pvp",15,MAX(0.1,Skills!D5-IF(TRUE=TRUE,Inputs!$B$32,0))))))/Skills!H5,1)))/Inputs!$B$43),G2371*Q2371))/N2371*IF(Inputs!$B$38="pvp",1,(1-Summary!$B$11)*1+Summary!$B$11*(MIN(Skills!R5,Inputs!$B$37))),0)</f>
        <v/>
      </c>
      <c r="T2371">
        <f>IF(C2371,(H2371*N2371*IF(AND(Inputs!$B$38&lt;&gt;"pvp",Inputs!$B$43&gt;0),((Skills!G5*((R2371-1)*IF(Skills!H5&gt;0,Skills!I5/Skills!H5,1)+IF(Skills!H5&gt;0,MIN(Skills!I5,MAX(0,MAX(0,Inputs!$B$43-B2405)-((R2371-1)*IF(Inputs!$B$38="pvp",15,MAX(0.1,Skills!D5-IF(TRUE=TRUE,Inputs!$B$32,0))))))/Skills!H5,1)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Skills!I5/Skills!H5,1)+IF(Skills!H5&gt;0,MIN(Skills!I5,MAX(0,MAX(0,Inputs!$B$43-B2405)-((R2371-1)*IF(Inputs!$B$38="pvp",15,MAX(0.1,Skills!D5-IF(TRUE=TRUE,Inputs!$B$32,0))))))/Skills!H5,1)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Skills!G6*IF(Skills!H6&gt;0,IF(Inputs!$B$38="pvp",MIN(Skills!I6,15),Skills!I6)/Skills!H6,1)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IFERROR(1/IF(Inputs!$B$38="pvp",15,MAX(0.1,Skills!D6-IF(TRUE=TRUE,Inputs!$B$32,0))),0)</f>
        <v/>
      </c>
      <c r="R2372">
        <f>IF(AND(Inputs!$B$38&lt;&gt;"pvp",Inputs!$B$43&gt;0),IF(MAX(0,Inputs!$B$43-B2405)&lt;=0,0,(INT(MAX(0,Inputs!$B$43-B2405)/IF(Inputs!$B$38="pvp",15,MAX(0.1,Skills!D6-IF(TRUE=TRUE,Inputs!$B$32,0))))+1)),0)</f>
        <v/>
      </c>
      <c r="S2372">
        <f>IFERROR((H2372*N2372*IF(AND(Inputs!$B$38&lt;&gt;"pvp",Inputs!$B$43&gt;0),((Skills!G6*((R2372-1)*IF(Skills!H6&gt;0,Skills!I6/Skills!H6,1)+IF(Skills!H6&gt;0,MIN(Skills!I6,MAX(0,MAX(0,Inputs!$B$43-B2405)-((R2372-1)*IF(Inputs!$B$38="pvp",15,MAX(0.1,Skills!D6-IF(TRUE=TRUE,Inputs!$B$32,0))))))/Skills!H6,1)))/Inputs!$B$43),G2372*Q2372))/N2372*IF(Inputs!$B$38="pvp",1,(1-Summary!$B$11)*1+Summary!$B$11*(MIN(Skills!R6,Inputs!$B$37))),0)</f>
        <v/>
      </c>
      <c r="T2372">
        <f>IF(C2372,(H2372*N2372*IF(AND(Inputs!$B$38&lt;&gt;"pvp",Inputs!$B$43&gt;0),((Skills!G6*((R2372-1)*IF(Skills!H6&gt;0,Skills!I6/Skills!H6,1)+IF(Skills!H6&gt;0,MIN(Skills!I6,MAX(0,MAX(0,Inputs!$B$43-B2405)-((R2372-1)*IF(Inputs!$B$38="pvp",15,MAX(0.1,Skills!D6-IF(TRUE=TRUE,Inputs!$B$32,0)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2405)-((R2372-1)*IF(Inputs!$B$38="pvp",15,MAX(0.1,Skills!D6-IF(TRUE=TRUE,Inputs!$B$32,0))))))/Skills!H6,1)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Skills!G7*IF(Skills!H7&gt;0,IF(Inputs!$B$38="pvp",MIN(Skills!I7,15),Skills!I7)/Skills!H7,1)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IFERROR(1/IF(Inputs!$B$38="pvp",15,MAX(0.1,Skills!D7-IF(TRUE=TRUE,Inputs!$B$32,0))),0)</f>
        <v/>
      </c>
      <c r="R2373">
        <f>IF(AND(Inputs!$B$38&lt;&gt;"pvp",Inputs!$B$43&gt;0),IF(MAX(0,Inputs!$B$43-B2405)&lt;=0,0,(INT(MAX(0,Inputs!$B$43-B2405)/IF(Inputs!$B$38="pvp",15,MAX(0.1,Skills!D7-IF(TRUE=TRUE,Inputs!$B$32,0))))+1)),0)</f>
        <v/>
      </c>
      <c r="S2373">
        <f>IFERROR((H2373*N2373*IF(AND(Inputs!$B$38&lt;&gt;"pvp",Inputs!$B$43&gt;0),((Skills!G7*((R2373-1)*IF(Skills!H7&gt;0,Skills!I7/Skills!H7,1)+IF(Skills!H7&gt;0,MIN(Skills!I7,MAX(0,MAX(0,Inputs!$B$43-B2405)-((R2373-1)*IF(Inputs!$B$38="pvp",15,MAX(0.1,Skills!D7-IF(TRUE=TRUE,Inputs!$B$32,0))))))/Skills!H7,1)))/Inputs!$B$43),G2373*Q2373))/N2373*IF(Inputs!$B$38="pvp",1,(1-Summary!$B$11)*1+Summary!$B$11*(MIN(Skills!R7,Inputs!$B$37))),0)</f>
        <v/>
      </c>
      <c r="T2373">
        <f>IF(C2373,(H2373*N2373*IF(AND(Inputs!$B$38&lt;&gt;"pvp",Inputs!$B$43&gt;0),((Skills!G7*((R2373-1)*IF(Skills!H7&gt;0,Skills!I7/Skills!H7,1)+IF(Skills!H7&gt;0,MIN(Skills!I7,MAX(0,MAX(0,Inputs!$B$43-B2405)-((R2373-1)*IF(Inputs!$B$38="pvp",15,MAX(0.1,Skills!D7-IF(TRUE=TRUE,Inputs!$B$32,0)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2405)-((R2373-1)*IF(Inputs!$B$38="pvp",15,MAX(0.1,Skills!D7-IF(TRUE=TRUE,Inputs!$B$32,0))))))/Skills!H7,1)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Skills!G9*IF(Skills!H9&gt;0,IF(Inputs!$B$38="pvp",MIN(Skills!I9,15),Skills!I9)/Skills!H9,1)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IFERROR(1/IF(Inputs!$B$38="pvp",15,MAX(0.1,Skills!D9-IF(TRUE=TRUE,Inputs!$B$32,0))),0)</f>
        <v/>
      </c>
      <c r="R2375">
        <f>IF(AND(Inputs!$B$38&lt;&gt;"pvp",Inputs!$B$43&gt;0),IF(MAX(0,Inputs!$B$43-B2405)&lt;=0,0,(INT(MAX(0,Inputs!$B$43-B2405)/IF(Inputs!$B$38="pvp",15,MAX(0.1,Skills!D9-IF(TRUE=TRUE,Inputs!$B$32,0))))+1)),0)</f>
        <v/>
      </c>
      <c r="S2375">
        <f>IFERROR((H2375*N2375*IF(AND(Inputs!$B$38&lt;&gt;"pvp",Inputs!$B$43&gt;0),((Skills!G9*((R2375-1)*IF(Skills!H9&gt;0,Skills!I9/Skills!H9,1)+IF(Skills!H9&gt;0,MIN(Skills!I9,MAX(0,MAX(0,Inputs!$B$43-B2405)-((R2375-1)*IF(Inputs!$B$38="pvp",15,MAX(0.1,Skills!D9-IF(TRUE=TRUE,Inputs!$B$32,0))))))/Skills!H9,1)))/Inputs!$B$43),G2375*Q2375))/N2375*IF(Inputs!$B$38="pvp",1,(1-Summary!$B$11)*1+Summary!$B$11*(MIN(Skills!R9,Inputs!$B$37))),0)</f>
        <v/>
      </c>
      <c r="T2375">
        <f>IF(C2375,(H2375*N2375*IF(AND(Inputs!$B$38&lt;&gt;"pvp",Inputs!$B$43&gt;0),((Skills!G9*((R2375-1)*IF(Skills!H9&gt;0,Skills!I9/Skills!H9,1)+IF(Skills!H9&gt;0,MIN(Skills!I9,MAX(0,MAX(0,Inputs!$B$43-B2405)-((R2375-1)*IF(Inputs!$B$38="pvp",15,MAX(0.1,Skills!D9-IF(TRUE=TRUE,Inputs!$B$32,0)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2405)-((R2375-1)*IF(Inputs!$B$38="pvp",15,MAX(0.1,Skills!D9-IF(TRUE=TRUE,Inputs!$B$32,0))))))/Skills!H9,1)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Skills!G10*IF(Skills!H10&gt;0,IF(Inputs!$B$38="pvp",MIN(Skills!I10,15),Skills!I10)/Skills!H10,1)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Skills!G11*IF(Skills!H11&gt;0,IF(Inputs!$B$38="pvp",MIN(Skills!I11,15),Skills!I11)/Skills!H11,1)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IFERROR(1/IF(Inputs!$B$38="pvp",15,MAX(0.1,Skills!D11-IF(TRUE=TRUE,Inputs!$B$32,0))),0)</f>
        <v/>
      </c>
      <c r="R2377">
        <f>IF(AND(Inputs!$B$38&lt;&gt;"pvp",Inputs!$B$43&gt;0),IF(MAX(0,Inputs!$B$43-B2405)&lt;=0,0,(INT(MAX(0,Inputs!$B$43-B2405)/IF(Inputs!$B$38="pvp",15,MAX(0.1,Skills!D11-IF(TRUE=TRUE,Inputs!$B$32,0))))+1)),0)</f>
        <v/>
      </c>
      <c r="S2377">
        <f>IFERROR((H2377*N2377*IF(AND(Inputs!$B$38&lt;&gt;"pvp",Inputs!$B$43&gt;0),((Skills!G11*((R2377-1)*IF(Skills!H11&gt;0,Skills!I11/Skills!H11,1)+IF(Skills!H11&gt;0,MIN(Skills!I11,MAX(0,MAX(0,Inputs!$B$43-B2405)-((R2377-1)*IF(Inputs!$B$38="pvp",15,MAX(0.1,Skills!D11-IF(TRUE=TRUE,Inputs!$B$32,0))))))/Skills!H11,1)))/Inputs!$B$43),G2377*Q2377))/N2377*IF(Inputs!$B$38="pvp",1,(1-Summary!$B$11)*1+Summary!$B$11*(MIN(Skills!R11,Inputs!$B$37))),0)</f>
        <v/>
      </c>
      <c r="T2377">
        <f>IF(C2377,(H2377*N2377*IF(AND(Inputs!$B$38&lt;&gt;"pvp",Inputs!$B$43&gt;0),((Skills!G11*((R2377-1)*IF(Skills!H11&gt;0,Skills!I11/Skills!H11,1)+IF(Skills!H11&gt;0,MIN(Skills!I11,MAX(0,MAX(0,Inputs!$B$43-B2405)-((R2377-1)*IF(Inputs!$B$38="pvp",15,MAX(0.1,Skills!D11-IF(TRUE=TRUE,Inputs!$B$32,0))))))/Skills!H11,1)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Inputs!$B$38&lt;&gt;"pvp",Inputs!$B$43=0),1,IF(IF(Inputs!$B$38="pvp",15,Inputs!$B$43)-(B2405)&lt;=0,1,MAX(0,IF(Inputs!$B$38="pvp",15,Inputs!$B$43)-MAX(5,B2405))/(IF(Inputs!$B$38="pvp",15,Inputs!$B$43)-(B2405))))*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Skills!I11/Skills!H11,1)+IF(Skills!H11&gt;0,MIN(Skills!I11,MAX(0,MAX(0,Inputs!$B$43-B2405)-((R2377-1)*IF(Inputs!$B$38="pvp",15,MAX(0.1,Skills!D11-IF(TRUE=TRUE,Inputs!$B$32,0))))))/Skills!H11,1)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Skills!G12*IF(Skills!H12&gt;0,IF(Inputs!$B$38="pvp",MIN(Skills!I12,15),Skills!I12)/Skills!H12,1)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Skills!G13*IF(Skills!H13&gt;0,IF(Inputs!$B$38="pvp",MIN(Skills!I13,15),Skills!I13)/Skills!H13,1)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Skills!G14*IF(Skills!H14&gt;0,IF(Inputs!$B$38="pvp",MIN(Skills!I14,15),Skills!I14)/Skills!H14,1)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Skills!G15*IF(Skills!H15&gt;0,IF(Inputs!$B$38="pvp",MIN(Skills!I15,15),Skills!I15)/Skills!H15,1)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IFERROR(1/IF(Inputs!$B$38="pvp",15,MAX(0.1,Skills!D15-IF(TRUE=TRUE,Inputs!$B$32,0))),0)</f>
        <v/>
      </c>
      <c r="R2381">
        <f>IF(AND(Inputs!$B$38&lt;&gt;"pvp",Inputs!$B$43&gt;0),IF(Inputs!$B$43&lt;=0,0,(INT(Inputs!$B$43/IF(Inputs!$B$38="pvp",15,MAX(0.1,Skills!D15-IF(TRUE=TRUE,Inputs!$B$32,0))))+1)),0)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Skills!G16*IF(Skills!H16&gt;0,IF(Inputs!$B$38="pvp",MIN(Skills!I16,15),Skills!I16)/Skills!H16,1)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IFERROR(1/IF(Inputs!$B$38="pvp",15,MAX(0.1,Skills!D16-IF(TRUE=TRUE,Inputs!$B$32,0))),0)</f>
        <v/>
      </c>
      <c r="R2382">
        <f>IF(AND(Inputs!$B$38&lt;&gt;"pvp",Inputs!$B$43&gt;0),IF(Inputs!$B$43&lt;=0,0,(INT(Inputs!$B$43/IF(Inputs!$B$38="pvp",15,MAX(0.1,Skills!D16-IF(TRUE=TRUE,Inputs!$B$32,0))))+1)),0)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Skills!G17*IF(Skills!H17&gt;0,IF(Inputs!$B$38="pvp",MIN(Skills!I17,15),Skills!I17)/Skills!H17,1)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Skills!G18*IF(Skills!H18&gt;0,IF(Inputs!$B$38="pvp",MIN(Skills!I18,15),Skills!I18)/Skills!H18,1)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IFERROR(1/IF(Inputs!$B$38="pvp",15,MAX(0.1,Skills!D18-IF(TRUE=TRUE,Inputs!$B$32,0))),0)</f>
        <v/>
      </c>
      <c r="R2384">
        <f>IF(AND(Inputs!$B$38&lt;&gt;"pvp",Inputs!$B$43&gt;0),IF(Inputs!$B$43&lt;=0,0,(INT(Inputs!$B$43/IF(Inputs!$B$38="pvp",15,MAX(0.1,Skills!D18-IF(TRUE=TRUE,Inputs!$B$32,0))))+1)),0)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Skills!G19*IF(Skills!H19&gt;0,IF(Inputs!$B$38="pvp",MIN(Skills!I19,15),Skills!I19)/Skills!H19,1)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Skills!G20*IF(Skills!H20&gt;0,IF(Inputs!$B$38="pvp",MIN(Skills!I20,15),Skills!I20)/Skills!H20,1)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Skills!G21*IF(Skills!H21&gt;0,IF(Inputs!$B$38="pvp",MIN(Skills!I21,15),Skills!I21)/Skills!H21,1)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Skills!G22*IF(Skills!H22&gt;0,IF(Inputs!$B$38="pvp",MIN(Skills!I22,15),Skills!I22)/Skills!H22,1)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Skills!G23*IF(Skills!H23&gt;0,IF(Inputs!$B$38="pvp",MIN(Skills!I23,15),Skills!I23)/Skills!H23,1)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Skills!G24*IF(Skills!H24&gt;0,IF(Inputs!$B$38="pvp",MIN(Skills!I24,15),Skills!I24)/Skills!H24,1)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Skills!G25*IF(Skills!H25&gt;0,IF(Inputs!$B$38="pvp",MIN(Skills!I25,15),Skills!I25)/Skills!H25,1)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Skills!G26*IF(Skills!H26&gt;0,IF(Inputs!$B$38="pvp",MIN(Skills!I26,15),Skills!I26)/Skills!H26,1)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Skills!G27*IF(Skills!H27&gt;0,IF(Inputs!$B$38="pvp",MIN(Skills!I27,15),Skills!I27)/Skills!H27,1)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Skills!G28*IF(Skills!H28&gt;0,IF(Inputs!$B$38="pvp",MIN(Skills!I28,15),Skills!I28)/Skills!H28,1)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Skills!G29*IF(Skills!H29&gt;0,IF(Inputs!$B$38="pvp",MIN(Skills!I29,15),Skills!I29)/Skills!H29,1)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MIN((Skills!T15*(1+Inputs!$B$34/100)),(1/Q2381))+MIN((Skills!T15*(1+Inputs!$B$34/100)),MAX(0,Inputs!$B$43-((R2381-1)*(1/Q2381)))))/Inputs!$B$43),IF(Inputs!$B$38="pvp",MIN((Skills!T15*(1+Inputs!$B$34/100)),15)/15,MIN(1,(Skills!T15*(1+Inputs!$B$34/100))/(1/Q2381)))))+((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t>
        </is>
      </c>
      <c r="B2399">
        <f>((C2384=TRUE)*F2384*IF(AND(Inputs!$B$38&lt;&gt;"pvp",Inputs!$B$43&gt;0),(((R2384-1)*MIN((Skills!T18*(1+Inputs!$B$34/100)),(1/Q2384))+MIN((Skills!T18*(1+Inputs!$B$34/100)),MAX(0,Inputs!$B$43-((R2384-1)*(1/Q2384)))))/Inputs!$B$43),IF(Inputs!$B$38="pvp",MIN((Skills!T18*(1+Inputs!$B$34/100)),15)/15,MIN(1,(Skills!T18*(1+Inputs!$B$34/100))/(1/Q2384)))))</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MIN((Skills!T16*(1+Inputs!$B$34/100)),(1/Q2382))+MIN((Skills!T16*(1+Inputs!$B$34/100)),MAX(0,Inputs!$B$43-((R2382-1)*(1/Q2382)))))/Inputs!$B$43),IF(Inputs!$B$38="pvp",MIN((Skills!T16*(1+Inputs!$B$34/100)),15)/15,MIN(1,(Skills!T16*(1+Inputs!$B$34/100))/(1/Q2382))))</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Skills!G2*IF(Skills!H2&gt;0,IF(Inputs!$B$38="pvp",MIN(Skills!I2,15),Skills!I2)/Skills!H2,1)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Skills!G5*IF(Skills!H5&gt;0,IF(Inputs!$B$38="pvp",MIN(Skills!I5,15),Skills!I5)/Skills!H5,1)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IFERROR(1/IF(Inputs!$B$38="pvp",15,MAX(0.1,Skills!D5-IF(TRUE=TRUE,Inputs!$B$32,0))),0)</f>
        <v/>
      </c>
      <c r="R2416">
        <f>IF(AND(Inputs!$B$38&lt;&gt;"pvp",Inputs!$B$43&gt;0),IF(MAX(0,Inputs!$B$43-B2450)&lt;=0,0,(INT(MAX(0,Inputs!$B$43-B2450)/IF(Inputs!$B$38="pvp",15,MAX(0.1,Skills!D5-IF(TRUE=TRUE,Inputs!$B$32,0))))+1)),0)</f>
        <v/>
      </c>
      <c r="S2416">
        <f>IFERROR((H2416*N2416*IF(AND(Inputs!$B$38&lt;&gt;"pvp",Inputs!$B$43&gt;0),((Skills!G5*((R2416-1)*IF(Skills!H5&gt;0,Skills!I5/Skills!H5,1)+IF(Skills!H5&gt;0,MIN(Skills!I5,MAX(0,MAX(0,Inputs!$B$43-B2450)-((R2416-1)*IF(Inputs!$B$38="pvp",15,MAX(0.1,Skills!D5-IF(TRUE=TRUE,Inputs!$B$32,0))))))/Skills!H5,1)))/Inputs!$B$43),G2416*Q2416))/N2416*IF(Inputs!$B$38="pvp",1,(1-Summary!$B$11)*1+Summary!$B$11*(MIN(Skills!R5,Inputs!$B$37))),0)</f>
        <v/>
      </c>
      <c r="T2416">
        <f>IF(C2416,(H2416*N2416*IF(AND(Inputs!$B$38&lt;&gt;"pvp",Inputs!$B$43&gt;0),((Skills!G5*((R2416-1)*IF(Skills!H5&gt;0,Skills!I5/Skills!H5,1)+IF(Skills!H5&gt;0,MIN(Skills!I5,MAX(0,MAX(0,Inputs!$B$43-B2450)-((R2416-1)*IF(Inputs!$B$38="pvp",15,MAX(0.1,Skills!D5-IF(TRUE=TRUE,Inputs!$B$32,0))))))/Skills!H5,1)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Skills!I5/Skills!H5,1)+IF(Skills!H5&gt;0,MIN(Skills!I5,MAX(0,MAX(0,Inputs!$B$43-B2450)-((R2416-1)*IF(Inputs!$B$38="pvp",15,MAX(0.1,Skills!D5-IF(TRUE=TRUE,Inputs!$B$32,0))))))/Skills!H5,1)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Skills!G6*IF(Skills!H6&gt;0,IF(Inputs!$B$38="pvp",MIN(Skills!I6,15),Skills!I6)/Skills!H6,1)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IFERROR(1/IF(Inputs!$B$38="pvp",15,MAX(0.1,Skills!D6-IF(TRUE=TRUE,Inputs!$B$32,0))),0)</f>
        <v/>
      </c>
      <c r="R2417">
        <f>IF(AND(Inputs!$B$38&lt;&gt;"pvp",Inputs!$B$43&gt;0),IF(MAX(0,Inputs!$B$43-B2450)&lt;=0,0,(INT(MAX(0,Inputs!$B$43-B2450)/IF(Inputs!$B$38="pvp",15,MAX(0.1,Skills!D6-IF(TRUE=TRUE,Inputs!$B$32,0))))+1)),0)</f>
        <v/>
      </c>
      <c r="S2417">
        <f>IFERROR((H2417*N2417*IF(AND(Inputs!$B$38&lt;&gt;"pvp",Inputs!$B$43&gt;0),((Skills!G6*((R2417-1)*IF(Skills!H6&gt;0,Skills!I6/Skills!H6,1)+IF(Skills!H6&gt;0,MIN(Skills!I6,MAX(0,MAX(0,Inputs!$B$43-B2450)-((R2417-1)*IF(Inputs!$B$38="pvp",15,MAX(0.1,Skills!D6-IF(TRUE=TRUE,Inputs!$B$32,0))))))/Skills!H6,1)))/Inputs!$B$43),G2417*Q2417))/N2417*IF(Inputs!$B$38="pvp",1,(1-Summary!$B$11)*1+Summary!$B$11*(MIN(Skills!R6,Inputs!$B$37))),0)</f>
        <v/>
      </c>
      <c r="T2417">
        <f>IF(C2417,(H2417*N2417*IF(AND(Inputs!$B$38&lt;&gt;"pvp",Inputs!$B$43&gt;0),((Skills!G6*((R2417-1)*IF(Skills!H6&gt;0,Skills!I6/Skills!H6,1)+IF(Skills!H6&gt;0,MIN(Skills!I6,MAX(0,MAX(0,Inputs!$B$43-B2450)-((R2417-1)*IF(Inputs!$B$38="pvp",15,MAX(0.1,Skills!D6-IF(TRUE=TRUE,Inputs!$B$32,0)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2450)-((R2417-1)*IF(Inputs!$B$38="pvp",15,MAX(0.1,Skills!D6-IF(TRUE=TRUE,Inputs!$B$32,0))))))/Skills!H6,1)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Skills!G7*IF(Skills!H7&gt;0,IF(Inputs!$B$38="pvp",MIN(Skills!I7,15),Skills!I7)/Skills!H7,1)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IFERROR(1/IF(Inputs!$B$38="pvp",15,MAX(0.1,Skills!D7-IF(TRUE=TRUE,Inputs!$B$32,0))),0)</f>
        <v/>
      </c>
      <c r="R2418">
        <f>IF(AND(Inputs!$B$38&lt;&gt;"pvp",Inputs!$B$43&gt;0),IF(MAX(0,Inputs!$B$43-B2450)&lt;=0,0,(INT(MAX(0,Inputs!$B$43-B2450)/IF(Inputs!$B$38="pvp",15,MAX(0.1,Skills!D7-IF(TRUE=TRUE,Inputs!$B$32,0))))+1)),0)</f>
        <v/>
      </c>
      <c r="S2418">
        <f>IFERROR((H2418*N2418*IF(AND(Inputs!$B$38&lt;&gt;"pvp",Inputs!$B$43&gt;0),((Skills!G7*((R2418-1)*IF(Skills!H7&gt;0,Skills!I7/Skills!H7,1)+IF(Skills!H7&gt;0,MIN(Skills!I7,MAX(0,MAX(0,Inputs!$B$43-B2450)-((R2418-1)*IF(Inputs!$B$38="pvp",15,MAX(0.1,Skills!D7-IF(TRUE=TRUE,Inputs!$B$32,0))))))/Skills!H7,1)))/Inputs!$B$43),G2418*Q2418))/N2418*IF(Inputs!$B$38="pvp",1,(1-Summary!$B$11)*1+Summary!$B$11*(MIN(Skills!R7,Inputs!$B$37))),0)</f>
        <v/>
      </c>
      <c r="T2418">
        <f>IF(C2418,(H2418*N2418*IF(AND(Inputs!$B$38&lt;&gt;"pvp",Inputs!$B$43&gt;0),((Skills!G7*((R2418-1)*IF(Skills!H7&gt;0,Skills!I7/Skills!H7,1)+IF(Skills!H7&gt;0,MIN(Skills!I7,MAX(0,MAX(0,Inputs!$B$43-B2450)-((R2418-1)*IF(Inputs!$B$38="pvp",15,MAX(0.1,Skills!D7-IF(TRUE=TRUE,Inputs!$B$32,0)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2450)-((R2418-1)*IF(Inputs!$B$38="pvp",15,MAX(0.1,Skills!D7-IF(TRUE=TRUE,Inputs!$B$32,0))))))/Skills!H7,1)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Skills!G9*IF(Skills!H9&gt;0,IF(Inputs!$B$38="pvp",MIN(Skills!I9,15),Skills!I9)/Skills!H9,1)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IFERROR(1/IF(Inputs!$B$38="pvp",15,MAX(0.1,Skills!D9-IF(TRUE=TRUE,Inputs!$B$32,0))),0)</f>
        <v/>
      </c>
      <c r="R2420">
        <f>IF(AND(Inputs!$B$38&lt;&gt;"pvp",Inputs!$B$43&gt;0),IF(MAX(0,Inputs!$B$43-B2450)&lt;=0,0,(INT(MAX(0,Inputs!$B$43-B2450)/IF(Inputs!$B$38="pvp",15,MAX(0.1,Skills!D9-IF(TRUE=TRUE,Inputs!$B$32,0))))+1)),0)</f>
        <v/>
      </c>
      <c r="S2420">
        <f>IFERROR((H2420*N2420*IF(AND(Inputs!$B$38&lt;&gt;"pvp",Inputs!$B$43&gt;0),((Skills!G9*((R2420-1)*IF(Skills!H9&gt;0,Skills!I9/Skills!H9,1)+IF(Skills!H9&gt;0,MIN(Skills!I9,MAX(0,MAX(0,Inputs!$B$43-B2450)-((R2420-1)*IF(Inputs!$B$38="pvp",15,MAX(0.1,Skills!D9-IF(TRUE=TRUE,Inputs!$B$32,0))))))/Skills!H9,1)))/Inputs!$B$43),G2420*Q2420))/N2420*IF(Inputs!$B$38="pvp",1,(1-Summary!$B$11)*1+Summary!$B$11*(MIN(Skills!R9,Inputs!$B$37))),0)</f>
        <v/>
      </c>
      <c r="T2420">
        <f>IF(C2420,(H2420*N2420*IF(AND(Inputs!$B$38&lt;&gt;"pvp",Inputs!$B$43&gt;0),((Skills!G9*((R2420-1)*IF(Skills!H9&gt;0,Skills!I9/Skills!H9,1)+IF(Skills!H9&gt;0,MIN(Skills!I9,MAX(0,MAX(0,Inputs!$B$43-B2450)-((R2420-1)*IF(Inputs!$B$38="pvp",15,MAX(0.1,Skills!D9-IF(TRUE=TRUE,Inputs!$B$32,0)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2450)-((R2420-1)*IF(Inputs!$B$38="pvp",15,MAX(0.1,Skills!D9-IF(TRUE=TRUE,Inputs!$B$32,0))))))/Skills!H9,1)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Skills!G10*IF(Skills!H10&gt;0,IF(Inputs!$B$38="pvp",MIN(Skills!I10,15),Skills!I10)/Skills!H10,1)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Skills!G11*IF(Skills!H11&gt;0,IF(Inputs!$B$38="pvp",MIN(Skills!I11,15),Skills!I11)/Skills!H11,1)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IFERROR(1/IF(Inputs!$B$38="pvp",15,MAX(0.1,Skills!D11-IF(TRUE=TRUE,Inputs!$B$32,0))),0)</f>
        <v/>
      </c>
      <c r="R2422">
        <f>IF(AND(Inputs!$B$38&lt;&gt;"pvp",Inputs!$B$43&gt;0),IF(MAX(0,Inputs!$B$43-B2450)&lt;=0,0,(INT(MAX(0,Inputs!$B$43-B2450)/IF(Inputs!$B$38="pvp",15,MAX(0.1,Skills!D11-IF(TRUE=TRUE,Inputs!$B$32,0))))+1)),0)</f>
        <v/>
      </c>
      <c r="S2422">
        <f>IFERROR((H2422*N2422*IF(AND(Inputs!$B$38&lt;&gt;"pvp",Inputs!$B$43&gt;0),((Skills!G11*((R2422-1)*IF(Skills!H11&gt;0,Skills!I11/Skills!H11,1)+IF(Skills!H11&gt;0,MIN(Skills!I11,MAX(0,MAX(0,Inputs!$B$43-B2450)-((R2422-1)*IF(Inputs!$B$38="pvp",15,MAX(0.1,Skills!D11-IF(TRUE=TRUE,Inputs!$B$32,0))))))/Skills!H11,1)))/Inputs!$B$43),G2422*Q2422))/N2422*IF(Inputs!$B$38="pvp",1,(1-Summary!$B$11)*1+Summary!$B$11*(MIN(Skills!R11,Inputs!$B$37))),0)</f>
        <v/>
      </c>
      <c r="T2422">
        <f>IF(C2422,(H2422*N2422*IF(AND(Inputs!$B$38&lt;&gt;"pvp",Inputs!$B$43&gt;0),((Skills!G11*((R2422-1)*IF(Skills!H11&gt;0,Skills!I11/Skills!H11,1)+IF(Skills!H11&gt;0,MIN(Skills!I11,MAX(0,MAX(0,Inputs!$B$43-B2450)-((R2422-1)*IF(Inputs!$B$38="pvp",15,MAX(0.1,Skills!D11-IF(TRUE=TRUE,Inputs!$B$32,0)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Inputs!$B$38&lt;&gt;"pvp",Inputs!$B$43=0),1,IF(IF(Inputs!$B$38="pvp",15,Inputs!$B$43)-(B2450)&lt;=0,1,MAX(0,IF(Inputs!$B$38="pvp",15,Inputs!$B$43)-MAX(5,B2450))/(IF(Inputs!$B$38="pvp",15,Inputs!$B$43)-(B2450)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2450)-((R2422-1)*IF(Inputs!$B$38="pvp",15,MAX(0.1,Skills!D11-IF(TRUE=TRUE,Inputs!$B$32,0))))))/Skills!H11,1)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Skills!G12*IF(Skills!H12&gt;0,IF(Inputs!$B$38="pvp",MIN(Skills!I12,15),Skills!I12)/Skills!H12,1)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Skills!G13*IF(Skills!H13&gt;0,IF(Inputs!$B$38="pvp",MIN(Skills!I13,15),Skills!I13)/Skills!H13,1)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Skills!G14*IF(Skills!H14&gt;0,IF(Inputs!$B$38="pvp",MIN(Skills!I14,15),Skills!I14)/Skills!H14,1)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Skills!G15*IF(Skills!H15&gt;0,IF(Inputs!$B$38="pvp",MIN(Skills!I15,15),Skills!I15)/Skills!H15,1)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IFERROR(1/IF(Inputs!$B$38="pvp",15,MAX(0.1,Skills!D15-IF(TRUE=TRUE,Inputs!$B$32,0))),0)</f>
        <v/>
      </c>
      <c r="R2426">
        <f>IF(AND(Inputs!$B$38&lt;&gt;"pvp",Inputs!$B$43&gt;0),IF(Inputs!$B$43&lt;=0,0,(INT(Inputs!$B$43/IF(Inputs!$B$38="pvp",15,MAX(0.1,Skills!D15-IF(TRUE=TRUE,Inputs!$B$32,0))))+1)),0)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Skills!G16*IF(Skills!H16&gt;0,IF(Inputs!$B$38="pvp",MIN(Skills!I16,15),Skills!I16)/Skills!H16,1)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IFERROR(1/IF(Inputs!$B$38="pvp",15,MAX(0.1,Skills!D16-IF(TRUE=TRUE,Inputs!$B$32,0))),0)</f>
        <v/>
      </c>
      <c r="R2427">
        <f>IF(AND(Inputs!$B$38&lt;&gt;"pvp",Inputs!$B$43&gt;0),IF(Inputs!$B$43&lt;=0,0,(INT(Inputs!$B$43/IF(Inputs!$B$38="pvp",15,MAX(0.1,Skills!D16-IF(TRUE=TRUE,Inputs!$B$32,0))))+1)),0)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Skills!G17*IF(Skills!H17&gt;0,IF(Inputs!$B$38="pvp",MIN(Skills!I17,15),Skills!I17)/Skills!H17,1)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Skills!G18*IF(Skills!H18&gt;0,IF(Inputs!$B$38="pvp",MIN(Skills!I18,15),Skills!I18)/Skills!H18,1)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IFERROR(1/IF(Inputs!$B$38="pvp",15,MAX(0.1,Skills!D18-IF(TRUE=TRUE,Inputs!$B$32,0))),0)</f>
        <v/>
      </c>
      <c r="R2429">
        <f>IF(AND(Inputs!$B$38&lt;&gt;"pvp",Inputs!$B$43&gt;0),IF(Inputs!$B$43&lt;=0,0,(INT(Inputs!$B$43/IF(Inputs!$B$38="pvp",15,MAX(0.1,Skills!D18-IF(TRUE=TRUE,Inputs!$B$32,0))))+1)),0)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Skills!G19*IF(Skills!H19&gt;0,IF(Inputs!$B$38="pvp",MIN(Skills!I19,15),Skills!I19)/Skills!H19,1)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Skills!G20*IF(Skills!H20&gt;0,IF(Inputs!$B$38="pvp",MIN(Skills!I20,15),Skills!I20)/Skills!H20,1)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Skills!G21*IF(Skills!H21&gt;0,IF(Inputs!$B$38="pvp",MIN(Skills!I21,15),Skills!I21)/Skills!H21,1)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Skills!G22*IF(Skills!H22&gt;0,IF(Inputs!$B$38="pvp",MIN(Skills!I22,15),Skills!I22)/Skills!H22,1)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Skills!G23*IF(Skills!H23&gt;0,IF(Inputs!$B$38="pvp",MIN(Skills!I23,15),Skills!I23)/Skills!H23,1)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Skills!G24*IF(Skills!H24&gt;0,IF(Inputs!$B$38="pvp",MIN(Skills!I24,15),Skills!I24)/Skills!H24,1)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Skills!G25*IF(Skills!H25&gt;0,IF(Inputs!$B$38="pvp",MIN(Skills!I25,15),Skills!I25)/Skills!H25,1)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Skills!G26*IF(Skills!H26&gt;0,IF(Inputs!$B$38="pvp",MIN(Skills!I26,15),Skills!I26)/Skills!H26,1)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Skills!G27*IF(Skills!H27&gt;0,IF(Inputs!$B$38="pvp",MIN(Skills!I27,15),Skills!I27)/Skills!H27,1)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Skills!G28*IF(Skills!H28&gt;0,IF(Inputs!$B$38="pvp",MIN(Skills!I28,15),Skills!I28)/Skills!H28,1)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Skills!G29*IF(Skills!H29&gt;0,IF(Inputs!$B$38="pvp",MIN(Skills!I29,15),Skills!I29)/Skills!H29,1)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MIN((Skills!T15*(1+Inputs!$B$34/100)),(1/Q2426))+MIN((Skills!T15*(1+Inputs!$B$34/100)),MAX(0,Inputs!$B$43-((R2426-1)*(1/Q2426)))))/Inputs!$B$43),IF(Inputs!$B$38="pvp",MIN((Skills!T15*(1+Inputs!$B$34/100)),15)/15,MIN(1,(Skills!T15*(1+Inputs!$B$34/100))/(1/Q2426)))))+((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t="n">
        <v>0</v>
      </c>
    </row>
    <row r="2444">
      <c r="A2444" t="inlineStr">
        <is>
          <t>Attack Speed Buff Bonus %</t>
        </is>
      </c>
      <c r="B2444">
        <f>((C2429=TRUE)*F2429*IF(AND(Inputs!$B$38&lt;&gt;"pvp",Inputs!$B$43&gt;0),(((R2429-1)*MIN((Skills!T18*(1+Inputs!$B$34/100)),(1/Q2429))+MIN((Skills!T18*(1+Inputs!$B$34/100)),MAX(0,Inputs!$B$43-((R2429-1)*(1/Q2429)))))/Inputs!$B$43),IF(Inputs!$B$38="pvp",MIN((Skills!T18*(1+Inputs!$B$34/100)),15)/15,MIN(1,(Skills!T18*(1+Inputs!$B$34/100))/(1/Q2429)))))</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MIN((Skills!T16*(1+Inputs!$B$34/100)),(1/Q2427))+MIN((Skills!T16*(1+Inputs!$B$34/100)),MAX(0,Inputs!$B$43-((R2427-1)*(1/Q2427)))))/Inputs!$B$43),IF(Inputs!$B$38="pvp",MIN((Skills!T16*(1+Inputs!$B$34/100)),15)/15,MIN(1,(Skills!T16*(1+Inputs!$B$34/100))/(1/Q2427))))</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Skills!G2*IF(Skills!H2&gt;0,IF(Inputs!$B$38="pvp",MIN(Skills!I2,15),Skills!I2)/Skills!H2,1)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Skills!G5*IF(Skills!H5&gt;0,IF(Inputs!$B$38="pvp",MIN(Skills!I5,15),Skills!I5)/Skills!H5,1)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IFERROR(1/IF(Inputs!$B$38="pvp",15,MAX(0.1,Skills!D5-IF(TRUE=TRUE,Inputs!$B$32,0))),0)</f>
        <v/>
      </c>
      <c r="R2461">
        <f>IF(AND(Inputs!$B$38&lt;&gt;"pvp",Inputs!$B$43&gt;0),IF(MAX(0,Inputs!$B$43-B2495)&lt;=0,0,(INT(MAX(0,Inputs!$B$43-B2495)/IF(Inputs!$B$38="pvp",15,MAX(0.1,Skills!D5-IF(TRUE=TRUE,Inputs!$B$32,0))))+1)),0)</f>
        <v/>
      </c>
      <c r="S2461">
        <f>IFERROR((H2461*N2461*IF(AND(Inputs!$B$38&lt;&gt;"pvp",Inputs!$B$43&gt;0),((Skills!G5*((R2461-1)*IF(Skills!H5&gt;0,Skills!I5/Skills!H5,1)+IF(Skills!H5&gt;0,MIN(Skills!I5,MAX(0,MAX(0,Inputs!$B$43-B2495)-((R2461-1)*IF(Inputs!$B$38="pvp",15,MAX(0.1,Skills!D5-IF(TRUE=TRUE,Inputs!$B$32,0))))))/Skills!H5,1)))/Inputs!$B$43),G2461*Q2461))/N2461*IF(Inputs!$B$38="pvp",1,(1-Summary!$B$11)*1+Summary!$B$11*(MIN(Skills!R5,Inputs!$B$37))),0)</f>
        <v/>
      </c>
      <c r="T2461">
        <f>IF(C2461,(H2461*N2461*IF(AND(Inputs!$B$38&lt;&gt;"pvp",Inputs!$B$43&gt;0),((Skills!G5*((R2461-1)*IF(Skills!H5&gt;0,Skills!I5/Skills!H5,1)+IF(Skills!H5&gt;0,MIN(Skills!I5,MAX(0,MAX(0,Inputs!$B$43-B2495)-((R2461-1)*IF(Inputs!$B$38="pvp",15,MAX(0.1,Skills!D5-IF(TRUE=TRUE,Inputs!$B$32,0))))))/Skills!H5,1)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Skills!I5/Skills!H5,1)+IF(Skills!H5&gt;0,MIN(Skills!I5,MAX(0,MAX(0,Inputs!$B$43-B2495)-((R2461-1)*IF(Inputs!$B$38="pvp",15,MAX(0.1,Skills!D5-IF(TRUE=TRUE,Inputs!$B$32,0))))))/Skills!H5,1)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Skills!G6*IF(Skills!H6&gt;0,IF(Inputs!$B$38="pvp",MIN(Skills!I6,15),Skills!I6)/Skills!H6,1)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IFERROR(1/IF(Inputs!$B$38="pvp",15,MAX(0.1,Skills!D6-IF(TRUE=TRUE,Inputs!$B$32,0))),0)</f>
        <v/>
      </c>
      <c r="R2462">
        <f>IF(AND(Inputs!$B$38&lt;&gt;"pvp",Inputs!$B$43&gt;0),IF(MAX(0,Inputs!$B$43-B2495)&lt;=0,0,(INT(MAX(0,Inputs!$B$43-B2495)/IF(Inputs!$B$38="pvp",15,MAX(0.1,Skills!D6-IF(TRUE=TRUE,Inputs!$B$32,0))))+1)),0)</f>
        <v/>
      </c>
      <c r="S2462">
        <f>IFERROR((H2462*N2462*IF(AND(Inputs!$B$38&lt;&gt;"pvp",Inputs!$B$43&gt;0),((Skills!G6*((R2462-1)*IF(Skills!H6&gt;0,Skills!I6/Skills!H6,1)+IF(Skills!H6&gt;0,MIN(Skills!I6,MAX(0,MAX(0,Inputs!$B$43-B2495)-((R2462-1)*IF(Inputs!$B$38="pvp",15,MAX(0.1,Skills!D6-IF(TRUE=TRUE,Inputs!$B$32,0))))))/Skills!H6,1)))/Inputs!$B$43),G2462*Q2462))/N2462*IF(Inputs!$B$38="pvp",1,(1-Summary!$B$11)*1+Summary!$B$11*(MIN(Skills!R6,Inputs!$B$37))),0)</f>
        <v/>
      </c>
      <c r="T2462">
        <f>IF(C2462,(H2462*N2462*IF(AND(Inputs!$B$38&lt;&gt;"pvp",Inputs!$B$43&gt;0),((Skills!G6*((R2462-1)*IF(Skills!H6&gt;0,Skills!I6/Skills!H6,1)+IF(Skills!H6&gt;0,MIN(Skills!I6,MAX(0,MAX(0,Inputs!$B$43-B2495)-((R2462-1)*IF(Inputs!$B$38="pvp",15,MAX(0.1,Skills!D6-IF(TRUE=TRUE,Inputs!$B$32,0)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2495)-((R2462-1)*IF(Inputs!$B$38="pvp",15,MAX(0.1,Skills!D6-IF(TRUE=TRUE,Inputs!$B$32,0))))))/Skills!H6,1)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Skills!G7*IF(Skills!H7&gt;0,IF(Inputs!$B$38="pvp",MIN(Skills!I7,15),Skills!I7)/Skills!H7,1)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IFERROR(1/IF(Inputs!$B$38="pvp",15,MAX(0.1,Skills!D7-IF(TRUE=TRUE,Inputs!$B$32,0))),0)</f>
        <v/>
      </c>
      <c r="R2463">
        <f>IF(AND(Inputs!$B$38&lt;&gt;"pvp",Inputs!$B$43&gt;0),IF(MAX(0,Inputs!$B$43-B2495)&lt;=0,0,(INT(MAX(0,Inputs!$B$43-B2495)/IF(Inputs!$B$38="pvp",15,MAX(0.1,Skills!D7-IF(TRUE=TRUE,Inputs!$B$32,0))))+1)),0)</f>
        <v/>
      </c>
      <c r="S2463">
        <f>IFERROR((H2463*N2463*IF(AND(Inputs!$B$38&lt;&gt;"pvp",Inputs!$B$43&gt;0),((Skills!G7*((R2463-1)*IF(Skills!H7&gt;0,Skills!I7/Skills!H7,1)+IF(Skills!H7&gt;0,MIN(Skills!I7,MAX(0,MAX(0,Inputs!$B$43-B2495)-((R2463-1)*IF(Inputs!$B$38="pvp",15,MAX(0.1,Skills!D7-IF(TRUE=TRUE,Inputs!$B$32,0))))))/Skills!H7,1)))/Inputs!$B$43),G2463*Q2463))/N2463*IF(Inputs!$B$38="pvp",1,(1-Summary!$B$11)*1+Summary!$B$11*(MIN(Skills!R7,Inputs!$B$37))),0)</f>
        <v/>
      </c>
      <c r="T2463">
        <f>IF(C2463,(H2463*N2463*IF(AND(Inputs!$B$38&lt;&gt;"pvp",Inputs!$B$43&gt;0),((Skills!G7*((R2463-1)*IF(Skills!H7&gt;0,Skills!I7/Skills!H7,1)+IF(Skills!H7&gt;0,MIN(Skills!I7,MAX(0,MAX(0,Inputs!$B$43-B2495)-((R2463-1)*IF(Inputs!$B$38="pvp",15,MAX(0.1,Skills!D7-IF(TRUE=TRUE,Inputs!$B$32,0)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2495)-((R2463-1)*IF(Inputs!$B$38="pvp",15,MAX(0.1,Skills!D7-IF(TRUE=TRUE,Inputs!$B$32,0))))))/Skills!H7,1)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Skills!G9*IF(Skills!H9&gt;0,IF(Inputs!$B$38="pvp",MIN(Skills!I9,15),Skills!I9)/Skills!H9,1)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IFERROR(1/IF(Inputs!$B$38="pvp",15,MAX(0.1,Skills!D9-IF(TRUE=TRUE,Inputs!$B$32,0))),0)</f>
        <v/>
      </c>
      <c r="R2465">
        <f>IF(AND(Inputs!$B$38&lt;&gt;"pvp",Inputs!$B$43&gt;0),IF(MAX(0,Inputs!$B$43-B2495)&lt;=0,0,(INT(MAX(0,Inputs!$B$43-B2495)/IF(Inputs!$B$38="pvp",15,MAX(0.1,Skills!D9-IF(TRUE=TRUE,Inputs!$B$32,0))))+1)),0)</f>
        <v/>
      </c>
      <c r="S2465">
        <f>IFERROR((H2465*N2465*IF(AND(Inputs!$B$38&lt;&gt;"pvp",Inputs!$B$43&gt;0),((Skills!G9*((R2465-1)*IF(Skills!H9&gt;0,Skills!I9/Skills!H9,1)+IF(Skills!H9&gt;0,MIN(Skills!I9,MAX(0,MAX(0,Inputs!$B$43-B2495)-((R2465-1)*IF(Inputs!$B$38="pvp",15,MAX(0.1,Skills!D9-IF(TRUE=TRUE,Inputs!$B$32,0))))))/Skills!H9,1)))/Inputs!$B$43),G2465*Q2465))/N2465*IF(Inputs!$B$38="pvp",1,(1-Summary!$B$11)*1+Summary!$B$11*(MIN(Skills!R9,Inputs!$B$37))),0)</f>
        <v/>
      </c>
      <c r="T2465">
        <f>IF(C2465,(H2465*N2465*IF(AND(Inputs!$B$38&lt;&gt;"pvp",Inputs!$B$43&gt;0),((Skills!G9*((R2465-1)*IF(Skills!H9&gt;0,Skills!I9/Skills!H9,1)+IF(Skills!H9&gt;0,MIN(Skills!I9,MAX(0,MAX(0,Inputs!$B$43-B2495)-((R2465-1)*IF(Inputs!$B$38="pvp",15,MAX(0.1,Skills!D9-IF(TRUE=TRUE,Inputs!$B$32,0)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2495)-((R2465-1)*IF(Inputs!$B$38="pvp",15,MAX(0.1,Skills!D9-IF(TRUE=TRUE,Inputs!$B$32,0))))))/Skills!H9,1)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Skills!G10*IF(Skills!H10&gt;0,IF(Inputs!$B$38="pvp",MIN(Skills!I10,15),Skills!I10)/Skills!H10,1)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Skills!G11*IF(Skills!H11&gt;0,IF(Inputs!$B$38="pvp",MIN(Skills!I11,15),Skills!I11)/Skills!H11,1)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IFERROR(1/IF(Inputs!$B$38="pvp",15,MAX(0.1,Skills!D11-IF(TRUE=TRUE,Inputs!$B$32,0))),0)</f>
        <v/>
      </c>
      <c r="R2467">
        <f>IF(AND(Inputs!$B$38&lt;&gt;"pvp",Inputs!$B$43&gt;0),IF(MAX(0,Inputs!$B$43-B2495)&lt;=0,0,(INT(MAX(0,Inputs!$B$43-B2495)/IF(Inputs!$B$38="pvp",15,MAX(0.1,Skills!D11-IF(TRUE=TRUE,Inputs!$B$32,0))))+1)),0)</f>
        <v/>
      </c>
      <c r="S2467">
        <f>IFERROR((H2467*N2467*IF(AND(Inputs!$B$38&lt;&gt;"pvp",Inputs!$B$43&gt;0),((Skills!G11*((R2467-1)*IF(Skills!H11&gt;0,Skills!I11/Skills!H11,1)+IF(Skills!H11&gt;0,MIN(Skills!I11,MAX(0,MAX(0,Inputs!$B$43-B2495)-((R2467-1)*IF(Inputs!$B$38="pvp",15,MAX(0.1,Skills!D11-IF(TRUE=TRUE,Inputs!$B$32,0))))))/Skills!H11,1)))/Inputs!$B$43),G2467*Q2467))/N2467*IF(Inputs!$B$38="pvp",1,(1-Summary!$B$11)*1+Summary!$B$11*(MIN(Skills!R11,Inputs!$B$37))),0)</f>
        <v/>
      </c>
      <c r="T2467">
        <f>IF(C2467,(H2467*N2467*IF(AND(Inputs!$B$38&lt;&gt;"pvp",Inputs!$B$43&gt;0),((Skills!G11*((R2467-1)*IF(Skills!H11&gt;0,Skills!I11/Skills!H11,1)+IF(Skills!H11&gt;0,MIN(Skills!I11,MAX(0,MAX(0,Inputs!$B$43-B2495)-((R2467-1)*IF(Inputs!$B$38="pvp",15,MAX(0.1,Skills!D11-IF(TRUE=TRUE,Inputs!$B$32,0))))))/Skills!H11,1)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Inputs!$B$38&lt;&gt;"pvp",Inputs!$B$43=0),1,IF(IF(Inputs!$B$38="pvp",15,Inputs!$B$43)-(B2495)&lt;=0,1,MAX(0,IF(Inputs!$B$38="pvp",15,Inputs!$B$43)-MAX(5,B2495))/(IF(Inputs!$B$38="pvp",15,Inputs!$B$43)-(B2495))))*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Skills!I11/Skills!H11,1)+IF(Skills!H11&gt;0,MIN(Skills!I11,MAX(0,MAX(0,Inputs!$B$43-B2495)-((R2467-1)*IF(Inputs!$B$38="pvp",15,MAX(0.1,Skills!D11-IF(TRUE=TRUE,Inputs!$B$32,0))))))/Skills!H11,1)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Skills!G12*IF(Skills!H12&gt;0,IF(Inputs!$B$38="pvp",MIN(Skills!I12,15),Skills!I12)/Skills!H12,1)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Skills!G13*IF(Skills!H13&gt;0,IF(Inputs!$B$38="pvp",MIN(Skills!I13,15),Skills!I13)/Skills!H13,1)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Skills!G14*IF(Skills!H14&gt;0,IF(Inputs!$B$38="pvp",MIN(Skills!I14,15),Skills!I14)/Skills!H14,1)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Skills!G15*IF(Skills!H15&gt;0,IF(Inputs!$B$38="pvp",MIN(Skills!I15,15),Skills!I15)/Skills!H15,1)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IFERROR(1/IF(Inputs!$B$38="pvp",15,MAX(0.1,Skills!D15-IF(TRUE=TRUE,Inputs!$B$32,0))),0)</f>
        <v/>
      </c>
      <c r="R2471">
        <f>IF(AND(Inputs!$B$38&lt;&gt;"pvp",Inputs!$B$43&gt;0),IF(Inputs!$B$43&lt;=0,0,(INT(Inputs!$B$43/IF(Inputs!$B$38="pvp",15,MAX(0.1,Skills!D15-IF(TRUE=TRUE,Inputs!$B$32,0))))+1)),0)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Skills!G16*IF(Skills!H16&gt;0,IF(Inputs!$B$38="pvp",MIN(Skills!I16,15),Skills!I16)/Skills!H16,1)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IFERROR(1/IF(Inputs!$B$38="pvp",15,MAX(0.1,Skills!D16-IF(TRUE=TRUE,Inputs!$B$32,0))),0)</f>
        <v/>
      </c>
      <c r="R2472">
        <f>IF(AND(Inputs!$B$38&lt;&gt;"pvp",Inputs!$B$43&gt;0),IF(Inputs!$B$43&lt;=0,0,(INT(Inputs!$B$43/IF(Inputs!$B$38="pvp",15,MAX(0.1,Skills!D16-IF(TRUE=TRUE,Inputs!$B$32,0))))+1)),0)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Skills!G17*IF(Skills!H17&gt;0,IF(Inputs!$B$38="pvp",MIN(Skills!I17,15),Skills!I17)/Skills!H17,1)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Skills!G18*IF(Skills!H18&gt;0,IF(Inputs!$B$38="pvp",MIN(Skills!I18,15),Skills!I18)/Skills!H18,1)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IFERROR(1/IF(Inputs!$B$38="pvp",15,MAX(0.1,Skills!D18-IF(TRUE=TRUE,Inputs!$B$32,0))),0)</f>
        <v/>
      </c>
      <c r="R2474">
        <f>IF(AND(Inputs!$B$38&lt;&gt;"pvp",Inputs!$B$43&gt;0),IF(Inputs!$B$43&lt;=0,0,(INT(Inputs!$B$43/IF(Inputs!$B$38="pvp",15,MAX(0.1,Skills!D18-IF(TRUE=TRUE,Inputs!$B$32,0))))+1)),0)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Skills!G19*IF(Skills!H19&gt;0,IF(Inputs!$B$38="pvp",MIN(Skills!I19,15),Skills!I19)/Skills!H19,1)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Skills!G20*IF(Skills!H20&gt;0,IF(Inputs!$B$38="pvp",MIN(Skills!I20,15),Skills!I20)/Skills!H20,1)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Skills!G21*IF(Skills!H21&gt;0,IF(Inputs!$B$38="pvp",MIN(Skills!I21,15),Skills!I21)/Skills!H21,1)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Skills!G22*IF(Skills!H22&gt;0,IF(Inputs!$B$38="pvp",MIN(Skills!I22,15),Skills!I22)/Skills!H22,1)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Skills!G23*IF(Skills!H23&gt;0,IF(Inputs!$B$38="pvp",MIN(Skills!I23,15),Skills!I23)/Skills!H23,1)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Skills!G24*IF(Skills!H24&gt;0,IF(Inputs!$B$38="pvp",MIN(Skills!I24,15),Skills!I24)/Skills!H24,1)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Skills!G25*IF(Skills!H25&gt;0,IF(Inputs!$B$38="pvp",MIN(Skills!I25,15),Skills!I25)/Skills!H25,1)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Skills!G26*IF(Skills!H26&gt;0,IF(Inputs!$B$38="pvp",MIN(Skills!I26,15),Skills!I26)/Skills!H26,1)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Skills!G27*IF(Skills!H27&gt;0,IF(Inputs!$B$38="pvp",MIN(Skills!I27,15),Skills!I27)/Skills!H27,1)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Skills!G28*IF(Skills!H28&gt;0,IF(Inputs!$B$38="pvp",MIN(Skills!I28,15),Skills!I28)/Skills!H28,1)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Skills!G29*IF(Skills!H29&gt;0,IF(Inputs!$B$38="pvp",MIN(Skills!I29,15),Skills!I29)/Skills!H29,1)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MIN((Skills!T15*(1+Inputs!$B$34/100)),(1/Q2471))+MIN((Skills!T15*(1+Inputs!$B$34/100)),MAX(0,Inputs!$B$43-((R2471-1)*(1/Q2471)))))/Inputs!$B$43),IF(Inputs!$B$38="pvp",MIN((Skills!T15*(1+Inputs!$B$34/100)),15)/15,MIN(1,(Skills!T15*(1+Inputs!$B$34/100))/(1/Q2471)))))+((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t="n">
        <v>0</v>
      </c>
    </row>
    <row r="2489">
      <c r="A2489" t="inlineStr">
        <is>
          <t>Attack Speed Buff Bonus %</t>
        </is>
      </c>
      <c r="B2489">
        <f>((C2474=TRUE)*F2474*IF(AND(Inputs!$B$38&lt;&gt;"pvp",Inputs!$B$43&gt;0),(((R2474-1)*MIN((Skills!T18*(1+Inputs!$B$34/100)),(1/Q2474))+MIN((Skills!T18*(1+Inputs!$B$34/100)),MAX(0,Inputs!$B$43-((R2474-1)*(1/Q2474)))))/Inputs!$B$43),IF(Inputs!$B$38="pvp",MIN((Skills!T18*(1+Inputs!$B$34/100)),15)/15,MIN(1,(Skills!T18*(1+Inputs!$B$34/100))/(1/Q2474)))))</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MIN((Skills!T16*(1+Inputs!$B$34/100)),(1/Q2472))+MIN((Skills!T16*(1+Inputs!$B$34/100)),MAX(0,Inputs!$B$43-((R2472-1)*(1/Q2472)))))/Inputs!$B$43),IF(Inputs!$B$38="pvp",MIN((Skills!T16*(1+Inputs!$B$34/100)),15)/15,MIN(1,(Skills!T16*(1+Inputs!$B$34/100))/(1/Q2472))))</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Skills!G2*IF(Skills!H2&gt;0,IF(Inputs!$B$38="pvp",MIN(Skills!I2,15),Skills!I2)/Skills!H2,1)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Skills!G5*IF(Skills!H5&gt;0,IF(Inputs!$B$38="pvp",MIN(Skills!I5,15),Skills!I5)/Skills!H5,1)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IFERROR(1/IF(Inputs!$B$38="pvp",15,MAX(0.1,Skills!D5-IF(TRUE=TRUE,Inputs!$B$32,0))),0)</f>
        <v/>
      </c>
      <c r="R2506">
        <f>IF(AND(Inputs!$B$38&lt;&gt;"pvp",Inputs!$B$43&gt;0),IF(MAX(0,Inputs!$B$43-B2540)&lt;=0,0,(INT(MAX(0,Inputs!$B$43-B2540)/IF(Inputs!$B$38="pvp",15,MAX(0.1,Skills!D5-IF(TRUE=TRUE,Inputs!$B$32,0))))+1)),0)</f>
        <v/>
      </c>
      <c r="S2506">
        <f>IFERROR((H2506*N2506*IF(AND(Inputs!$B$38&lt;&gt;"pvp",Inputs!$B$43&gt;0),((Skills!G5*((R2506-1)*IF(Skills!H5&gt;0,Skills!I5/Skills!H5,1)+IF(Skills!H5&gt;0,MIN(Skills!I5,MAX(0,MAX(0,Inputs!$B$43-B2540)-((R2506-1)*IF(Inputs!$B$38="pvp",15,MAX(0.1,Skills!D5-IF(TRUE=TRUE,Inputs!$B$32,0))))))/Skills!H5,1)))/Inputs!$B$43),G2506*Q2506))/N2506*IF(Inputs!$B$38="pvp",1,(1-Summary!$B$11)*1+Summary!$B$11*(MIN(Skills!R5,Inputs!$B$37))),0)</f>
        <v/>
      </c>
      <c r="T2506">
        <f>IF(C2506,(H2506*N2506*IF(AND(Inputs!$B$38&lt;&gt;"pvp",Inputs!$B$43&gt;0),((Skills!G5*((R2506-1)*IF(Skills!H5&gt;0,Skills!I5/Skills!H5,1)+IF(Skills!H5&gt;0,MIN(Skills!I5,MAX(0,MAX(0,Inputs!$B$43-B2540)-((R2506-1)*IF(Inputs!$B$38="pvp",15,MAX(0.1,Skills!D5-IF(TRUE=TRUE,Inputs!$B$32,0))))))/Skills!H5,1)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Skills!I5/Skills!H5,1)+IF(Skills!H5&gt;0,MIN(Skills!I5,MAX(0,MAX(0,Inputs!$B$43-B2540)-((R2506-1)*IF(Inputs!$B$38="pvp",15,MAX(0.1,Skills!D5-IF(TRUE=TRUE,Inputs!$B$32,0))))))/Skills!H5,1)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Skills!G6*IF(Skills!H6&gt;0,IF(Inputs!$B$38="pvp",MIN(Skills!I6,15),Skills!I6)/Skills!H6,1)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IFERROR(1/IF(Inputs!$B$38="pvp",15,MAX(0.1,Skills!D6-IF(TRUE=TRUE,Inputs!$B$32,0))),0)</f>
        <v/>
      </c>
      <c r="R2507">
        <f>IF(AND(Inputs!$B$38&lt;&gt;"pvp",Inputs!$B$43&gt;0),IF(MAX(0,Inputs!$B$43-B2540)&lt;=0,0,(INT(MAX(0,Inputs!$B$43-B2540)/IF(Inputs!$B$38="pvp",15,MAX(0.1,Skills!D6-IF(TRUE=TRUE,Inputs!$B$32,0))))+1)),0)</f>
        <v/>
      </c>
      <c r="S2507">
        <f>IFERROR((H2507*N2507*IF(AND(Inputs!$B$38&lt;&gt;"pvp",Inputs!$B$43&gt;0),((Skills!G6*((R2507-1)*IF(Skills!H6&gt;0,Skills!I6/Skills!H6,1)+IF(Skills!H6&gt;0,MIN(Skills!I6,MAX(0,MAX(0,Inputs!$B$43-B2540)-((R2507-1)*IF(Inputs!$B$38="pvp",15,MAX(0.1,Skills!D6-IF(TRUE=TRUE,Inputs!$B$32,0))))))/Skills!H6,1)))/Inputs!$B$43),G2507*Q2507))/N2507*IF(Inputs!$B$38="pvp",1,(1-Summary!$B$11)*1+Summary!$B$11*(MIN(Skills!R6,Inputs!$B$37))),0)</f>
        <v/>
      </c>
      <c r="T2507">
        <f>IF(C2507,(H2507*N2507*IF(AND(Inputs!$B$38&lt;&gt;"pvp",Inputs!$B$43&gt;0),((Skills!G6*((R2507-1)*IF(Skills!H6&gt;0,Skills!I6/Skills!H6,1)+IF(Skills!H6&gt;0,MIN(Skills!I6,MAX(0,MAX(0,Inputs!$B$43-B2540)-((R2507-1)*IF(Inputs!$B$38="pvp",15,MAX(0.1,Skills!D6-IF(TRUE=TRUE,Inputs!$B$32,0)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2540)-((R2507-1)*IF(Inputs!$B$38="pvp",15,MAX(0.1,Skills!D6-IF(TRUE=TRUE,Inputs!$B$32,0))))))/Skills!H6,1)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Skills!G7*IF(Skills!H7&gt;0,IF(Inputs!$B$38="pvp",MIN(Skills!I7,15),Skills!I7)/Skills!H7,1)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IFERROR(1/IF(Inputs!$B$38="pvp",15,MAX(0.1,Skills!D7-IF(TRUE=TRUE,Inputs!$B$32,0))),0)</f>
        <v/>
      </c>
      <c r="R2508">
        <f>IF(AND(Inputs!$B$38&lt;&gt;"pvp",Inputs!$B$43&gt;0),IF(MAX(0,Inputs!$B$43-B2540)&lt;=0,0,(INT(MAX(0,Inputs!$B$43-B2540)/IF(Inputs!$B$38="pvp",15,MAX(0.1,Skills!D7-IF(TRUE=TRUE,Inputs!$B$32,0))))+1)),0)</f>
        <v/>
      </c>
      <c r="S2508">
        <f>IFERROR((H2508*N2508*IF(AND(Inputs!$B$38&lt;&gt;"pvp",Inputs!$B$43&gt;0),((Skills!G7*((R2508-1)*IF(Skills!H7&gt;0,Skills!I7/Skills!H7,1)+IF(Skills!H7&gt;0,MIN(Skills!I7,MAX(0,MAX(0,Inputs!$B$43-B2540)-((R2508-1)*IF(Inputs!$B$38="pvp",15,MAX(0.1,Skills!D7-IF(TRUE=TRUE,Inputs!$B$32,0))))))/Skills!H7,1)))/Inputs!$B$43),G2508*Q2508))/N2508*IF(Inputs!$B$38="pvp",1,(1-Summary!$B$11)*1+Summary!$B$11*(MIN(Skills!R7,Inputs!$B$37))),0)</f>
        <v/>
      </c>
      <c r="T2508">
        <f>IF(C2508,(H2508*N2508*IF(AND(Inputs!$B$38&lt;&gt;"pvp",Inputs!$B$43&gt;0),((Skills!G7*((R2508-1)*IF(Skills!H7&gt;0,Skills!I7/Skills!H7,1)+IF(Skills!H7&gt;0,MIN(Skills!I7,MAX(0,MAX(0,Inputs!$B$43-B2540)-((R2508-1)*IF(Inputs!$B$38="pvp",15,MAX(0.1,Skills!D7-IF(TRUE=TRUE,Inputs!$B$32,0)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2540)-((R2508-1)*IF(Inputs!$B$38="pvp",15,MAX(0.1,Skills!D7-IF(TRUE=TRUE,Inputs!$B$32,0))))))/Skills!H7,1)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Skills!G9*IF(Skills!H9&gt;0,IF(Inputs!$B$38="pvp",MIN(Skills!I9,15),Skills!I9)/Skills!H9,1)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IFERROR(1/IF(Inputs!$B$38="pvp",15,MAX(0.1,Skills!D9-IF(TRUE=TRUE,Inputs!$B$32,0))),0)</f>
        <v/>
      </c>
      <c r="R2510">
        <f>IF(AND(Inputs!$B$38&lt;&gt;"pvp",Inputs!$B$43&gt;0),IF(MAX(0,Inputs!$B$43-B2540)&lt;=0,0,(INT(MAX(0,Inputs!$B$43-B2540)/IF(Inputs!$B$38="pvp",15,MAX(0.1,Skills!D9-IF(TRUE=TRUE,Inputs!$B$32,0))))+1)),0)</f>
        <v/>
      </c>
      <c r="S2510">
        <f>IFERROR((H2510*N2510*IF(AND(Inputs!$B$38&lt;&gt;"pvp",Inputs!$B$43&gt;0),((Skills!G9*((R2510-1)*IF(Skills!H9&gt;0,Skills!I9/Skills!H9,1)+IF(Skills!H9&gt;0,MIN(Skills!I9,MAX(0,MAX(0,Inputs!$B$43-B2540)-((R2510-1)*IF(Inputs!$B$38="pvp",15,MAX(0.1,Skills!D9-IF(TRUE=TRUE,Inputs!$B$32,0))))))/Skills!H9,1)))/Inputs!$B$43),G2510*Q2510))/N2510*IF(Inputs!$B$38="pvp",1,(1-Summary!$B$11)*1+Summary!$B$11*(MIN(Skills!R9,Inputs!$B$37))),0)</f>
        <v/>
      </c>
      <c r="T2510">
        <f>IF(C2510,(H2510*N2510*IF(AND(Inputs!$B$38&lt;&gt;"pvp",Inputs!$B$43&gt;0),((Skills!G9*((R2510-1)*IF(Skills!H9&gt;0,Skills!I9/Skills!H9,1)+IF(Skills!H9&gt;0,MIN(Skills!I9,MAX(0,MAX(0,Inputs!$B$43-B2540)-((R2510-1)*IF(Inputs!$B$38="pvp",15,MAX(0.1,Skills!D9-IF(TRUE=TRUE,Inputs!$B$32,0)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2540)-((R2510-1)*IF(Inputs!$B$38="pvp",15,MAX(0.1,Skills!D9-IF(TRUE=TRUE,Inputs!$B$32,0))))))/Skills!H9,1)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Skills!G10*IF(Skills!H10&gt;0,IF(Inputs!$B$38="pvp",MIN(Skills!I10,15),Skills!I10)/Skills!H10,1)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Skills!G11*IF(Skills!H11&gt;0,IF(Inputs!$B$38="pvp",MIN(Skills!I11,15),Skills!I11)/Skills!H11,1)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IFERROR(1/IF(Inputs!$B$38="pvp",15,MAX(0.1,Skills!D11-IF(TRUE=TRUE,Inputs!$B$32,0))),0)</f>
        <v/>
      </c>
      <c r="R2512">
        <f>IF(AND(Inputs!$B$38&lt;&gt;"pvp",Inputs!$B$43&gt;0),IF(MAX(0,Inputs!$B$43-B2540)&lt;=0,0,(INT(MAX(0,Inputs!$B$43-B2540)/IF(Inputs!$B$38="pvp",15,MAX(0.1,Skills!D11-IF(TRUE=TRUE,Inputs!$B$32,0))))+1)),0)</f>
        <v/>
      </c>
      <c r="S2512">
        <f>IFERROR((H2512*N2512*IF(AND(Inputs!$B$38&lt;&gt;"pvp",Inputs!$B$43&gt;0),((Skills!G11*((R2512-1)*IF(Skills!H11&gt;0,Skills!I11/Skills!H11,1)+IF(Skills!H11&gt;0,MIN(Skills!I11,MAX(0,MAX(0,Inputs!$B$43-B2540)-((R2512-1)*IF(Inputs!$B$38="pvp",15,MAX(0.1,Skills!D11-IF(TRUE=TRUE,Inputs!$B$32,0))))))/Skills!H11,1)))/Inputs!$B$43),G2512*Q2512))/N2512*IF(Inputs!$B$38="pvp",1,(1-Summary!$B$11)*1+Summary!$B$11*(MIN(Skills!R11,Inputs!$B$37))),0)</f>
        <v/>
      </c>
      <c r="T2512">
        <f>IF(C2512,(H2512*N2512*IF(AND(Inputs!$B$38&lt;&gt;"pvp",Inputs!$B$43&gt;0),((Skills!G11*((R2512-1)*IF(Skills!H11&gt;0,Skills!I11/Skills!H11,1)+IF(Skills!H11&gt;0,MIN(Skills!I11,MAX(0,MAX(0,Inputs!$B$43-B2540)-((R2512-1)*IF(Inputs!$B$38="pvp",15,MAX(0.1,Skills!D11-IF(TRUE=TRUE,Inputs!$B$32,0))))))/Skills!H11,1)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Inputs!$B$38&lt;&gt;"pvp",Inputs!$B$43=0),1,IF(IF(Inputs!$B$38="pvp",15,Inputs!$B$43)-(B2540)&lt;=0,1,MAX(0,IF(Inputs!$B$38="pvp",15,Inputs!$B$43)-MAX(5,B2540))/(IF(Inputs!$B$38="pvp",15,Inputs!$B$43)-(B2540)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Skills!I11/Skills!H11,1)+IF(Skills!H11&gt;0,MIN(Skills!I11,MAX(0,MAX(0,Inputs!$B$43-B2540)-((R2512-1)*IF(Inputs!$B$38="pvp",15,MAX(0.1,Skills!D11-IF(TRUE=TRUE,Inputs!$B$32,0))))))/Skills!H11,1)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Skills!G12*IF(Skills!H12&gt;0,IF(Inputs!$B$38="pvp",MIN(Skills!I12,15),Skills!I12)/Skills!H12,1)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Skills!G13*IF(Skills!H13&gt;0,IF(Inputs!$B$38="pvp",MIN(Skills!I13,15),Skills!I13)/Skills!H13,1)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Skills!G14*IF(Skills!H14&gt;0,IF(Inputs!$B$38="pvp",MIN(Skills!I14,15),Skills!I14)/Skills!H14,1)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Skills!G15*IF(Skills!H15&gt;0,IF(Inputs!$B$38="pvp",MIN(Skills!I15,15),Skills!I15)/Skills!H15,1)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IFERROR(1/IF(Inputs!$B$38="pvp",15,MAX(0.1,Skills!D15-IF(TRUE=TRUE,Inputs!$B$32,0))),0)</f>
        <v/>
      </c>
      <c r="R2516">
        <f>IF(AND(Inputs!$B$38&lt;&gt;"pvp",Inputs!$B$43&gt;0),IF(Inputs!$B$43&lt;=0,0,(INT(Inputs!$B$43/IF(Inputs!$B$38="pvp",15,MAX(0.1,Skills!D15-IF(TRUE=TRUE,Inputs!$B$32,0))))+1)),0)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Skills!G16*IF(Skills!H16&gt;0,IF(Inputs!$B$38="pvp",MIN(Skills!I16,15),Skills!I16)/Skills!H16,1)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IFERROR(1/IF(Inputs!$B$38="pvp",15,MAX(0.1,Skills!D16-IF(TRUE=TRUE,Inputs!$B$32,0))),0)</f>
        <v/>
      </c>
      <c r="R2517">
        <f>IF(AND(Inputs!$B$38&lt;&gt;"pvp",Inputs!$B$43&gt;0),IF(Inputs!$B$43&lt;=0,0,(INT(Inputs!$B$43/IF(Inputs!$B$38="pvp",15,MAX(0.1,Skills!D16-IF(TRUE=TRUE,Inputs!$B$32,0))))+1)),0)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Skills!G17*IF(Skills!H17&gt;0,IF(Inputs!$B$38="pvp",MIN(Skills!I17,15),Skills!I17)/Skills!H17,1)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Skills!G18*IF(Skills!H18&gt;0,IF(Inputs!$B$38="pvp",MIN(Skills!I18,15),Skills!I18)/Skills!H18,1)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IFERROR(1/IF(Inputs!$B$38="pvp",15,MAX(0.1,Skills!D18-IF(TRUE=TRUE,Inputs!$B$32,0))),0)</f>
        <v/>
      </c>
      <c r="R2519">
        <f>IF(AND(Inputs!$B$38&lt;&gt;"pvp",Inputs!$B$43&gt;0),IF(Inputs!$B$43&lt;=0,0,(INT(Inputs!$B$43/IF(Inputs!$B$38="pvp",15,MAX(0.1,Skills!D18-IF(TRUE=TRUE,Inputs!$B$32,0))))+1)),0)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Skills!G19*IF(Skills!H19&gt;0,IF(Inputs!$B$38="pvp",MIN(Skills!I19,15),Skills!I19)/Skills!H19,1)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Skills!G20*IF(Skills!H20&gt;0,IF(Inputs!$B$38="pvp",MIN(Skills!I20,15),Skills!I20)/Skills!H20,1)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Skills!G21*IF(Skills!H21&gt;0,IF(Inputs!$B$38="pvp",MIN(Skills!I21,15),Skills!I21)/Skills!H21,1)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Skills!G22*IF(Skills!H22&gt;0,IF(Inputs!$B$38="pvp",MIN(Skills!I22,15),Skills!I22)/Skills!H22,1)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Skills!G23*IF(Skills!H23&gt;0,IF(Inputs!$B$38="pvp",MIN(Skills!I23,15),Skills!I23)/Skills!H23,1)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Skills!G24*IF(Skills!H24&gt;0,IF(Inputs!$B$38="pvp",MIN(Skills!I24,15),Skills!I24)/Skills!H24,1)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Skills!G25*IF(Skills!H25&gt;0,IF(Inputs!$B$38="pvp",MIN(Skills!I25,15),Skills!I25)/Skills!H25,1)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Skills!G26*IF(Skills!H26&gt;0,IF(Inputs!$B$38="pvp",MIN(Skills!I26,15),Skills!I26)/Skills!H26,1)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Skills!G27*IF(Skills!H27&gt;0,IF(Inputs!$B$38="pvp",MIN(Skills!I27,15),Skills!I27)/Skills!H27,1)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Skills!G28*IF(Skills!H28&gt;0,IF(Inputs!$B$38="pvp",MIN(Skills!I28,15),Skills!I28)/Skills!H28,1)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Skills!G29*IF(Skills!H29&gt;0,IF(Inputs!$B$38="pvp",MIN(Skills!I29,15),Skills!I29)/Skills!H29,1)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MIN((Skills!T15*(1+Inputs!$B$34/100)),(1/Q2516))+MIN((Skills!T15*(1+Inputs!$B$34/100)),MAX(0,Inputs!$B$43-((R2516-1)*(1/Q2516)))))/Inputs!$B$43),IF(Inputs!$B$38="pvp",MIN((Skills!T15*(1+Inputs!$B$34/100)),15)/15,MIN(1,(Skills!T15*(1+Inputs!$B$34/100))/(1/Q2516)))))+((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t="n">
        <v>0</v>
      </c>
    </row>
    <row r="2534">
      <c r="A2534" t="inlineStr">
        <is>
          <t>Attack Speed Buff Bonus %</t>
        </is>
      </c>
      <c r="B2534">
        <f>((C2519=TRUE)*F2519*IF(AND(Inputs!$B$38&lt;&gt;"pvp",Inputs!$B$43&gt;0),(((R2519-1)*MIN((Skills!T18*(1+Inputs!$B$34/100)),(1/Q2519))+MIN((Skills!T18*(1+Inputs!$B$34/100)),MAX(0,Inputs!$B$43-((R2519-1)*(1/Q2519)))))/Inputs!$B$43),IF(Inputs!$B$38="pvp",MIN((Skills!T18*(1+Inputs!$B$34/100)),15)/15,MIN(1,(Skills!T18*(1+Inputs!$B$34/100))/(1/Q2519)))))</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MIN((Skills!T16*(1+Inputs!$B$34/100)),(1/Q2517))+MIN((Skills!T16*(1+Inputs!$B$34/100)),MAX(0,Inputs!$B$43-((R2517-1)*(1/Q2517)))))/Inputs!$B$43),IF(Inputs!$B$38="pvp",MIN((Skills!T16*(1+Inputs!$B$34/100)),15)/15,MIN(1,(Skills!T16*(1+Inputs!$B$34/100))/(1/Q2517))))</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Skills!G2*IF(Skills!H2&gt;0,IF(Inputs!$B$38="pvp",MIN(Skills!I2,15),Skills!I2)/Skills!H2,1)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Skills!G5*IF(Skills!H5&gt;0,IF(Inputs!$B$38="pvp",MIN(Skills!I5,15),Skills!I5)/Skills!H5,1)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IFERROR(1/IF(Inputs!$B$38="pvp",15,MAX(0.1,Skills!D5-IF(TRUE=TRUE,Inputs!$B$32,0))),0)</f>
        <v/>
      </c>
      <c r="R2551">
        <f>IF(AND(Inputs!$B$38&lt;&gt;"pvp",Inputs!$B$43&gt;0),IF(MAX(0,Inputs!$B$43-B2585)&lt;=0,0,(INT(MAX(0,Inputs!$B$43-B2585)/IF(Inputs!$B$38="pvp",15,MAX(0.1,Skills!D5-IF(TRUE=TRUE,Inputs!$B$32,0))))+1)),0)</f>
        <v/>
      </c>
      <c r="S2551">
        <f>IFERROR((H2551*N2551*IF(AND(Inputs!$B$38&lt;&gt;"pvp",Inputs!$B$43&gt;0),((Skills!G5*((R2551-1)*IF(Skills!H5&gt;0,Skills!I5/Skills!H5,1)+IF(Skills!H5&gt;0,MIN(Skills!I5,MAX(0,MAX(0,Inputs!$B$43-B2585)-((R2551-1)*IF(Inputs!$B$38="pvp",15,MAX(0.1,Skills!D5-IF(TRUE=TRUE,Inputs!$B$32,0))))))/Skills!H5,1)))/Inputs!$B$43),G2551*Q2551))/N2551*IF(Inputs!$B$38="pvp",1,(1-Summary!$B$11)*1+Summary!$B$11*(MIN(Skills!R5,Inputs!$B$37))),0)</f>
        <v/>
      </c>
      <c r="T2551">
        <f>IF(C2551,(H2551*N2551*IF(AND(Inputs!$B$38&lt;&gt;"pvp",Inputs!$B$43&gt;0),((Skills!G5*((R2551-1)*IF(Skills!H5&gt;0,Skills!I5/Skills!H5,1)+IF(Skills!H5&gt;0,MIN(Skills!I5,MAX(0,MAX(0,Inputs!$B$43-B2585)-((R2551-1)*IF(Inputs!$B$38="pvp",15,MAX(0.1,Skills!D5-IF(TRUE=TRUE,Inputs!$B$32,0))))))/Skills!H5,1)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Skills!I5/Skills!H5,1)+IF(Skills!H5&gt;0,MIN(Skills!I5,MAX(0,MAX(0,Inputs!$B$43-B2585)-((R2551-1)*IF(Inputs!$B$38="pvp",15,MAX(0.1,Skills!D5-IF(TRUE=TRUE,Inputs!$B$32,0))))))/Skills!H5,1)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Skills!G6*IF(Skills!H6&gt;0,IF(Inputs!$B$38="pvp",MIN(Skills!I6,15),Skills!I6)/Skills!H6,1)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IFERROR(1/IF(Inputs!$B$38="pvp",15,MAX(0.1,Skills!D6-IF(TRUE=TRUE,Inputs!$B$32,0))),0)</f>
        <v/>
      </c>
      <c r="R2552">
        <f>IF(AND(Inputs!$B$38&lt;&gt;"pvp",Inputs!$B$43&gt;0),IF(MAX(0,Inputs!$B$43-B2585)&lt;=0,0,(INT(MAX(0,Inputs!$B$43-B2585)/IF(Inputs!$B$38="pvp",15,MAX(0.1,Skills!D6-IF(TRUE=TRUE,Inputs!$B$32,0))))+1)),0)</f>
        <v/>
      </c>
      <c r="S2552">
        <f>IFERROR((H2552*N2552*IF(AND(Inputs!$B$38&lt;&gt;"pvp",Inputs!$B$43&gt;0),((Skills!G6*((R2552-1)*IF(Skills!H6&gt;0,Skills!I6/Skills!H6,1)+IF(Skills!H6&gt;0,MIN(Skills!I6,MAX(0,MAX(0,Inputs!$B$43-B2585)-((R2552-1)*IF(Inputs!$B$38="pvp",15,MAX(0.1,Skills!D6-IF(TRUE=TRUE,Inputs!$B$32,0))))))/Skills!H6,1)))/Inputs!$B$43),G2552*Q2552))/N2552*IF(Inputs!$B$38="pvp",1,(1-Summary!$B$11)*1+Summary!$B$11*(MIN(Skills!R6,Inputs!$B$37))),0)</f>
        <v/>
      </c>
      <c r="T2552">
        <f>IF(C2552,(H2552*N2552*IF(AND(Inputs!$B$38&lt;&gt;"pvp",Inputs!$B$43&gt;0),((Skills!G6*((R2552-1)*IF(Skills!H6&gt;0,Skills!I6/Skills!H6,1)+IF(Skills!H6&gt;0,MIN(Skills!I6,MAX(0,MAX(0,Inputs!$B$43-B2585)-((R2552-1)*IF(Inputs!$B$38="pvp",15,MAX(0.1,Skills!D6-IF(TRUE=TRUE,Inputs!$B$32,0)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2585)-((R2552-1)*IF(Inputs!$B$38="pvp",15,MAX(0.1,Skills!D6-IF(TRUE=TRUE,Inputs!$B$32,0))))))/Skills!H6,1)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Skills!G7*IF(Skills!H7&gt;0,IF(Inputs!$B$38="pvp",MIN(Skills!I7,15),Skills!I7)/Skills!H7,1)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IFERROR(1/IF(Inputs!$B$38="pvp",15,MAX(0.1,Skills!D7-IF(TRUE=TRUE,Inputs!$B$32,0))),0)</f>
        <v/>
      </c>
      <c r="R2553">
        <f>IF(AND(Inputs!$B$38&lt;&gt;"pvp",Inputs!$B$43&gt;0),IF(MAX(0,Inputs!$B$43-B2585)&lt;=0,0,(INT(MAX(0,Inputs!$B$43-B2585)/IF(Inputs!$B$38="pvp",15,MAX(0.1,Skills!D7-IF(TRUE=TRUE,Inputs!$B$32,0))))+1)),0)</f>
        <v/>
      </c>
      <c r="S2553">
        <f>IFERROR((H2553*N2553*IF(AND(Inputs!$B$38&lt;&gt;"pvp",Inputs!$B$43&gt;0),((Skills!G7*((R2553-1)*IF(Skills!H7&gt;0,Skills!I7/Skills!H7,1)+IF(Skills!H7&gt;0,MIN(Skills!I7,MAX(0,MAX(0,Inputs!$B$43-B2585)-((R2553-1)*IF(Inputs!$B$38="pvp",15,MAX(0.1,Skills!D7-IF(TRUE=TRUE,Inputs!$B$32,0))))))/Skills!H7,1)))/Inputs!$B$43),G2553*Q2553))/N2553*IF(Inputs!$B$38="pvp",1,(1-Summary!$B$11)*1+Summary!$B$11*(MIN(Skills!R7,Inputs!$B$37))),0)</f>
        <v/>
      </c>
      <c r="T2553">
        <f>IF(C2553,(H2553*N2553*IF(AND(Inputs!$B$38&lt;&gt;"pvp",Inputs!$B$43&gt;0),((Skills!G7*((R2553-1)*IF(Skills!H7&gt;0,Skills!I7/Skills!H7,1)+IF(Skills!H7&gt;0,MIN(Skills!I7,MAX(0,MAX(0,Inputs!$B$43-B2585)-((R2553-1)*IF(Inputs!$B$38="pvp",15,MAX(0.1,Skills!D7-IF(TRUE=TRUE,Inputs!$B$32,0)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2585)-((R2553-1)*IF(Inputs!$B$38="pvp",15,MAX(0.1,Skills!D7-IF(TRUE=TRUE,Inputs!$B$32,0))))))/Skills!H7,1)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Skills!G9*IF(Skills!H9&gt;0,IF(Inputs!$B$38="pvp",MIN(Skills!I9,15),Skills!I9)/Skills!H9,1)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IFERROR(1/IF(Inputs!$B$38="pvp",15,MAX(0.1,Skills!D9-IF(TRUE=TRUE,Inputs!$B$32,0))),0)</f>
        <v/>
      </c>
      <c r="R2555">
        <f>IF(AND(Inputs!$B$38&lt;&gt;"pvp",Inputs!$B$43&gt;0),IF(MAX(0,Inputs!$B$43-B2585)&lt;=0,0,(INT(MAX(0,Inputs!$B$43-B2585)/IF(Inputs!$B$38="pvp",15,MAX(0.1,Skills!D9-IF(TRUE=TRUE,Inputs!$B$32,0))))+1)),0)</f>
        <v/>
      </c>
      <c r="S2555">
        <f>IFERROR((H2555*N2555*IF(AND(Inputs!$B$38&lt;&gt;"pvp",Inputs!$B$43&gt;0),((Skills!G9*((R2555-1)*IF(Skills!H9&gt;0,Skills!I9/Skills!H9,1)+IF(Skills!H9&gt;0,MIN(Skills!I9,MAX(0,MAX(0,Inputs!$B$43-B2585)-((R2555-1)*IF(Inputs!$B$38="pvp",15,MAX(0.1,Skills!D9-IF(TRUE=TRUE,Inputs!$B$32,0))))))/Skills!H9,1)))/Inputs!$B$43),G2555*Q2555))/N2555*IF(Inputs!$B$38="pvp",1,(1-Summary!$B$11)*1+Summary!$B$11*(MIN(Skills!R9,Inputs!$B$37))),0)</f>
        <v/>
      </c>
      <c r="T2555">
        <f>IF(C2555,(H2555*N2555*IF(AND(Inputs!$B$38&lt;&gt;"pvp",Inputs!$B$43&gt;0),((Skills!G9*((R2555-1)*IF(Skills!H9&gt;0,Skills!I9/Skills!H9,1)+IF(Skills!H9&gt;0,MIN(Skills!I9,MAX(0,MAX(0,Inputs!$B$43-B2585)-((R2555-1)*IF(Inputs!$B$38="pvp",15,MAX(0.1,Skills!D9-IF(TRUE=TRUE,Inputs!$B$32,0)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2585)-((R2555-1)*IF(Inputs!$B$38="pvp",15,MAX(0.1,Skills!D9-IF(TRUE=TRUE,Inputs!$B$32,0))))))/Skills!H9,1)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Skills!G10*IF(Skills!H10&gt;0,IF(Inputs!$B$38="pvp",MIN(Skills!I10,15),Skills!I10)/Skills!H10,1)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Skills!G11*IF(Skills!H11&gt;0,IF(Inputs!$B$38="pvp",MIN(Skills!I11,15),Skills!I11)/Skills!H11,1)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IFERROR(1/IF(Inputs!$B$38="pvp",15,MAX(0.1,Skills!D11-IF(TRUE=TRUE,Inputs!$B$32,0))),0)</f>
        <v/>
      </c>
      <c r="R2557">
        <f>IF(AND(Inputs!$B$38&lt;&gt;"pvp",Inputs!$B$43&gt;0),IF(MAX(0,Inputs!$B$43-B2585)&lt;=0,0,(INT(MAX(0,Inputs!$B$43-B2585)/IF(Inputs!$B$38="pvp",15,MAX(0.1,Skills!D11-IF(TRUE=TRUE,Inputs!$B$32,0))))+1)),0)</f>
        <v/>
      </c>
      <c r="S2557">
        <f>IFERROR((H2557*N2557*IF(AND(Inputs!$B$38&lt;&gt;"pvp",Inputs!$B$43&gt;0),((Skills!G11*((R2557-1)*IF(Skills!H11&gt;0,Skills!I11/Skills!H11,1)+IF(Skills!H11&gt;0,MIN(Skills!I11,MAX(0,MAX(0,Inputs!$B$43-B2585)-((R2557-1)*IF(Inputs!$B$38="pvp",15,MAX(0.1,Skills!D11-IF(TRUE=TRUE,Inputs!$B$32,0))))))/Skills!H11,1)))/Inputs!$B$43),G2557*Q2557))/N2557*IF(Inputs!$B$38="pvp",1,(1-Summary!$B$11)*1+Summary!$B$11*(MIN(Skills!R11,Inputs!$B$37))),0)</f>
        <v/>
      </c>
      <c r="T2557">
        <f>IF(C2557,(H2557*N2557*IF(AND(Inputs!$B$38&lt;&gt;"pvp",Inputs!$B$43&gt;0),((Skills!G11*((R2557-1)*IF(Skills!H11&gt;0,Skills!I11/Skills!H11,1)+IF(Skills!H11&gt;0,MIN(Skills!I11,MAX(0,MAX(0,Inputs!$B$43-B2585)-((R2557-1)*IF(Inputs!$B$38="pvp",15,MAX(0.1,Skills!D11-IF(TRUE=TRUE,Inputs!$B$32,0))))))/Skills!H11,1)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Inputs!$B$38&lt;&gt;"pvp",Inputs!$B$43=0),1,IF(IF(Inputs!$B$38="pvp",15,Inputs!$B$43)-(B2585)&lt;=0,1,MAX(0,IF(Inputs!$B$38="pvp",15,Inputs!$B$43)-MAX(5,B2585))/(IF(Inputs!$B$38="pvp",15,Inputs!$B$43)-(B2585))))*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Skills!I11/Skills!H11,1)+IF(Skills!H11&gt;0,MIN(Skills!I11,MAX(0,MAX(0,Inputs!$B$43-B2585)-((R2557-1)*IF(Inputs!$B$38="pvp",15,MAX(0.1,Skills!D11-IF(TRUE=TRUE,Inputs!$B$32,0))))))/Skills!H11,1)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Skills!G12*IF(Skills!H12&gt;0,IF(Inputs!$B$38="pvp",MIN(Skills!I12,15),Skills!I12)/Skills!H12,1)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Skills!G13*IF(Skills!H13&gt;0,IF(Inputs!$B$38="pvp",MIN(Skills!I13,15),Skills!I13)/Skills!H13,1)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Skills!G14*IF(Skills!H14&gt;0,IF(Inputs!$B$38="pvp",MIN(Skills!I14,15),Skills!I14)/Skills!H14,1)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Skills!G15*IF(Skills!H15&gt;0,IF(Inputs!$B$38="pvp",MIN(Skills!I15,15),Skills!I15)/Skills!H15,1)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IFERROR(1/IF(Inputs!$B$38="pvp",15,MAX(0.1,Skills!D15-IF(TRUE=TRUE,Inputs!$B$32,0))),0)</f>
        <v/>
      </c>
      <c r="R2561">
        <f>IF(AND(Inputs!$B$38&lt;&gt;"pvp",Inputs!$B$43&gt;0),IF(Inputs!$B$43&lt;=0,0,(INT(Inputs!$B$43/IF(Inputs!$B$38="pvp",15,MAX(0.1,Skills!D15-IF(TRUE=TRUE,Inputs!$B$32,0))))+1)),0)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Skills!G16*IF(Skills!H16&gt;0,IF(Inputs!$B$38="pvp",MIN(Skills!I16,15),Skills!I16)/Skills!H16,1)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IFERROR(1/IF(Inputs!$B$38="pvp",15,MAX(0.1,Skills!D16-IF(TRUE=TRUE,Inputs!$B$32,0))),0)</f>
        <v/>
      </c>
      <c r="R2562">
        <f>IF(AND(Inputs!$B$38&lt;&gt;"pvp",Inputs!$B$43&gt;0),IF(Inputs!$B$43&lt;=0,0,(INT(Inputs!$B$43/IF(Inputs!$B$38="pvp",15,MAX(0.1,Skills!D16-IF(TRUE=TRUE,Inputs!$B$32,0))))+1)),0)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Skills!G17*IF(Skills!H17&gt;0,IF(Inputs!$B$38="pvp",MIN(Skills!I17,15),Skills!I17)/Skills!H17,1)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Skills!G18*IF(Skills!H18&gt;0,IF(Inputs!$B$38="pvp",MIN(Skills!I18,15),Skills!I18)/Skills!H18,1)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IFERROR(1/IF(Inputs!$B$38="pvp",15,MAX(0.1,Skills!D18-IF(TRUE=TRUE,Inputs!$B$32,0))),0)</f>
        <v/>
      </c>
      <c r="R2564">
        <f>IF(AND(Inputs!$B$38&lt;&gt;"pvp",Inputs!$B$43&gt;0),IF(Inputs!$B$43&lt;=0,0,(INT(Inputs!$B$43/IF(Inputs!$B$38="pvp",15,MAX(0.1,Skills!D18-IF(TRUE=TRUE,Inputs!$B$32,0))))+1)),0)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Skills!G19*IF(Skills!H19&gt;0,IF(Inputs!$B$38="pvp",MIN(Skills!I19,15),Skills!I19)/Skills!H19,1)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Skills!G20*IF(Skills!H20&gt;0,IF(Inputs!$B$38="pvp",MIN(Skills!I20,15),Skills!I20)/Skills!H20,1)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Skills!G21*IF(Skills!H21&gt;0,IF(Inputs!$B$38="pvp",MIN(Skills!I21,15),Skills!I21)/Skills!H21,1)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Skills!G22*IF(Skills!H22&gt;0,IF(Inputs!$B$38="pvp",MIN(Skills!I22,15),Skills!I22)/Skills!H22,1)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Skills!G23*IF(Skills!H23&gt;0,IF(Inputs!$B$38="pvp",MIN(Skills!I23,15),Skills!I23)/Skills!H23,1)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Skills!G24*IF(Skills!H24&gt;0,IF(Inputs!$B$38="pvp",MIN(Skills!I24,15),Skills!I24)/Skills!H24,1)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Skills!G25*IF(Skills!H25&gt;0,IF(Inputs!$B$38="pvp",MIN(Skills!I25,15),Skills!I25)/Skills!H25,1)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Skills!G26*IF(Skills!H26&gt;0,IF(Inputs!$B$38="pvp",MIN(Skills!I26,15),Skills!I26)/Skills!H26,1)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Skills!G27*IF(Skills!H27&gt;0,IF(Inputs!$B$38="pvp",MIN(Skills!I27,15),Skills!I27)/Skills!H27,1)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Skills!G28*IF(Skills!H28&gt;0,IF(Inputs!$B$38="pvp",MIN(Skills!I28,15),Skills!I28)/Skills!H28,1)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Skills!G29*IF(Skills!H29&gt;0,IF(Inputs!$B$38="pvp",MIN(Skills!I29,15),Skills!I29)/Skills!H29,1)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MIN((Skills!T15*(1+Inputs!$B$34/100)),(1/Q2561))+MIN((Skills!T15*(1+Inputs!$B$34/100)),MAX(0,Inputs!$B$43-((R2561-1)*(1/Q2561)))))/Inputs!$B$43),IF(Inputs!$B$38="pvp",MIN((Skills!T15*(1+Inputs!$B$34/100)),15)/15,MIN(1,(Skills!T15*(1+Inputs!$B$34/100))/(1/Q2561)))))+((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2564=TRUE)*F2564*IF(AND(Inputs!$B$38&lt;&gt;"pvp",Inputs!$B$43&gt;0),(((R2564-1)*MIN((Skills!T18*(1+Inputs!$B$34/100)),(1/Q2564))+MIN((Skills!T18*(1+Inputs!$B$34/100)),MAX(0,Inputs!$B$43-((R2564-1)*(1/Q2564)))))/Inputs!$B$43),IF(Inputs!$B$38="pvp",MIN((Skills!T18*(1+Inputs!$B$34/100)),15)/15,MIN(1,(Skills!T18*(1+Inputs!$B$34/100))/(1/Q2564)))))</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MIN((Skills!T16*(1+Inputs!$B$34/100)),(1/Q2562))+MIN((Skills!T16*(1+Inputs!$B$34/100)),MAX(0,Inputs!$B$43-((R2562-1)*(1/Q2562)))))/Inputs!$B$43),IF(Inputs!$B$38="pvp",MIN((Skills!T16*(1+Inputs!$B$34/100)),15)/15,MIN(1,(Skills!T16*(1+Inputs!$B$34/100))/(1/Q2562))))</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Skills!G2*IF(Skills!H2&gt;0,IF(Inputs!$B$38="pvp",MIN(Skills!I2,15),Skills!I2)/Skills!H2,1)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Skills!G5*IF(Skills!H5&gt;0,IF(Inputs!$B$38="pvp",MIN(Skills!I5,15),Skills!I5)/Skills!H5,1)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IFERROR(1/IF(Inputs!$B$38="pvp",15,MAX(0.1,Skills!D5-IF(TRUE=TRUE,Inputs!$B$32,0))),0)</f>
        <v/>
      </c>
      <c r="R2596">
        <f>IF(AND(Inputs!$B$38&lt;&gt;"pvp",Inputs!$B$43&gt;0),IF(MAX(0,Inputs!$B$43-B2630)&lt;=0,0,(INT(MAX(0,Inputs!$B$43-B2630)/IF(Inputs!$B$38="pvp",15,MAX(0.1,Skills!D5-IF(TRUE=TRUE,Inputs!$B$32,0))))+1)),0)</f>
        <v/>
      </c>
      <c r="S2596">
        <f>IFERROR((H2596*N2596*IF(AND(Inputs!$B$38&lt;&gt;"pvp",Inputs!$B$43&gt;0),((Skills!G5*((R2596-1)*IF(Skills!H5&gt;0,Skills!I5/Skills!H5,1)+IF(Skills!H5&gt;0,MIN(Skills!I5,MAX(0,MAX(0,Inputs!$B$43-B2630)-((R2596-1)*IF(Inputs!$B$38="pvp",15,MAX(0.1,Skills!D5-IF(TRUE=TRUE,Inputs!$B$32,0))))))/Skills!H5,1)))/Inputs!$B$43),G2596*Q2596))/N2596*IF(Inputs!$B$38="pvp",1,(1-Summary!$B$11)*1+Summary!$B$11*(MIN(Skills!R5,Inputs!$B$37))),0)</f>
        <v/>
      </c>
      <c r="T2596">
        <f>IF(C2596,(H2596*N2596*IF(AND(Inputs!$B$38&lt;&gt;"pvp",Inputs!$B$43&gt;0),((Skills!G5*((R2596-1)*IF(Skills!H5&gt;0,Skills!I5/Skills!H5,1)+IF(Skills!H5&gt;0,MIN(Skills!I5,MAX(0,MAX(0,Inputs!$B$43-B2630)-((R2596-1)*IF(Inputs!$B$38="pvp",15,MAX(0.1,Skills!D5-IF(TRUE=TRUE,Inputs!$B$32,0)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2630)-((R2596-1)*IF(Inputs!$B$38="pvp",15,MAX(0.1,Skills!D5-IF(TRUE=TRUE,Inputs!$B$32,0))))))/Skills!H5,1)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Skills!G6*IF(Skills!H6&gt;0,IF(Inputs!$B$38="pvp",MIN(Skills!I6,15),Skills!I6)/Skills!H6,1)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IFERROR(1/IF(Inputs!$B$38="pvp",15,MAX(0.1,Skills!D6-IF(TRUE=TRUE,Inputs!$B$32,0))),0)</f>
        <v/>
      </c>
      <c r="R2597">
        <f>IF(AND(Inputs!$B$38&lt;&gt;"pvp",Inputs!$B$43&gt;0),IF(MAX(0,Inputs!$B$43-B2630)&lt;=0,0,(INT(MAX(0,Inputs!$B$43-B2630)/IF(Inputs!$B$38="pvp",15,MAX(0.1,Skills!D6-IF(TRUE=TRUE,Inputs!$B$32,0))))+1)),0)</f>
        <v/>
      </c>
      <c r="S2597">
        <f>IFERROR((H2597*N2597*IF(AND(Inputs!$B$38&lt;&gt;"pvp",Inputs!$B$43&gt;0),((Skills!G6*((R2597-1)*IF(Skills!H6&gt;0,Skills!I6/Skills!H6,1)+IF(Skills!H6&gt;0,MIN(Skills!I6,MAX(0,MAX(0,Inputs!$B$43-B2630)-((R2597-1)*IF(Inputs!$B$38="pvp",15,MAX(0.1,Skills!D6-IF(TRUE=TRUE,Inputs!$B$32,0))))))/Skills!H6,1)))/Inputs!$B$43),G2597*Q2597))/N2597*IF(Inputs!$B$38="pvp",1,(1-Summary!$B$11)*1+Summary!$B$11*(MIN(Skills!R6,Inputs!$B$37))),0)</f>
        <v/>
      </c>
      <c r="T2597">
        <f>IF(C2597,(H2597*N2597*IF(AND(Inputs!$B$38&lt;&gt;"pvp",Inputs!$B$43&gt;0),((Skills!G6*((R2597-1)*IF(Skills!H6&gt;0,Skills!I6/Skills!H6,1)+IF(Skills!H6&gt;0,MIN(Skills!I6,MAX(0,MAX(0,Inputs!$B$43-B2630)-((R2597-1)*IF(Inputs!$B$38="pvp",15,MAX(0.1,Skills!D6-IF(TRUE=TRUE,Inputs!$B$32,0)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2630)-((R2597-1)*IF(Inputs!$B$38="pvp",15,MAX(0.1,Skills!D6-IF(TRUE=TRUE,Inputs!$B$32,0))))))/Skills!H6,1)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Skills!G7*IF(Skills!H7&gt;0,IF(Inputs!$B$38="pvp",MIN(Skills!I7,15),Skills!I7)/Skills!H7,1)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IFERROR(1/IF(Inputs!$B$38="pvp",15,MAX(0.1,Skills!D7-IF(TRUE=TRUE,Inputs!$B$32,0))),0)</f>
        <v/>
      </c>
      <c r="R2598">
        <f>IF(AND(Inputs!$B$38&lt;&gt;"pvp",Inputs!$B$43&gt;0),IF(MAX(0,Inputs!$B$43-B2630)&lt;=0,0,(INT(MAX(0,Inputs!$B$43-B2630)/IF(Inputs!$B$38="pvp",15,MAX(0.1,Skills!D7-IF(TRUE=TRUE,Inputs!$B$32,0))))+1)),0)</f>
        <v/>
      </c>
      <c r="S2598">
        <f>IFERROR((H2598*N2598*IF(AND(Inputs!$B$38&lt;&gt;"pvp",Inputs!$B$43&gt;0),((Skills!G7*((R2598-1)*IF(Skills!H7&gt;0,Skills!I7/Skills!H7,1)+IF(Skills!H7&gt;0,MIN(Skills!I7,MAX(0,MAX(0,Inputs!$B$43-B2630)-((R2598-1)*IF(Inputs!$B$38="pvp",15,MAX(0.1,Skills!D7-IF(TRUE=TRUE,Inputs!$B$32,0))))))/Skills!H7,1)))/Inputs!$B$43),G2598*Q2598))/N2598*IF(Inputs!$B$38="pvp",1,(1-Summary!$B$11)*1+Summary!$B$11*(MIN(Skills!R7,Inputs!$B$37))),0)</f>
        <v/>
      </c>
      <c r="T2598">
        <f>IF(C2598,(H2598*N2598*IF(AND(Inputs!$B$38&lt;&gt;"pvp",Inputs!$B$43&gt;0),((Skills!G7*((R2598-1)*IF(Skills!H7&gt;0,Skills!I7/Skills!H7,1)+IF(Skills!H7&gt;0,MIN(Skills!I7,MAX(0,MAX(0,Inputs!$B$43-B2630)-((R2598-1)*IF(Inputs!$B$38="pvp",15,MAX(0.1,Skills!D7-IF(TRUE=TRUE,Inputs!$B$32,0)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2630)-((R2598-1)*IF(Inputs!$B$38="pvp",15,MAX(0.1,Skills!D7-IF(TRUE=TRUE,Inputs!$B$32,0))))))/Skills!H7,1)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Skills!G9*IF(Skills!H9&gt;0,IF(Inputs!$B$38="pvp",MIN(Skills!I9,15),Skills!I9)/Skills!H9,1)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IFERROR(1/IF(Inputs!$B$38="pvp",15,MAX(0.1,Skills!D9-IF(TRUE=TRUE,Inputs!$B$32,0))),0)</f>
        <v/>
      </c>
      <c r="R2600">
        <f>IF(AND(Inputs!$B$38&lt;&gt;"pvp",Inputs!$B$43&gt;0),IF(MAX(0,Inputs!$B$43-B2630)&lt;=0,0,(INT(MAX(0,Inputs!$B$43-B2630)/IF(Inputs!$B$38="pvp",15,MAX(0.1,Skills!D9-IF(TRUE=TRUE,Inputs!$B$32,0))))+1)),0)</f>
        <v/>
      </c>
      <c r="S2600">
        <f>IFERROR((H2600*N2600*IF(AND(Inputs!$B$38&lt;&gt;"pvp",Inputs!$B$43&gt;0),((Skills!G9*((R2600-1)*IF(Skills!H9&gt;0,Skills!I9/Skills!H9,1)+IF(Skills!H9&gt;0,MIN(Skills!I9,MAX(0,MAX(0,Inputs!$B$43-B2630)-((R2600-1)*IF(Inputs!$B$38="pvp",15,MAX(0.1,Skills!D9-IF(TRUE=TRUE,Inputs!$B$32,0))))))/Skills!H9,1)))/Inputs!$B$43),G2600*Q2600))/N2600*IF(Inputs!$B$38="pvp",1,(1-Summary!$B$11)*1+Summary!$B$11*(MIN(Skills!R9,Inputs!$B$37))),0)</f>
        <v/>
      </c>
      <c r="T2600">
        <f>IF(C2600,(H2600*N2600*IF(AND(Inputs!$B$38&lt;&gt;"pvp",Inputs!$B$43&gt;0),((Skills!G9*((R2600-1)*IF(Skills!H9&gt;0,Skills!I9/Skills!H9,1)+IF(Skills!H9&gt;0,MIN(Skills!I9,MAX(0,MAX(0,Inputs!$B$43-B2630)-((R2600-1)*IF(Inputs!$B$38="pvp",15,MAX(0.1,Skills!D9-IF(TRUE=TRUE,Inputs!$B$32,0)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2630)-((R2600-1)*IF(Inputs!$B$38="pvp",15,MAX(0.1,Skills!D9-IF(TRUE=TRUE,Inputs!$B$32,0))))))/Skills!H9,1)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Skills!G10*IF(Skills!H10&gt;0,IF(Inputs!$B$38="pvp",MIN(Skills!I10,15),Skills!I10)/Skills!H10,1)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Skills!G11*IF(Skills!H11&gt;0,IF(Inputs!$B$38="pvp",MIN(Skills!I11,15),Skills!I11)/Skills!H11,1)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IFERROR(1/IF(Inputs!$B$38="pvp",15,MAX(0.1,Skills!D11-IF(TRUE=TRUE,Inputs!$B$32,0))),0)</f>
        <v/>
      </c>
      <c r="R2602">
        <f>IF(AND(Inputs!$B$38&lt;&gt;"pvp",Inputs!$B$43&gt;0),IF(MAX(0,Inputs!$B$43-B2630)&lt;=0,0,(INT(MAX(0,Inputs!$B$43-B2630)/IF(Inputs!$B$38="pvp",15,MAX(0.1,Skills!D11-IF(TRUE=TRUE,Inputs!$B$32,0))))+1)),0)</f>
        <v/>
      </c>
      <c r="S2602">
        <f>IFERROR((H2602*N2602*IF(AND(Inputs!$B$38&lt;&gt;"pvp",Inputs!$B$43&gt;0),((Skills!G11*((R2602-1)*IF(Skills!H11&gt;0,Skills!I11/Skills!H11,1)+IF(Skills!H11&gt;0,MIN(Skills!I11,MAX(0,MAX(0,Inputs!$B$43-B2630)-((R2602-1)*IF(Inputs!$B$38="pvp",15,MAX(0.1,Skills!D11-IF(TRUE=TRUE,Inputs!$B$32,0))))))/Skills!H11,1)))/Inputs!$B$43),G2602*Q2602))/N2602*IF(Inputs!$B$38="pvp",1,(1-Summary!$B$11)*1+Summary!$B$11*(MIN(Skills!R11,Inputs!$B$37))),0)</f>
        <v/>
      </c>
      <c r="T2602">
        <f>IF(C2602,(H2602*N2602*IF(AND(Inputs!$B$38&lt;&gt;"pvp",Inputs!$B$43&gt;0),((Skills!G11*((R2602-1)*IF(Skills!H11&gt;0,Skills!I11/Skills!H11,1)+IF(Skills!H11&gt;0,MIN(Skills!I11,MAX(0,MAX(0,Inputs!$B$43-B2630)-((R2602-1)*IF(Inputs!$B$38="pvp",15,MAX(0.1,Skills!D11-IF(TRUE=TRUE,Inputs!$B$32,0)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Inputs!$B$38&lt;&gt;"pvp",Inputs!$B$43=0),1,IF(IF(Inputs!$B$38="pvp",15,Inputs!$B$43)-(B2630)&lt;=0,1,MAX(0,IF(Inputs!$B$38="pvp",15,Inputs!$B$43)-MAX(5,B2630))/(IF(Inputs!$B$38="pvp",15,Inputs!$B$43)-(B2630)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2630)-((R2602-1)*IF(Inputs!$B$38="pvp",15,MAX(0.1,Skills!D11-IF(TRUE=TRUE,Inputs!$B$32,0))))))/Skills!H11,1)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Skills!G12*IF(Skills!H12&gt;0,IF(Inputs!$B$38="pvp",MIN(Skills!I12,15),Skills!I12)/Skills!H12,1)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Skills!G13*IF(Skills!H13&gt;0,IF(Inputs!$B$38="pvp",MIN(Skills!I13,15),Skills!I13)/Skills!H13,1)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Skills!G14*IF(Skills!H14&gt;0,IF(Inputs!$B$38="pvp",MIN(Skills!I14,15),Skills!I14)/Skills!H14,1)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Skills!G15*IF(Skills!H15&gt;0,IF(Inputs!$B$38="pvp",MIN(Skills!I15,15),Skills!I15)/Skills!H15,1)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IFERROR(1/IF(Inputs!$B$38="pvp",15,MAX(0.1,Skills!D15-IF(TRUE=TRUE,Inputs!$B$32,0))),0)</f>
        <v/>
      </c>
      <c r="R2606">
        <f>IF(AND(Inputs!$B$38&lt;&gt;"pvp",Inputs!$B$43&gt;0),IF(Inputs!$B$43&lt;=0,0,(INT(Inputs!$B$43/IF(Inputs!$B$38="pvp",15,MAX(0.1,Skills!D15-IF(TRUE=TRUE,Inputs!$B$32,0))))+1)),0)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Skills!G16*IF(Skills!H16&gt;0,IF(Inputs!$B$38="pvp",MIN(Skills!I16,15),Skills!I16)/Skills!H16,1)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IFERROR(1/IF(Inputs!$B$38="pvp",15,MAX(0.1,Skills!D16-IF(TRUE=TRUE,Inputs!$B$32,0))),0)</f>
        <v/>
      </c>
      <c r="R2607">
        <f>IF(AND(Inputs!$B$38&lt;&gt;"pvp",Inputs!$B$43&gt;0),IF(Inputs!$B$43&lt;=0,0,(INT(Inputs!$B$43/IF(Inputs!$B$38="pvp",15,MAX(0.1,Skills!D16-IF(TRUE=TRUE,Inputs!$B$32,0))))+1)),0)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Skills!G17*IF(Skills!H17&gt;0,IF(Inputs!$B$38="pvp",MIN(Skills!I17,15),Skills!I17)/Skills!H17,1)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Skills!G18*IF(Skills!H18&gt;0,IF(Inputs!$B$38="pvp",MIN(Skills!I18,15),Skills!I18)/Skills!H18,1)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IFERROR(1/IF(Inputs!$B$38="pvp",15,MAX(0.1,Skills!D18-IF(TRUE=TRUE,Inputs!$B$32,0))),0)</f>
        <v/>
      </c>
      <c r="R2609">
        <f>IF(AND(Inputs!$B$38&lt;&gt;"pvp",Inputs!$B$43&gt;0),IF(Inputs!$B$43&lt;=0,0,(INT(Inputs!$B$43/IF(Inputs!$B$38="pvp",15,MAX(0.1,Skills!D18-IF(TRUE=TRUE,Inputs!$B$32,0))))+1)),0)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Skills!G19*IF(Skills!H19&gt;0,IF(Inputs!$B$38="pvp",MIN(Skills!I19,15),Skills!I19)/Skills!H19,1)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Skills!G20*IF(Skills!H20&gt;0,IF(Inputs!$B$38="pvp",MIN(Skills!I20,15),Skills!I20)/Skills!H20,1)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Skills!G21*IF(Skills!H21&gt;0,IF(Inputs!$B$38="pvp",MIN(Skills!I21,15),Skills!I21)/Skills!H21,1)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Skills!G22*IF(Skills!H22&gt;0,IF(Inputs!$B$38="pvp",MIN(Skills!I22,15),Skills!I22)/Skills!H22,1)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Skills!G23*IF(Skills!H23&gt;0,IF(Inputs!$B$38="pvp",MIN(Skills!I23,15),Skills!I23)/Skills!H23,1)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Skills!G24*IF(Skills!H24&gt;0,IF(Inputs!$B$38="pvp",MIN(Skills!I24,15),Skills!I24)/Skills!H24,1)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Skills!G25*IF(Skills!H25&gt;0,IF(Inputs!$B$38="pvp",MIN(Skills!I25,15),Skills!I25)/Skills!H25,1)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Skills!G26*IF(Skills!H26&gt;0,IF(Inputs!$B$38="pvp",MIN(Skills!I26,15),Skills!I26)/Skills!H26,1)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Skills!G27*IF(Skills!H27&gt;0,IF(Inputs!$B$38="pvp",MIN(Skills!I27,15),Skills!I27)/Skills!H27,1)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Skills!G28*IF(Skills!H28&gt;0,IF(Inputs!$B$38="pvp",MIN(Skills!I28,15),Skills!I28)/Skills!H28,1)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Skills!G29*IF(Skills!H29&gt;0,IF(Inputs!$B$38="pvp",MIN(Skills!I29,15),Skills!I29)/Skills!H29,1)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MIN((Skills!T15*(1+Inputs!$B$34/100)),(1/Q2606))+MIN((Skills!T15*(1+Inputs!$B$34/100)),MAX(0,Inputs!$B$43-((R2606-1)*(1/Q2606)))))/Inputs!$B$43),IF(Inputs!$B$38="pvp",MIN((Skills!T15*(1+Inputs!$B$34/100)),15)/15,MIN(1,(Skills!T15*(1+Inputs!$B$34/100))/(1/Q2606)))))+((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t="n">
        <v>0</v>
      </c>
    </row>
    <row r="2624">
      <c r="A2624" t="inlineStr">
        <is>
          <t>Attack Speed Buff Bonus %</t>
        </is>
      </c>
      <c r="B2624">
        <f>((C2609=TRUE)*F2609*IF(AND(Inputs!$B$38&lt;&gt;"pvp",Inputs!$B$43&gt;0),(((R2609-1)*MIN((Skills!T18*(1+Inputs!$B$34/100)),(1/Q2609))+MIN((Skills!T18*(1+Inputs!$B$34/100)),MAX(0,Inputs!$B$43-((R2609-1)*(1/Q2609)))))/Inputs!$B$43),IF(Inputs!$B$38="pvp",MIN((Skills!T18*(1+Inputs!$B$34/100)),15)/15,MIN(1,(Skills!T18*(1+Inputs!$B$34/100))/(1/Q2609)))))</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MIN((Skills!T16*(1+Inputs!$B$34/100)),(1/Q2607))+MIN((Skills!T16*(1+Inputs!$B$34/100)),MAX(0,Inputs!$B$43-((R2607-1)*(1/Q2607)))))/Inputs!$B$43),IF(Inputs!$B$38="pvp",MIN((Skills!T16*(1+Inputs!$B$34/100)),15)/15,MIN(1,(Skills!T16*(1+Inputs!$B$34/100))/(1/Q2607))))</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Skills!G2*IF(Skills!H2&gt;0,IF(Inputs!$B$38="pvp",MIN(Skills!I2,15),Skills!I2)/Skills!H2,1)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Skills!G5*IF(Skills!H5&gt;0,IF(Inputs!$B$38="pvp",MIN(Skills!I5,15),Skills!I5)/Skills!H5,1)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IFERROR(1/IF(Inputs!$B$38="pvp",15,MAX(0.1,Skills!D5-IF(TRUE=TRUE,Inputs!$B$32,0))),0)</f>
        <v/>
      </c>
      <c r="R2641">
        <f>IF(AND(Inputs!$B$38&lt;&gt;"pvp",Inputs!$B$43&gt;0),IF(MAX(0,Inputs!$B$43-B2675)&lt;=0,0,(INT(MAX(0,Inputs!$B$43-B2675)/IF(Inputs!$B$38="pvp",15,MAX(0.1,Skills!D5-IF(TRUE=TRUE,Inputs!$B$32,0))))+1)),0)</f>
        <v/>
      </c>
      <c r="S2641">
        <f>IFERROR((H2641*N2641*IF(AND(Inputs!$B$38&lt;&gt;"pvp",Inputs!$B$43&gt;0),((Skills!G5*((R2641-1)*IF(Skills!H5&gt;0,Skills!I5/Skills!H5,1)+IF(Skills!H5&gt;0,MIN(Skills!I5,MAX(0,MAX(0,Inputs!$B$43-B2675)-((R2641-1)*IF(Inputs!$B$38="pvp",15,MAX(0.1,Skills!D5-IF(TRUE=TRUE,Inputs!$B$32,0))))))/Skills!H5,1)))/Inputs!$B$43),G2641*Q2641))/N2641*IF(Inputs!$B$38="pvp",1,(1-Summary!$B$11)*1+Summary!$B$11*(MIN(Skills!R5,Inputs!$B$37))),0)</f>
        <v/>
      </c>
      <c r="T2641">
        <f>IF(C2641,(H2641*N2641*IF(AND(Inputs!$B$38&lt;&gt;"pvp",Inputs!$B$43&gt;0),((Skills!G5*((R2641-1)*IF(Skills!H5&gt;0,Skills!I5/Skills!H5,1)+IF(Skills!H5&gt;0,MIN(Skills!I5,MAX(0,MAX(0,Inputs!$B$43-B2675)-((R2641-1)*IF(Inputs!$B$38="pvp",15,MAX(0.1,Skills!D5-IF(TRUE=TRUE,Inputs!$B$32,0))))))/Skills!H5,1)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Skills!I5/Skills!H5,1)+IF(Skills!H5&gt;0,MIN(Skills!I5,MAX(0,MAX(0,Inputs!$B$43-B2675)-((R2641-1)*IF(Inputs!$B$38="pvp",15,MAX(0.1,Skills!D5-IF(TRUE=TRUE,Inputs!$B$32,0))))))/Skills!H5,1)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Skills!G6*IF(Skills!H6&gt;0,IF(Inputs!$B$38="pvp",MIN(Skills!I6,15),Skills!I6)/Skills!H6,1)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IFERROR(1/IF(Inputs!$B$38="pvp",15,MAX(0.1,Skills!D6-IF(TRUE=TRUE,Inputs!$B$32,0))),0)</f>
        <v/>
      </c>
      <c r="R2642">
        <f>IF(AND(Inputs!$B$38&lt;&gt;"pvp",Inputs!$B$43&gt;0),IF(MAX(0,Inputs!$B$43-B2675)&lt;=0,0,(INT(MAX(0,Inputs!$B$43-B2675)/IF(Inputs!$B$38="pvp",15,MAX(0.1,Skills!D6-IF(TRUE=TRUE,Inputs!$B$32,0))))+1)),0)</f>
        <v/>
      </c>
      <c r="S2642">
        <f>IFERROR((H2642*N2642*IF(AND(Inputs!$B$38&lt;&gt;"pvp",Inputs!$B$43&gt;0),((Skills!G6*((R2642-1)*IF(Skills!H6&gt;0,Skills!I6/Skills!H6,1)+IF(Skills!H6&gt;0,MIN(Skills!I6,MAX(0,MAX(0,Inputs!$B$43-B2675)-((R2642-1)*IF(Inputs!$B$38="pvp",15,MAX(0.1,Skills!D6-IF(TRUE=TRUE,Inputs!$B$32,0))))))/Skills!H6,1)))/Inputs!$B$43),G2642*Q2642))/N2642*IF(Inputs!$B$38="pvp",1,(1-Summary!$B$11)*1+Summary!$B$11*(MIN(Skills!R6,Inputs!$B$37))),0)</f>
        <v/>
      </c>
      <c r="T2642">
        <f>IF(C2642,(H2642*N2642*IF(AND(Inputs!$B$38&lt;&gt;"pvp",Inputs!$B$43&gt;0),((Skills!G6*((R2642-1)*IF(Skills!H6&gt;0,Skills!I6/Skills!H6,1)+IF(Skills!H6&gt;0,MIN(Skills!I6,MAX(0,MAX(0,Inputs!$B$43-B2675)-((R2642-1)*IF(Inputs!$B$38="pvp",15,MAX(0.1,Skills!D6-IF(TRUE=TRUE,Inputs!$B$32,0)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2675)-((R2642-1)*IF(Inputs!$B$38="pvp",15,MAX(0.1,Skills!D6-IF(TRUE=TRUE,Inputs!$B$32,0))))))/Skills!H6,1)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Skills!G7*IF(Skills!H7&gt;0,IF(Inputs!$B$38="pvp",MIN(Skills!I7,15),Skills!I7)/Skills!H7,1)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IFERROR(1/IF(Inputs!$B$38="pvp",15,MAX(0.1,Skills!D7-IF(TRUE=TRUE,Inputs!$B$32,0))),0)</f>
        <v/>
      </c>
      <c r="R2643">
        <f>IF(AND(Inputs!$B$38&lt;&gt;"pvp",Inputs!$B$43&gt;0),IF(MAX(0,Inputs!$B$43-B2675)&lt;=0,0,(INT(MAX(0,Inputs!$B$43-B2675)/IF(Inputs!$B$38="pvp",15,MAX(0.1,Skills!D7-IF(TRUE=TRUE,Inputs!$B$32,0))))+1)),0)</f>
        <v/>
      </c>
      <c r="S2643">
        <f>IFERROR((H2643*N2643*IF(AND(Inputs!$B$38&lt;&gt;"pvp",Inputs!$B$43&gt;0),((Skills!G7*((R2643-1)*IF(Skills!H7&gt;0,Skills!I7/Skills!H7,1)+IF(Skills!H7&gt;0,MIN(Skills!I7,MAX(0,MAX(0,Inputs!$B$43-B2675)-((R2643-1)*IF(Inputs!$B$38="pvp",15,MAX(0.1,Skills!D7-IF(TRUE=TRUE,Inputs!$B$32,0))))))/Skills!H7,1)))/Inputs!$B$43),G2643*Q2643))/N2643*IF(Inputs!$B$38="pvp",1,(1-Summary!$B$11)*1+Summary!$B$11*(MIN(Skills!R7,Inputs!$B$37))),0)</f>
        <v/>
      </c>
      <c r="T2643">
        <f>IF(C2643,(H2643*N2643*IF(AND(Inputs!$B$38&lt;&gt;"pvp",Inputs!$B$43&gt;0),((Skills!G7*((R2643-1)*IF(Skills!H7&gt;0,Skills!I7/Skills!H7,1)+IF(Skills!H7&gt;0,MIN(Skills!I7,MAX(0,MAX(0,Inputs!$B$43-B2675)-((R2643-1)*IF(Inputs!$B$38="pvp",15,MAX(0.1,Skills!D7-IF(TRUE=TRUE,Inputs!$B$32,0)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2675)-((R2643-1)*IF(Inputs!$B$38="pvp",15,MAX(0.1,Skills!D7-IF(TRUE=TRUE,Inputs!$B$32,0))))))/Skills!H7,1)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Skills!G9*IF(Skills!H9&gt;0,IF(Inputs!$B$38="pvp",MIN(Skills!I9,15),Skills!I9)/Skills!H9,1)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IFERROR(1/IF(Inputs!$B$38="pvp",15,MAX(0.1,Skills!D9-IF(TRUE=TRUE,Inputs!$B$32,0))),0)</f>
        <v/>
      </c>
      <c r="R2645">
        <f>IF(AND(Inputs!$B$38&lt;&gt;"pvp",Inputs!$B$43&gt;0),IF(MAX(0,Inputs!$B$43-B2675)&lt;=0,0,(INT(MAX(0,Inputs!$B$43-B2675)/IF(Inputs!$B$38="pvp",15,MAX(0.1,Skills!D9-IF(TRUE=TRUE,Inputs!$B$32,0))))+1)),0)</f>
        <v/>
      </c>
      <c r="S2645">
        <f>IFERROR((H2645*N2645*IF(AND(Inputs!$B$38&lt;&gt;"pvp",Inputs!$B$43&gt;0),((Skills!G9*((R2645-1)*IF(Skills!H9&gt;0,Skills!I9/Skills!H9,1)+IF(Skills!H9&gt;0,MIN(Skills!I9,MAX(0,MAX(0,Inputs!$B$43-B2675)-((R2645-1)*IF(Inputs!$B$38="pvp",15,MAX(0.1,Skills!D9-IF(TRUE=TRUE,Inputs!$B$32,0))))))/Skills!H9,1)))/Inputs!$B$43),G2645*Q2645))/N2645*IF(Inputs!$B$38="pvp",1,(1-Summary!$B$11)*1+Summary!$B$11*(MIN(Skills!R9,Inputs!$B$37))),0)</f>
        <v/>
      </c>
      <c r="T2645">
        <f>IF(C2645,(H2645*N2645*IF(AND(Inputs!$B$38&lt;&gt;"pvp",Inputs!$B$43&gt;0),((Skills!G9*((R2645-1)*IF(Skills!H9&gt;0,Skills!I9/Skills!H9,1)+IF(Skills!H9&gt;0,MIN(Skills!I9,MAX(0,MAX(0,Inputs!$B$43-B2675)-((R2645-1)*IF(Inputs!$B$38="pvp",15,MAX(0.1,Skills!D9-IF(TRUE=TRUE,Inputs!$B$32,0)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2675)-((R2645-1)*IF(Inputs!$B$38="pvp",15,MAX(0.1,Skills!D9-IF(TRUE=TRUE,Inputs!$B$32,0))))))/Skills!H9,1)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Skills!G10*IF(Skills!H10&gt;0,IF(Inputs!$B$38="pvp",MIN(Skills!I10,15),Skills!I10)/Skills!H10,1)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Skills!G11*IF(Skills!H11&gt;0,IF(Inputs!$B$38="pvp",MIN(Skills!I11,15),Skills!I11)/Skills!H11,1)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IFERROR(1/IF(Inputs!$B$38="pvp",15,MAX(0.1,Skills!D11-IF(TRUE=TRUE,Inputs!$B$32,0))),0)</f>
        <v/>
      </c>
      <c r="R2647">
        <f>IF(AND(Inputs!$B$38&lt;&gt;"pvp",Inputs!$B$43&gt;0),IF(MAX(0,Inputs!$B$43-B2675)&lt;=0,0,(INT(MAX(0,Inputs!$B$43-B2675)/IF(Inputs!$B$38="pvp",15,MAX(0.1,Skills!D11-IF(TRUE=TRUE,Inputs!$B$32,0))))+1)),0)</f>
        <v/>
      </c>
      <c r="S2647">
        <f>IFERROR((H2647*N2647*IF(AND(Inputs!$B$38&lt;&gt;"pvp",Inputs!$B$43&gt;0),((Skills!G11*((R2647-1)*IF(Skills!H11&gt;0,Skills!I11/Skills!H11,1)+IF(Skills!H11&gt;0,MIN(Skills!I11,MAX(0,MAX(0,Inputs!$B$43-B2675)-((R2647-1)*IF(Inputs!$B$38="pvp",15,MAX(0.1,Skills!D11-IF(TRUE=TRUE,Inputs!$B$32,0))))))/Skills!H11,1)))/Inputs!$B$43),G2647*Q2647))/N2647*IF(Inputs!$B$38="pvp",1,(1-Summary!$B$11)*1+Summary!$B$11*(MIN(Skills!R11,Inputs!$B$37))),0)</f>
        <v/>
      </c>
      <c r="T2647">
        <f>IF(C2647,(H2647*N2647*IF(AND(Inputs!$B$38&lt;&gt;"pvp",Inputs!$B$43&gt;0),((Skills!G11*((R2647-1)*IF(Skills!H11&gt;0,Skills!I11/Skills!H11,1)+IF(Skills!H11&gt;0,MIN(Skills!I11,MAX(0,MAX(0,Inputs!$B$43-B2675)-((R2647-1)*IF(Inputs!$B$38="pvp",15,MAX(0.1,Skills!D11-IF(TRUE=TRUE,Inputs!$B$32,0))))))/Skills!H11,1)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Inputs!$B$38&lt;&gt;"pvp",Inputs!$B$43=0),1,IF(IF(Inputs!$B$38="pvp",15,Inputs!$B$43)-(B2675)&lt;=0,1,MAX(0,IF(Inputs!$B$38="pvp",15,Inputs!$B$43)-MAX(5,B2675))/(IF(Inputs!$B$38="pvp",15,Inputs!$B$43)-(B2675))))*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Skills!I11/Skills!H11,1)+IF(Skills!H11&gt;0,MIN(Skills!I11,MAX(0,MAX(0,Inputs!$B$43-B2675)-((R2647-1)*IF(Inputs!$B$38="pvp",15,MAX(0.1,Skills!D11-IF(TRUE=TRUE,Inputs!$B$32,0))))))/Skills!H11,1)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Skills!G12*IF(Skills!H12&gt;0,IF(Inputs!$B$38="pvp",MIN(Skills!I12,15),Skills!I12)/Skills!H12,1)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Skills!G13*IF(Skills!H13&gt;0,IF(Inputs!$B$38="pvp",MIN(Skills!I13,15),Skills!I13)/Skills!H13,1)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Skills!G14*IF(Skills!H14&gt;0,IF(Inputs!$B$38="pvp",MIN(Skills!I14,15),Skills!I14)/Skills!H14,1)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Skills!G15*IF(Skills!H15&gt;0,IF(Inputs!$B$38="pvp",MIN(Skills!I15,15),Skills!I15)/Skills!H15,1)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IFERROR(1/IF(Inputs!$B$38="pvp",15,MAX(0.1,Skills!D15-IF(TRUE=TRUE,Inputs!$B$32,0))),0)</f>
        <v/>
      </c>
      <c r="R2651">
        <f>IF(AND(Inputs!$B$38&lt;&gt;"pvp",Inputs!$B$43&gt;0),IF(Inputs!$B$43&lt;=0,0,(INT(Inputs!$B$43/IF(Inputs!$B$38="pvp",15,MAX(0.1,Skills!D15-IF(TRUE=TRUE,Inputs!$B$32,0))))+1)),0)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Skills!G16*IF(Skills!H16&gt;0,IF(Inputs!$B$38="pvp",MIN(Skills!I16,15),Skills!I16)/Skills!H16,1)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IFERROR(1/IF(Inputs!$B$38="pvp",15,MAX(0.1,Skills!D16-IF(TRUE=TRUE,Inputs!$B$32,0))),0)</f>
        <v/>
      </c>
      <c r="R2652">
        <f>IF(AND(Inputs!$B$38&lt;&gt;"pvp",Inputs!$B$43&gt;0),IF(Inputs!$B$43&lt;=0,0,(INT(Inputs!$B$43/IF(Inputs!$B$38="pvp",15,MAX(0.1,Skills!D16-IF(TRUE=TRUE,Inputs!$B$32,0))))+1)),0)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Skills!G17*IF(Skills!H17&gt;0,IF(Inputs!$B$38="pvp",MIN(Skills!I17,15),Skills!I17)/Skills!H17,1)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Skills!G18*IF(Skills!H18&gt;0,IF(Inputs!$B$38="pvp",MIN(Skills!I18,15),Skills!I18)/Skills!H18,1)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IFERROR(1/IF(Inputs!$B$38="pvp",15,MAX(0.1,Skills!D18-IF(TRUE=TRUE,Inputs!$B$32,0))),0)</f>
        <v/>
      </c>
      <c r="R2654">
        <f>IF(AND(Inputs!$B$38&lt;&gt;"pvp",Inputs!$B$43&gt;0),IF(Inputs!$B$43&lt;=0,0,(INT(Inputs!$B$43/IF(Inputs!$B$38="pvp",15,MAX(0.1,Skills!D18-IF(TRUE=TRUE,Inputs!$B$32,0))))+1)),0)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Skills!G19*IF(Skills!H19&gt;0,IF(Inputs!$B$38="pvp",MIN(Skills!I19,15),Skills!I19)/Skills!H19,1)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Skills!G20*IF(Skills!H20&gt;0,IF(Inputs!$B$38="pvp",MIN(Skills!I20,15),Skills!I20)/Skills!H20,1)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Skills!G21*IF(Skills!H21&gt;0,IF(Inputs!$B$38="pvp",MIN(Skills!I21,15),Skills!I21)/Skills!H21,1)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Skills!G22*IF(Skills!H22&gt;0,IF(Inputs!$B$38="pvp",MIN(Skills!I22,15),Skills!I22)/Skills!H22,1)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Skills!G23*IF(Skills!H23&gt;0,IF(Inputs!$B$38="pvp",MIN(Skills!I23,15),Skills!I23)/Skills!H23,1)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Skills!G24*IF(Skills!H24&gt;0,IF(Inputs!$B$38="pvp",MIN(Skills!I24,15),Skills!I24)/Skills!H24,1)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Skills!G25*IF(Skills!H25&gt;0,IF(Inputs!$B$38="pvp",MIN(Skills!I25,15),Skills!I25)/Skills!H25,1)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Skills!G26*IF(Skills!H26&gt;0,IF(Inputs!$B$38="pvp",MIN(Skills!I26,15),Skills!I26)/Skills!H26,1)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Skills!G27*IF(Skills!H27&gt;0,IF(Inputs!$B$38="pvp",MIN(Skills!I27,15),Skills!I27)/Skills!H27,1)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Skills!G28*IF(Skills!H28&gt;0,IF(Inputs!$B$38="pvp",MIN(Skills!I28,15),Skills!I28)/Skills!H28,1)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Skills!G29*IF(Skills!H29&gt;0,IF(Inputs!$B$38="pvp",MIN(Skills!I29,15),Skills!I29)/Skills!H29,1)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MIN((Skills!T15*(1+Inputs!$B$34/100)),(1/Q2651))+MIN((Skills!T15*(1+Inputs!$B$34/100)),MAX(0,Inputs!$B$43-((R2651-1)*(1/Q2651)))))/Inputs!$B$43),IF(Inputs!$B$38="pvp",MIN((Skills!T15*(1+Inputs!$B$34/100)),15)/15,MIN(1,(Skills!T15*(1+Inputs!$B$34/100))/(1/Q2651)))))+((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t="n">
        <v>0</v>
      </c>
    </row>
    <row r="2669">
      <c r="A2669" t="inlineStr">
        <is>
          <t>Attack Speed Buff Bonus %</t>
        </is>
      </c>
      <c r="B2669">
        <f>((C2654=TRUE)*F2654*IF(AND(Inputs!$B$38&lt;&gt;"pvp",Inputs!$B$43&gt;0),(((R2654-1)*MIN((Skills!T18*(1+Inputs!$B$34/100)),(1/Q2654))+MIN((Skills!T18*(1+Inputs!$B$34/100)),MAX(0,Inputs!$B$43-((R2654-1)*(1/Q2654)))))/Inputs!$B$43),IF(Inputs!$B$38="pvp",MIN((Skills!T18*(1+Inputs!$B$34/100)),15)/15,MIN(1,(Skills!T18*(1+Inputs!$B$34/100))/(1/Q2654)))))</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MIN((Skills!T16*(1+Inputs!$B$34/100)),(1/Q2652))+MIN((Skills!T16*(1+Inputs!$B$34/100)),MAX(0,Inputs!$B$43-((R2652-1)*(1/Q2652)))))/Inputs!$B$43),IF(Inputs!$B$38="pvp",MIN((Skills!T16*(1+Inputs!$B$34/100)),15)/15,MIN(1,(Skills!T16*(1+Inputs!$B$34/100))/(1/Q2652))))</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Skills!G2*IF(Skills!H2&gt;0,IF(Inputs!$B$38="pvp",MIN(Skills!I2,15),Skills!I2)/Skills!H2,1)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Skills!G5*IF(Skills!H5&gt;0,IF(Inputs!$B$38="pvp",MIN(Skills!I5,15),Skills!I5)/Skills!H5,1)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IFERROR(1/IF(Inputs!$B$38="pvp",15,MAX(0.1,Skills!D5-IF(TRUE=TRUE,Inputs!$B$32,0))),0)</f>
        <v/>
      </c>
      <c r="R2686">
        <f>IF(AND(Inputs!$B$38&lt;&gt;"pvp",Inputs!$B$43&gt;0),IF(MAX(0,Inputs!$B$43-B2720)&lt;=0,0,(INT(MAX(0,Inputs!$B$43-B2720)/IF(Inputs!$B$38="pvp",15,MAX(0.1,Skills!D5-IF(TRUE=TRUE,Inputs!$B$32,0))))+1)),0)</f>
        <v/>
      </c>
      <c r="S2686">
        <f>IFERROR((H2686*N2686*IF(AND(Inputs!$B$38&lt;&gt;"pvp",Inputs!$B$43&gt;0),((Skills!G5*((R2686-1)*IF(Skills!H5&gt;0,Skills!I5/Skills!H5,1)+IF(Skills!H5&gt;0,MIN(Skills!I5,MAX(0,MAX(0,Inputs!$B$43-B2720)-((R2686-1)*IF(Inputs!$B$38="pvp",15,MAX(0.1,Skills!D5-IF(TRUE=TRUE,Inputs!$B$32,0))))))/Skills!H5,1)))/Inputs!$B$43),G2686*Q2686))/N2686*IF(Inputs!$B$38="pvp",1,(1-Summary!$B$11)*1+Summary!$B$11*(MIN(Skills!R5,Inputs!$B$37))),0)</f>
        <v/>
      </c>
      <c r="T2686">
        <f>IF(C2686,(H2686*N2686*IF(AND(Inputs!$B$38&lt;&gt;"pvp",Inputs!$B$43&gt;0),((Skills!G5*((R2686-1)*IF(Skills!H5&gt;0,Skills!I5/Skills!H5,1)+IF(Skills!H5&gt;0,MIN(Skills!I5,MAX(0,MAX(0,Inputs!$B$43-B2720)-((R2686-1)*IF(Inputs!$B$38="pvp",15,MAX(0.1,Skills!D5-IF(TRUE=TRUE,Inputs!$B$32,0))))))/Skills!H5,1)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Skills!I5/Skills!H5,1)+IF(Skills!H5&gt;0,MIN(Skills!I5,MAX(0,MAX(0,Inputs!$B$43-B2720)-((R2686-1)*IF(Inputs!$B$38="pvp",15,MAX(0.1,Skills!D5-IF(TRUE=TRUE,Inputs!$B$32,0))))))/Skills!H5,1)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Skills!G6*IF(Skills!H6&gt;0,IF(Inputs!$B$38="pvp",MIN(Skills!I6,15),Skills!I6)/Skills!H6,1)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IFERROR(1/IF(Inputs!$B$38="pvp",15,MAX(0.1,Skills!D6-IF(TRUE=TRUE,Inputs!$B$32,0))),0)</f>
        <v/>
      </c>
      <c r="R2687">
        <f>IF(AND(Inputs!$B$38&lt;&gt;"pvp",Inputs!$B$43&gt;0),IF(MAX(0,Inputs!$B$43-B2720)&lt;=0,0,(INT(MAX(0,Inputs!$B$43-B2720)/IF(Inputs!$B$38="pvp",15,MAX(0.1,Skills!D6-IF(TRUE=TRUE,Inputs!$B$32,0))))+1)),0)</f>
        <v/>
      </c>
      <c r="S2687">
        <f>IFERROR((H2687*N2687*IF(AND(Inputs!$B$38&lt;&gt;"pvp",Inputs!$B$43&gt;0),((Skills!G6*((R2687-1)*IF(Skills!H6&gt;0,Skills!I6/Skills!H6,1)+IF(Skills!H6&gt;0,MIN(Skills!I6,MAX(0,MAX(0,Inputs!$B$43-B2720)-((R2687-1)*IF(Inputs!$B$38="pvp",15,MAX(0.1,Skills!D6-IF(TRUE=TRUE,Inputs!$B$32,0))))))/Skills!H6,1)))/Inputs!$B$43),G2687*Q2687))/N2687*IF(Inputs!$B$38="pvp",1,(1-Summary!$B$11)*1+Summary!$B$11*(MIN(Skills!R6,Inputs!$B$37))),0)</f>
        <v/>
      </c>
      <c r="T2687">
        <f>IF(C2687,(H2687*N2687*IF(AND(Inputs!$B$38&lt;&gt;"pvp",Inputs!$B$43&gt;0),((Skills!G6*((R2687-1)*IF(Skills!H6&gt;0,Skills!I6/Skills!H6,1)+IF(Skills!H6&gt;0,MIN(Skills!I6,MAX(0,MAX(0,Inputs!$B$43-B2720)-((R2687-1)*IF(Inputs!$B$38="pvp",15,MAX(0.1,Skills!D6-IF(TRUE=TRUE,Inputs!$B$32,0)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2720)-((R2687-1)*IF(Inputs!$B$38="pvp",15,MAX(0.1,Skills!D6-IF(TRUE=TRUE,Inputs!$B$32,0))))))/Skills!H6,1)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Skills!G7*IF(Skills!H7&gt;0,IF(Inputs!$B$38="pvp",MIN(Skills!I7,15),Skills!I7)/Skills!H7,1)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IFERROR(1/IF(Inputs!$B$38="pvp",15,MAX(0.1,Skills!D7-IF(TRUE=TRUE,Inputs!$B$32,0))),0)</f>
        <v/>
      </c>
      <c r="R2688">
        <f>IF(AND(Inputs!$B$38&lt;&gt;"pvp",Inputs!$B$43&gt;0),IF(MAX(0,Inputs!$B$43-B2720)&lt;=0,0,(INT(MAX(0,Inputs!$B$43-B2720)/IF(Inputs!$B$38="pvp",15,MAX(0.1,Skills!D7-IF(TRUE=TRUE,Inputs!$B$32,0))))+1)),0)</f>
        <v/>
      </c>
      <c r="S2688">
        <f>IFERROR((H2688*N2688*IF(AND(Inputs!$B$38&lt;&gt;"pvp",Inputs!$B$43&gt;0),((Skills!G7*((R2688-1)*IF(Skills!H7&gt;0,Skills!I7/Skills!H7,1)+IF(Skills!H7&gt;0,MIN(Skills!I7,MAX(0,MAX(0,Inputs!$B$43-B2720)-((R2688-1)*IF(Inputs!$B$38="pvp",15,MAX(0.1,Skills!D7-IF(TRUE=TRUE,Inputs!$B$32,0))))))/Skills!H7,1)))/Inputs!$B$43),G2688*Q2688))/N2688*IF(Inputs!$B$38="pvp",1,(1-Summary!$B$11)*1+Summary!$B$11*(MIN(Skills!R7,Inputs!$B$37))),0)</f>
        <v/>
      </c>
      <c r="T2688">
        <f>IF(C2688,(H2688*N2688*IF(AND(Inputs!$B$38&lt;&gt;"pvp",Inputs!$B$43&gt;0),((Skills!G7*((R2688-1)*IF(Skills!H7&gt;0,Skills!I7/Skills!H7,1)+IF(Skills!H7&gt;0,MIN(Skills!I7,MAX(0,MAX(0,Inputs!$B$43-B2720)-((R2688-1)*IF(Inputs!$B$38="pvp",15,MAX(0.1,Skills!D7-IF(TRUE=TRUE,Inputs!$B$32,0)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2720)-((R2688-1)*IF(Inputs!$B$38="pvp",15,MAX(0.1,Skills!D7-IF(TRUE=TRUE,Inputs!$B$32,0))))))/Skills!H7,1)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Skills!G9*IF(Skills!H9&gt;0,IF(Inputs!$B$38="pvp",MIN(Skills!I9,15),Skills!I9)/Skills!H9,1)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IFERROR(1/IF(Inputs!$B$38="pvp",15,MAX(0.1,Skills!D9-IF(TRUE=TRUE,Inputs!$B$32,0))),0)</f>
        <v/>
      </c>
      <c r="R2690">
        <f>IF(AND(Inputs!$B$38&lt;&gt;"pvp",Inputs!$B$43&gt;0),IF(MAX(0,Inputs!$B$43-B2720)&lt;=0,0,(INT(MAX(0,Inputs!$B$43-B2720)/IF(Inputs!$B$38="pvp",15,MAX(0.1,Skills!D9-IF(TRUE=TRUE,Inputs!$B$32,0))))+1)),0)</f>
        <v/>
      </c>
      <c r="S2690">
        <f>IFERROR((H2690*N2690*IF(AND(Inputs!$B$38&lt;&gt;"pvp",Inputs!$B$43&gt;0),((Skills!G9*((R2690-1)*IF(Skills!H9&gt;0,Skills!I9/Skills!H9,1)+IF(Skills!H9&gt;0,MIN(Skills!I9,MAX(0,MAX(0,Inputs!$B$43-B2720)-((R2690-1)*IF(Inputs!$B$38="pvp",15,MAX(0.1,Skills!D9-IF(TRUE=TRUE,Inputs!$B$32,0))))))/Skills!H9,1)))/Inputs!$B$43),G2690*Q2690))/N2690*IF(Inputs!$B$38="pvp",1,(1-Summary!$B$11)*1+Summary!$B$11*(MIN(Skills!R9,Inputs!$B$37))),0)</f>
        <v/>
      </c>
      <c r="T2690">
        <f>IF(C2690,(H2690*N2690*IF(AND(Inputs!$B$38&lt;&gt;"pvp",Inputs!$B$43&gt;0),((Skills!G9*((R2690-1)*IF(Skills!H9&gt;0,Skills!I9/Skills!H9,1)+IF(Skills!H9&gt;0,MIN(Skills!I9,MAX(0,MAX(0,Inputs!$B$43-B2720)-((R2690-1)*IF(Inputs!$B$38="pvp",15,MAX(0.1,Skills!D9-IF(TRUE=TRUE,Inputs!$B$32,0)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2720)-((R2690-1)*IF(Inputs!$B$38="pvp",15,MAX(0.1,Skills!D9-IF(TRUE=TRUE,Inputs!$B$32,0))))))/Skills!H9,1)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Skills!G10*IF(Skills!H10&gt;0,IF(Inputs!$B$38="pvp",MIN(Skills!I10,15),Skills!I10)/Skills!H10,1)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Skills!G11*IF(Skills!H11&gt;0,IF(Inputs!$B$38="pvp",MIN(Skills!I11,15),Skills!I11)/Skills!H11,1)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IFERROR(1/IF(Inputs!$B$38="pvp",15,MAX(0.1,Skills!D11-IF(TRUE=TRUE,Inputs!$B$32,0))),0)</f>
        <v/>
      </c>
      <c r="R2692">
        <f>IF(AND(Inputs!$B$38&lt;&gt;"pvp",Inputs!$B$43&gt;0),IF(MAX(0,Inputs!$B$43-B2720)&lt;=0,0,(INT(MAX(0,Inputs!$B$43-B2720)/IF(Inputs!$B$38="pvp",15,MAX(0.1,Skills!D11-IF(TRUE=TRUE,Inputs!$B$32,0))))+1)),0)</f>
        <v/>
      </c>
      <c r="S2692">
        <f>IFERROR((H2692*N2692*IF(AND(Inputs!$B$38&lt;&gt;"pvp",Inputs!$B$43&gt;0),((Skills!G11*((R2692-1)*IF(Skills!H11&gt;0,Skills!I11/Skills!H11,1)+IF(Skills!H11&gt;0,MIN(Skills!I11,MAX(0,MAX(0,Inputs!$B$43-B2720)-((R2692-1)*IF(Inputs!$B$38="pvp",15,MAX(0.1,Skills!D11-IF(TRUE=TRUE,Inputs!$B$32,0))))))/Skills!H11,1)))/Inputs!$B$43),G2692*Q2692))/N2692*IF(Inputs!$B$38="pvp",1,(1-Summary!$B$11)*1+Summary!$B$11*(MIN(Skills!R11,Inputs!$B$37))),0)</f>
        <v/>
      </c>
      <c r="T2692">
        <f>IF(C2692,(H2692*N2692*IF(AND(Inputs!$B$38&lt;&gt;"pvp",Inputs!$B$43&gt;0),((Skills!G11*((R2692-1)*IF(Skills!H11&gt;0,Skills!I11/Skills!H11,1)+IF(Skills!H11&gt;0,MIN(Skills!I11,MAX(0,MAX(0,Inputs!$B$43-B2720)-((R2692-1)*IF(Inputs!$B$38="pvp",15,MAX(0.1,Skills!D11-IF(TRUE=TRUE,Inputs!$B$32,0))))))/Skills!H11,1)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Inputs!$B$38&lt;&gt;"pvp",Inputs!$B$43=0),1,IF(IF(Inputs!$B$38="pvp",15,Inputs!$B$43)-(B2720)&lt;=0,1,MAX(0,IF(Inputs!$B$38="pvp",15,Inputs!$B$43)-MAX(5,B2720))/(IF(Inputs!$B$38="pvp",15,Inputs!$B$43)-(B2720)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Skills!I11/Skills!H11,1)+IF(Skills!H11&gt;0,MIN(Skills!I11,MAX(0,MAX(0,Inputs!$B$43-B2720)-((R2692-1)*IF(Inputs!$B$38="pvp",15,MAX(0.1,Skills!D11-IF(TRUE=TRUE,Inputs!$B$32,0))))))/Skills!H11,1)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Skills!G12*IF(Skills!H12&gt;0,IF(Inputs!$B$38="pvp",MIN(Skills!I12,15),Skills!I12)/Skills!H12,1)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Skills!G13*IF(Skills!H13&gt;0,IF(Inputs!$B$38="pvp",MIN(Skills!I13,15),Skills!I13)/Skills!H13,1)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Skills!G14*IF(Skills!H14&gt;0,IF(Inputs!$B$38="pvp",MIN(Skills!I14,15),Skills!I14)/Skills!H14,1)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Skills!G15*IF(Skills!H15&gt;0,IF(Inputs!$B$38="pvp",MIN(Skills!I15,15),Skills!I15)/Skills!H15,1)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IFERROR(1/IF(Inputs!$B$38="pvp",15,MAX(0.1,Skills!D15-IF(TRUE=TRUE,Inputs!$B$32,0))),0)</f>
        <v/>
      </c>
      <c r="R2696">
        <f>IF(AND(Inputs!$B$38&lt;&gt;"pvp",Inputs!$B$43&gt;0),IF(Inputs!$B$43&lt;=0,0,(INT(Inputs!$B$43/IF(Inputs!$B$38="pvp",15,MAX(0.1,Skills!D15-IF(TRUE=TRUE,Inputs!$B$32,0))))+1)),0)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Skills!G16*IF(Skills!H16&gt;0,IF(Inputs!$B$38="pvp",MIN(Skills!I16,15),Skills!I16)/Skills!H16,1)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IFERROR(1/IF(Inputs!$B$38="pvp",15,MAX(0.1,Skills!D16-IF(TRUE=TRUE,Inputs!$B$32,0))),0)</f>
        <v/>
      </c>
      <c r="R2697">
        <f>IF(AND(Inputs!$B$38&lt;&gt;"pvp",Inputs!$B$43&gt;0),IF(Inputs!$B$43&lt;=0,0,(INT(Inputs!$B$43/IF(Inputs!$B$38="pvp",15,MAX(0.1,Skills!D16-IF(TRUE=TRUE,Inputs!$B$32,0))))+1)),0)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Skills!G17*IF(Skills!H17&gt;0,IF(Inputs!$B$38="pvp",MIN(Skills!I17,15),Skills!I17)/Skills!H17,1)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Skills!G18*IF(Skills!H18&gt;0,IF(Inputs!$B$38="pvp",MIN(Skills!I18,15),Skills!I18)/Skills!H18,1)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IFERROR(1/IF(Inputs!$B$38="pvp",15,MAX(0.1,Skills!D18-IF(TRUE=TRUE,Inputs!$B$32,0))),0)</f>
        <v/>
      </c>
      <c r="R2699">
        <f>IF(AND(Inputs!$B$38&lt;&gt;"pvp",Inputs!$B$43&gt;0),IF(Inputs!$B$43&lt;=0,0,(INT(Inputs!$B$43/IF(Inputs!$B$38="pvp",15,MAX(0.1,Skills!D18-IF(TRUE=TRUE,Inputs!$B$32,0))))+1)),0)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Skills!G19*IF(Skills!H19&gt;0,IF(Inputs!$B$38="pvp",MIN(Skills!I19,15),Skills!I19)/Skills!H19,1)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Skills!G20*IF(Skills!H20&gt;0,IF(Inputs!$B$38="pvp",MIN(Skills!I20,15),Skills!I20)/Skills!H20,1)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Skills!G21*IF(Skills!H21&gt;0,IF(Inputs!$B$38="pvp",MIN(Skills!I21,15),Skills!I21)/Skills!H21,1)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Skills!G22*IF(Skills!H22&gt;0,IF(Inputs!$B$38="pvp",MIN(Skills!I22,15),Skills!I22)/Skills!H22,1)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Skills!G23*IF(Skills!H23&gt;0,IF(Inputs!$B$38="pvp",MIN(Skills!I23,15),Skills!I23)/Skills!H23,1)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Skills!G24*IF(Skills!H24&gt;0,IF(Inputs!$B$38="pvp",MIN(Skills!I24,15),Skills!I24)/Skills!H24,1)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Skills!G25*IF(Skills!H25&gt;0,IF(Inputs!$B$38="pvp",MIN(Skills!I25,15),Skills!I25)/Skills!H25,1)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Skills!G26*IF(Skills!H26&gt;0,IF(Inputs!$B$38="pvp",MIN(Skills!I26,15),Skills!I26)/Skills!H26,1)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Skills!G27*IF(Skills!H27&gt;0,IF(Inputs!$B$38="pvp",MIN(Skills!I27,15),Skills!I27)/Skills!H27,1)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Skills!G28*IF(Skills!H28&gt;0,IF(Inputs!$B$38="pvp",MIN(Skills!I28,15),Skills!I28)/Skills!H28,1)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Skills!G29*IF(Skills!H29&gt;0,IF(Inputs!$B$38="pvp",MIN(Skills!I29,15),Skills!I29)/Skills!H29,1)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MIN((Skills!T15*(1+Inputs!$B$34/100)),(1/Q2696))+MIN((Skills!T15*(1+Inputs!$B$34/100)),MAX(0,Inputs!$B$43-((R2696-1)*(1/Q2696)))))/Inputs!$B$43),IF(Inputs!$B$38="pvp",MIN((Skills!T15*(1+Inputs!$B$34/100)),15)/15,MIN(1,(Skills!T15*(1+Inputs!$B$34/100))/(1/Q2696)))))+((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t="n">
        <v>0</v>
      </c>
    </row>
    <row r="2714">
      <c r="A2714" t="inlineStr">
        <is>
          <t>Attack Speed Buff Bonus %</t>
        </is>
      </c>
      <c r="B2714">
        <f>((C2699=TRUE)*F2699*IF(AND(Inputs!$B$38&lt;&gt;"pvp",Inputs!$B$43&gt;0),(((R2699-1)*MIN((Skills!T18*(1+Inputs!$B$34/100)),(1/Q2699))+MIN((Skills!T18*(1+Inputs!$B$34/100)),MAX(0,Inputs!$B$43-((R2699-1)*(1/Q2699)))))/Inputs!$B$43),IF(Inputs!$B$38="pvp",MIN((Skills!T18*(1+Inputs!$B$34/100)),15)/15,MIN(1,(Skills!T18*(1+Inputs!$B$34/100))/(1/Q2699)))))</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MIN((Skills!T16*(1+Inputs!$B$34/100)),(1/Q2697))+MIN((Skills!T16*(1+Inputs!$B$34/100)),MAX(0,Inputs!$B$43-((R2697-1)*(1/Q2697)))))/Inputs!$B$43),IF(Inputs!$B$38="pvp",MIN((Skills!T16*(1+Inputs!$B$34/100)),15)/15,MIN(1,(Skills!T16*(1+Inputs!$B$34/100))/(1/Q2697))))</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Skills!G2*IF(Skills!H2&gt;0,IF(Inputs!$B$38="pvp",MIN(Skills!I2,15),Skills!I2)/Skills!H2,1)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Skills!G5*IF(Skills!H5&gt;0,IF(Inputs!$B$38="pvp",MIN(Skills!I5,15),Skills!I5)/Skills!H5,1)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IFERROR(1/IF(Inputs!$B$38="pvp",15,MAX(0.1,Skills!D5-IF(TRUE=TRUE,Inputs!$B$32,0))),0)</f>
        <v/>
      </c>
      <c r="R2731">
        <f>IF(AND(Inputs!$B$38&lt;&gt;"pvp",Inputs!$B$43&gt;0),IF(MAX(0,Inputs!$B$43-B2765)&lt;=0,0,(INT(MAX(0,Inputs!$B$43-B2765)/IF(Inputs!$B$38="pvp",15,MAX(0.1,Skills!D5-IF(TRUE=TRUE,Inputs!$B$32,0))))+1)),0)</f>
        <v/>
      </c>
      <c r="S2731">
        <f>IFERROR((H2731*N2731*IF(AND(Inputs!$B$38&lt;&gt;"pvp",Inputs!$B$43&gt;0),((Skills!G5*((R2731-1)*IF(Skills!H5&gt;0,Skills!I5/Skills!H5,1)+IF(Skills!H5&gt;0,MIN(Skills!I5,MAX(0,MAX(0,Inputs!$B$43-B2765)-((R2731-1)*IF(Inputs!$B$38="pvp",15,MAX(0.1,Skills!D5-IF(TRUE=TRUE,Inputs!$B$32,0))))))/Skills!H5,1)))/Inputs!$B$43),G2731*Q2731))/N2731*IF(Inputs!$B$38="pvp",1,(1-Summary!$B$11)*1+Summary!$B$11*(MIN(Skills!R5,Inputs!$B$37))),0)</f>
        <v/>
      </c>
      <c r="T2731">
        <f>IF(C2731,(H2731*N2731*IF(AND(Inputs!$B$38&lt;&gt;"pvp",Inputs!$B$43&gt;0),((Skills!G5*((R2731-1)*IF(Skills!H5&gt;0,Skills!I5/Skills!H5,1)+IF(Skills!H5&gt;0,MIN(Skills!I5,MAX(0,MAX(0,Inputs!$B$43-B2765)-((R2731-1)*IF(Inputs!$B$38="pvp",15,MAX(0.1,Skills!D5-IF(TRUE=TRUE,Inputs!$B$32,0))))))/Skills!H5,1)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Skills!I5/Skills!H5,1)+IF(Skills!H5&gt;0,MIN(Skills!I5,MAX(0,MAX(0,Inputs!$B$43-B2765)-((R2731-1)*IF(Inputs!$B$38="pvp",15,MAX(0.1,Skills!D5-IF(TRUE=TRUE,Inputs!$B$32,0))))))/Skills!H5,1)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Skills!G6*IF(Skills!H6&gt;0,IF(Inputs!$B$38="pvp",MIN(Skills!I6,15),Skills!I6)/Skills!H6,1)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IFERROR(1/IF(Inputs!$B$38="pvp",15,MAX(0.1,Skills!D6-IF(TRUE=TRUE,Inputs!$B$32,0))),0)</f>
        <v/>
      </c>
      <c r="R2732">
        <f>IF(AND(Inputs!$B$38&lt;&gt;"pvp",Inputs!$B$43&gt;0),IF(MAX(0,Inputs!$B$43-B2765)&lt;=0,0,(INT(MAX(0,Inputs!$B$43-B2765)/IF(Inputs!$B$38="pvp",15,MAX(0.1,Skills!D6-IF(TRUE=TRUE,Inputs!$B$32,0))))+1)),0)</f>
        <v/>
      </c>
      <c r="S2732">
        <f>IFERROR((H2732*N2732*IF(AND(Inputs!$B$38&lt;&gt;"pvp",Inputs!$B$43&gt;0),((Skills!G6*((R2732-1)*IF(Skills!H6&gt;0,Skills!I6/Skills!H6,1)+IF(Skills!H6&gt;0,MIN(Skills!I6,MAX(0,MAX(0,Inputs!$B$43-B2765)-((R2732-1)*IF(Inputs!$B$38="pvp",15,MAX(0.1,Skills!D6-IF(TRUE=TRUE,Inputs!$B$32,0))))))/Skills!H6,1)))/Inputs!$B$43),G2732*Q2732))/N2732*IF(Inputs!$B$38="pvp",1,(1-Summary!$B$11)*1+Summary!$B$11*(MIN(Skills!R6,Inputs!$B$37))),0)</f>
        <v/>
      </c>
      <c r="T2732">
        <f>IF(C2732,(H2732*N2732*IF(AND(Inputs!$B$38&lt;&gt;"pvp",Inputs!$B$43&gt;0),((Skills!G6*((R2732-1)*IF(Skills!H6&gt;0,Skills!I6/Skills!H6,1)+IF(Skills!H6&gt;0,MIN(Skills!I6,MAX(0,MAX(0,Inputs!$B$43-B2765)-((R2732-1)*IF(Inputs!$B$38="pvp",15,MAX(0.1,Skills!D6-IF(TRUE=TRUE,Inputs!$B$32,0)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2765)-((R2732-1)*IF(Inputs!$B$38="pvp",15,MAX(0.1,Skills!D6-IF(TRUE=TRUE,Inputs!$B$32,0))))))/Skills!H6,1)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Skills!G7*IF(Skills!H7&gt;0,IF(Inputs!$B$38="pvp",MIN(Skills!I7,15),Skills!I7)/Skills!H7,1)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IFERROR(1/IF(Inputs!$B$38="pvp",15,MAX(0.1,Skills!D7-IF(TRUE=TRUE,Inputs!$B$32,0))),0)</f>
        <v/>
      </c>
      <c r="R2733">
        <f>IF(AND(Inputs!$B$38&lt;&gt;"pvp",Inputs!$B$43&gt;0),IF(MAX(0,Inputs!$B$43-B2765)&lt;=0,0,(INT(MAX(0,Inputs!$B$43-B2765)/IF(Inputs!$B$38="pvp",15,MAX(0.1,Skills!D7-IF(TRUE=TRUE,Inputs!$B$32,0))))+1)),0)</f>
        <v/>
      </c>
      <c r="S2733">
        <f>IFERROR((H2733*N2733*IF(AND(Inputs!$B$38&lt;&gt;"pvp",Inputs!$B$43&gt;0),((Skills!G7*((R2733-1)*IF(Skills!H7&gt;0,Skills!I7/Skills!H7,1)+IF(Skills!H7&gt;0,MIN(Skills!I7,MAX(0,MAX(0,Inputs!$B$43-B2765)-((R2733-1)*IF(Inputs!$B$38="pvp",15,MAX(0.1,Skills!D7-IF(TRUE=TRUE,Inputs!$B$32,0))))))/Skills!H7,1)))/Inputs!$B$43),G2733*Q2733))/N2733*IF(Inputs!$B$38="pvp",1,(1-Summary!$B$11)*1+Summary!$B$11*(MIN(Skills!R7,Inputs!$B$37))),0)</f>
        <v/>
      </c>
      <c r="T2733">
        <f>IF(C2733,(H2733*N2733*IF(AND(Inputs!$B$38&lt;&gt;"pvp",Inputs!$B$43&gt;0),((Skills!G7*((R2733-1)*IF(Skills!H7&gt;0,Skills!I7/Skills!H7,1)+IF(Skills!H7&gt;0,MIN(Skills!I7,MAX(0,MAX(0,Inputs!$B$43-B2765)-((R2733-1)*IF(Inputs!$B$38="pvp",15,MAX(0.1,Skills!D7-IF(TRUE=TRUE,Inputs!$B$32,0)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2765)-((R2733-1)*IF(Inputs!$B$38="pvp",15,MAX(0.1,Skills!D7-IF(TRUE=TRUE,Inputs!$B$32,0))))))/Skills!H7,1)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Skills!G9*IF(Skills!H9&gt;0,IF(Inputs!$B$38="pvp",MIN(Skills!I9,15),Skills!I9)/Skills!H9,1)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IFERROR(1/IF(Inputs!$B$38="pvp",15,MAX(0.1,Skills!D9-IF(TRUE=TRUE,Inputs!$B$32,0))),0)</f>
        <v/>
      </c>
      <c r="R2735">
        <f>IF(AND(Inputs!$B$38&lt;&gt;"pvp",Inputs!$B$43&gt;0),IF(MAX(0,Inputs!$B$43-B2765)&lt;=0,0,(INT(MAX(0,Inputs!$B$43-B2765)/IF(Inputs!$B$38="pvp",15,MAX(0.1,Skills!D9-IF(TRUE=TRUE,Inputs!$B$32,0))))+1)),0)</f>
        <v/>
      </c>
      <c r="S2735">
        <f>IFERROR((H2735*N2735*IF(AND(Inputs!$B$38&lt;&gt;"pvp",Inputs!$B$43&gt;0),((Skills!G9*((R2735-1)*IF(Skills!H9&gt;0,Skills!I9/Skills!H9,1)+IF(Skills!H9&gt;0,MIN(Skills!I9,MAX(0,MAX(0,Inputs!$B$43-B2765)-((R2735-1)*IF(Inputs!$B$38="pvp",15,MAX(0.1,Skills!D9-IF(TRUE=TRUE,Inputs!$B$32,0))))))/Skills!H9,1)))/Inputs!$B$43),G2735*Q2735))/N2735*IF(Inputs!$B$38="pvp",1,(1-Summary!$B$11)*1+Summary!$B$11*(MIN(Skills!R9,Inputs!$B$37))),0)</f>
        <v/>
      </c>
      <c r="T2735">
        <f>IF(C2735,(H2735*N2735*IF(AND(Inputs!$B$38&lt;&gt;"pvp",Inputs!$B$43&gt;0),((Skills!G9*((R2735-1)*IF(Skills!H9&gt;0,Skills!I9/Skills!H9,1)+IF(Skills!H9&gt;0,MIN(Skills!I9,MAX(0,MAX(0,Inputs!$B$43-B2765)-((R2735-1)*IF(Inputs!$B$38="pvp",15,MAX(0.1,Skills!D9-IF(TRUE=TRUE,Inputs!$B$32,0)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2765)-((R2735-1)*IF(Inputs!$B$38="pvp",15,MAX(0.1,Skills!D9-IF(TRUE=TRUE,Inputs!$B$32,0))))))/Skills!H9,1)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Skills!G10*IF(Skills!H10&gt;0,IF(Inputs!$B$38="pvp",MIN(Skills!I10,15),Skills!I10)/Skills!H10,1)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Skills!G11*IF(Skills!H11&gt;0,IF(Inputs!$B$38="pvp",MIN(Skills!I11,15),Skills!I11)/Skills!H11,1)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IFERROR(1/IF(Inputs!$B$38="pvp",15,MAX(0.1,Skills!D11-IF(TRUE=TRUE,Inputs!$B$32,0))),0)</f>
        <v/>
      </c>
      <c r="R2737">
        <f>IF(AND(Inputs!$B$38&lt;&gt;"pvp",Inputs!$B$43&gt;0),IF(MAX(0,Inputs!$B$43-B2765)&lt;=0,0,(INT(MAX(0,Inputs!$B$43-B2765)/IF(Inputs!$B$38="pvp",15,MAX(0.1,Skills!D11-IF(TRUE=TRUE,Inputs!$B$32,0))))+1)),0)</f>
        <v/>
      </c>
      <c r="S2737">
        <f>IFERROR((H2737*N2737*IF(AND(Inputs!$B$38&lt;&gt;"pvp",Inputs!$B$43&gt;0),((Skills!G11*((R2737-1)*IF(Skills!H11&gt;0,Skills!I11/Skills!H11,1)+IF(Skills!H11&gt;0,MIN(Skills!I11,MAX(0,MAX(0,Inputs!$B$43-B2765)-((R2737-1)*IF(Inputs!$B$38="pvp",15,MAX(0.1,Skills!D11-IF(TRUE=TRUE,Inputs!$B$32,0))))))/Skills!H11,1)))/Inputs!$B$43),G2737*Q2737))/N2737*IF(Inputs!$B$38="pvp",1,(1-Summary!$B$11)*1+Summary!$B$11*(MIN(Skills!R11,Inputs!$B$37))),0)</f>
        <v/>
      </c>
      <c r="T2737">
        <f>IF(C2737,(H2737*N2737*IF(AND(Inputs!$B$38&lt;&gt;"pvp",Inputs!$B$43&gt;0),((Skills!G11*((R2737-1)*IF(Skills!H11&gt;0,Skills!I11/Skills!H11,1)+IF(Skills!H11&gt;0,MIN(Skills!I11,MAX(0,MAX(0,Inputs!$B$43-B2765)-((R2737-1)*IF(Inputs!$B$38="pvp",15,MAX(0.1,Skills!D11-IF(TRUE=TRUE,Inputs!$B$32,0))))))/Skills!H11,1)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Inputs!$B$38&lt;&gt;"pvp",Inputs!$B$43=0),1,IF(IF(Inputs!$B$38="pvp",15,Inputs!$B$43)-(B2765)&lt;=0,1,MAX(0,IF(Inputs!$B$38="pvp",15,Inputs!$B$43)-MAX(5,B2765))/(IF(Inputs!$B$38="pvp",15,Inputs!$B$43)-(B2765))))*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Skills!I11/Skills!H11,1)+IF(Skills!H11&gt;0,MIN(Skills!I11,MAX(0,MAX(0,Inputs!$B$43-B2765)-((R2737-1)*IF(Inputs!$B$38="pvp",15,MAX(0.1,Skills!D11-IF(TRUE=TRUE,Inputs!$B$32,0))))))/Skills!H11,1)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Skills!G12*IF(Skills!H12&gt;0,IF(Inputs!$B$38="pvp",MIN(Skills!I12,15),Skills!I12)/Skills!H12,1)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Skills!G13*IF(Skills!H13&gt;0,IF(Inputs!$B$38="pvp",MIN(Skills!I13,15),Skills!I13)/Skills!H13,1)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Skills!G14*IF(Skills!H14&gt;0,IF(Inputs!$B$38="pvp",MIN(Skills!I14,15),Skills!I14)/Skills!H14,1)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Skills!G15*IF(Skills!H15&gt;0,IF(Inputs!$B$38="pvp",MIN(Skills!I15,15),Skills!I15)/Skills!H15,1)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IFERROR(1/IF(Inputs!$B$38="pvp",15,MAX(0.1,Skills!D15-IF(TRUE=TRUE,Inputs!$B$32,0))),0)</f>
        <v/>
      </c>
      <c r="R2741">
        <f>IF(AND(Inputs!$B$38&lt;&gt;"pvp",Inputs!$B$43&gt;0),IF(Inputs!$B$43&lt;=0,0,(INT(Inputs!$B$43/IF(Inputs!$B$38="pvp",15,MAX(0.1,Skills!D15-IF(TRUE=TRUE,Inputs!$B$32,0))))+1)),0)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Skills!G16*IF(Skills!H16&gt;0,IF(Inputs!$B$38="pvp",MIN(Skills!I16,15),Skills!I16)/Skills!H16,1)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IFERROR(1/IF(Inputs!$B$38="pvp",15,MAX(0.1,Skills!D16-IF(TRUE=TRUE,Inputs!$B$32,0))),0)</f>
        <v/>
      </c>
      <c r="R2742">
        <f>IF(AND(Inputs!$B$38&lt;&gt;"pvp",Inputs!$B$43&gt;0),IF(Inputs!$B$43&lt;=0,0,(INT(Inputs!$B$43/IF(Inputs!$B$38="pvp",15,MAX(0.1,Skills!D16-IF(TRUE=TRUE,Inputs!$B$32,0))))+1)),0)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Skills!G17*IF(Skills!H17&gt;0,IF(Inputs!$B$38="pvp",MIN(Skills!I17,15),Skills!I17)/Skills!H17,1)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Skills!G18*IF(Skills!H18&gt;0,IF(Inputs!$B$38="pvp",MIN(Skills!I18,15),Skills!I18)/Skills!H18,1)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IFERROR(1/IF(Inputs!$B$38="pvp",15,MAX(0.1,Skills!D18-IF(TRUE=TRUE,Inputs!$B$32,0))),0)</f>
        <v/>
      </c>
      <c r="R2744">
        <f>IF(AND(Inputs!$B$38&lt;&gt;"pvp",Inputs!$B$43&gt;0),IF(Inputs!$B$43&lt;=0,0,(INT(Inputs!$B$43/IF(Inputs!$B$38="pvp",15,MAX(0.1,Skills!D18-IF(TRUE=TRUE,Inputs!$B$32,0))))+1)),0)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Skills!G19*IF(Skills!H19&gt;0,IF(Inputs!$B$38="pvp",MIN(Skills!I19,15),Skills!I19)/Skills!H19,1)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Skills!G20*IF(Skills!H20&gt;0,IF(Inputs!$B$38="pvp",MIN(Skills!I20,15),Skills!I20)/Skills!H20,1)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Skills!G21*IF(Skills!H21&gt;0,IF(Inputs!$B$38="pvp",MIN(Skills!I21,15),Skills!I21)/Skills!H21,1)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Skills!G22*IF(Skills!H22&gt;0,IF(Inputs!$B$38="pvp",MIN(Skills!I22,15),Skills!I22)/Skills!H22,1)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Skills!G23*IF(Skills!H23&gt;0,IF(Inputs!$B$38="pvp",MIN(Skills!I23,15),Skills!I23)/Skills!H23,1)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Skills!G24*IF(Skills!H24&gt;0,IF(Inputs!$B$38="pvp",MIN(Skills!I24,15),Skills!I24)/Skills!H24,1)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Skills!G25*IF(Skills!H25&gt;0,IF(Inputs!$B$38="pvp",MIN(Skills!I25,15),Skills!I25)/Skills!H25,1)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Skills!G26*IF(Skills!H26&gt;0,IF(Inputs!$B$38="pvp",MIN(Skills!I26,15),Skills!I26)/Skills!H26,1)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Skills!G27*IF(Skills!H27&gt;0,IF(Inputs!$B$38="pvp",MIN(Skills!I27,15),Skills!I27)/Skills!H27,1)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Skills!G28*IF(Skills!H28&gt;0,IF(Inputs!$B$38="pvp",MIN(Skills!I28,15),Skills!I28)/Skills!H28,1)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Skills!G29*IF(Skills!H29&gt;0,IF(Inputs!$B$38="pvp",MIN(Skills!I29,15),Skills!I29)/Skills!H29,1)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MIN((Skills!T15*(1+Inputs!$B$34/100)),(1/Q2741))+MIN((Skills!T15*(1+Inputs!$B$34/100)),MAX(0,Inputs!$B$43-((R2741-1)*(1/Q2741)))))/Inputs!$B$43),IF(Inputs!$B$38="pvp",MIN((Skills!T15*(1+Inputs!$B$34/100)),15)/15,MIN(1,(Skills!T15*(1+Inputs!$B$34/100))/(1/Q2741)))))+((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t="n">
        <v>0</v>
      </c>
    </row>
    <row r="2759">
      <c r="A2759" t="inlineStr">
        <is>
          <t>Attack Speed Buff Bonus %</t>
        </is>
      </c>
      <c r="B2759">
        <f>((C2744=TRUE)*F2744*IF(AND(Inputs!$B$38&lt;&gt;"pvp",Inputs!$B$43&gt;0),(((R2744-1)*MIN((Skills!T18*(1+Inputs!$B$34/100)),(1/Q2744))+MIN((Skills!T18*(1+Inputs!$B$34/100)),MAX(0,Inputs!$B$43-((R2744-1)*(1/Q2744)))))/Inputs!$B$43),IF(Inputs!$B$38="pvp",MIN((Skills!T18*(1+Inputs!$B$34/100)),15)/15,MIN(1,(Skills!T18*(1+Inputs!$B$34/100))/(1/Q2744)))))</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MIN((Skills!T16*(1+Inputs!$B$34/100)),(1/Q2742))+MIN((Skills!T16*(1+Inputs!$B$34/100)),MAX(0,Inputs!$B$43-((R2742-1)*(1/Q2742)))))/Inputs!$B$43),IF(Inputs!$B$38="pvp",MIN((Skills!T16*(1+Inputs!$B$34/100)),15)/15,MIN(1,(Skills!T16*(1+Inputs!$B$34/100))/(1/Q2742))))</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Skills!G2*IF(Skills!H2&gt;0,IF(Inputs!$B$38="pvp",MIN(Skills!I2,15),Skills!I2)/Skills!H2,1)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Skills!G5*IF(Skills!H5&gt;0,IF(Inputs!$B$38="pvp",MIN(Skills!I5,15),Skills!I5)/Skills!H5,1)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IFERROR(1/IF(Inputs!$B$38="pvp",15,MAX(0.1,Skills!D5-IF(TRUE=TRUE,Inputs!$B$32,0))),0)</f>
        <v/>
      </c>
      <c r="R2776">
        <f>IF(AND(Inputs!$B$38&lt;&gt;"pvp",Inputs!$B$43&gt;0),IF(MAX(0,Inputs!$B$43-B2810)&lt;=0,0,(INT(MAX(0,Inputs!$B$43-B2810)/IF(Inputs!$B$38="pvp",15,MAX(0.1,Skills!D5-IF(TRUE=TRUE,Inputs!$B$32,0))))+1)),0)</f>
        <v/>
      </c>
      <c r="S2776">
        <f>IFERROR((H2776*N2776*IF(AND(Inputs!$B$38&lt;&gt;"pvp",Inputs!$B$43&gt;0),((Skills!G5*((R2776-1)*IF(Skills!H5&gt;0,Skills!I5/Skills!H5,1)+IF(Skills!H5&gt;0,MIN(Skills!I5,MAX(0,MAX(0,Inputs!$B$43-B2810)-((R2776-1)*IF(Inputs!$B$38="pvp",15,MAX(0.1,Skills!D5-IF(TRUE=TRUE,Inputs!$B$32,0))))))/Skills!H5,1)))/Inputs!$B$43),G2776*Q2776))/N2776*IF(Inputs!$B$38="pvp",1,(1-Summary!$B$11)*1+Summary!$B$11*(MIN(Skills!R5,Inputs!$B$37))),0)</f>
        <v/>
      </c>
      <c r="T2776">
        <f>IF(C2776,(H2776*N2776*IF(AND(Inputs!$B$38&lt;&gt;"pvp",Inputs!$B$43&gt;0),((Skills!G5*((R2776-1)*IF(Skills!H5&gt;0,Skills!I5/Skills!H5,1)+IF(Skills!H5&gt;0,MIN(Skills!I5,MAX(0,MAX(0,Inputs!$B$43-B2810)-((R2776-1)*IF(Inputs!$B$38="pvp",15,MAX(0.1,Skills!D5-IF(TRUE=TRUE,Inputs!$B$32,0))))))/Skills!H5,1)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Skills!I5/Skills!H5,1)+IF(Skills!H5&gt;0,MIN(Skills!I5,MAX(0,MAX(0,Inputs!$B$43-B2810)-((R2776-1)*IF(Inputs!$B$38="pvp",15,MAX(0.1,Skills!D5-IF(TRUE=TRUE,Inputs!$B$32,0))))))/Skills!H5,1)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Skills!G6*IF(Skills!H6&gt;0,IF(Inputs!$B$38="pvp",MIN(Skills!I6,15),Skills!I6)/Skills!H6,1)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IFERROR(1/IF(Inputs!$B$38="pvp",15,MAX(0.1,Skills!D6-IF(TRUE=TRUE,Inputs!$B$32,0))),0)</f>
        <v/>
      </c>
      <c r="R2777">
        <f>IF(AND(Inputs!$B$38&lt;&gt;"pvp",Inputs!$B$43&gt;0),IF(MAX(0,Inputs!$B$43-B2810)&lt;=0,0,(INT(MAX(0,Inputs!$B$43-B2810)/IF(Inputs!$B$38="pvp",15,MAX(0.1,Skills!D6-IF(TRUE=TRUE,Inputs!$B$32,0))))+1)),0)</f>
        <v/>
      </c>
      <c r="S2777">
        <f>IFERROR((H2777*N2777*IF(AND(Inputs!$B$38&lt;&gt;"pvp",Inputs!$B$43&gt;0),((Skills!G6*((R2777-1)*IF(Skills!H6&gt;0,Skills!I6/Skills!H6,1)+IF(Skills!H6&gt;0,MIN(Skills!I6,MAX(0,MAX(0,Inputs!$B$43-B2810)-((R2777-1)*IF(Inputs!$B$38="pvp",15,MAX(0.1,Skills!D6-IF(TRUE=TRUE,Inputs!$B$32,0))))))/Skills!H6,1)))/Inputs!$B$43),G2777*Q2777))/N2777*IF(Inputs!$B$38="pvp",1,(1-Summary!$B$11)*1+Summary!$B$11*(MIN(Skills!R6,Inputs!$B$37))),0)</f>
        <v/>
      </c>
      <c r="T2777">
        <f>IF(C2777,(H2777*N2777*IF(AND(Inputs!$B$38&lt;&gt;"pvp",Inputs!$B$43&gt;0),((Skills!G6*((R2777-1)*IF(Skills!H6&gt;0,Skills!I6/Skills!H6,1)+IF(Skills!H6&gt;0,MIN(Skills!I6,MAX(0,MAX(0,Inputs!$B$43-B2810)-((R2777-1)*IF(Inputs!$B$38="pvp",15,MAX(0.1,Skills!D6-IF(TRUE=TRUE,Inputs!$B$32,0)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2810)-((R2777-1)*IF(Inputs!$B$38="pvp",15,MAX(0.1,Skills!D6-IF(TRUE=TRUE,Inputs!$B$32,0))))))/Skills!H6,1)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Skills!G7*IF(Skills!H7&gt;0,IF(Inputs!$B$38="pvp",MIN(Skills!I7,15),Skills!I7)/Skills!H7,1)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IFERROR(1/IF(Inputs!$B$38="pvp",15,MAX(0.1,Skills!D7-IF(TRUE=TRUE,Inputs!$B$32,0))),0)</f>
        <v/>
      </c>
      <c r="R2778">
        <f>IF(AND(Inputs!$B$38&lt;&gt;"pvp",Inputs!$B$43&gt;0),IF(MAX(0,Inputs!$B$43-B2810)&lt;=0,0,(INT(MAX(0,Inputs!$B$43-B2810)/IF(Inputs!$B$38="pvp",15,MAX(0.1,Skills!D7-IF(TRUE=TRUE,Inputs!$B$32,0))))+1)),0)</f>
        <v/>
      </c>
      <c r="S2778">
        <f>IFERROR((H2778*N2778*IF(AND(Inputs!$B$38&lt;&gt;"pvp",Inputs!$B$43&gt;0),((Skills!G7*((R2778-1)*IF(Skills!H7&gt;0,Skills!I7/Skills!H7,1)+IF(Skills!H7&gt;0,MIN(Skills!I7,MAX(0,MAX(0,Inputs!$B$43-B2810)-((R2778-1)*IF(Inputs!$B$38="pvp",15,MAX(0.1,Skills!D7-IF(TRUE=TRUE,Inputs!$B$32,0))))))/Skills!H7,1)))/Inputs!$B$43),G2778*Q2778))/N2778*IF(Inputs!$B$38="pvp",1,(1-Summary!$B$11)*1+Summary!$B$11*(MIN(Skills!R7,Inputs!$B$37))),0)</f>
        <v/>
      </c>
      <c r="T2778">
        <f>IF(C2778,(H2778*N2778*IF(AND(Inputs!$B$38&lt;&gt;"pvp",Inputs!$B$43&gt;0),((Skills!G7*((R2778-1)*IF(Skills!H7&gt;0,Skills!I7/Skills!H7,1)+IF(Skills!H7&gt;0,MIN(Skills!I7,MAX(0,MAX(0,Inputs!$B$43-B2810)-((R2778-1)*IF(Inputs!$B$38="pvp",15,MAX(0.1,Skills!D7-IF(TRUE=TRUE,Inputs!$B$32,0)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2810)-((R2778-1)*IF(Inputs!$B$38="pvp",15,MAX(0.1,Skills!D7-IF(TRUE=TRUE,Inputs!$B$32,0))))))/Skills!H7,1)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Skills!G9*IF(Skills!H9&gt;0,IF(Inputs!$B$38="pvp",MIN(Skills!I9,15),Skills!I9)/Skills!H9,1)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IFERROR(1/IF(Inputs!$B$38="pvp",15,MAX(0.1,Skills!D9-IF(TRUE=TRUE,Inputs!$B$32,0))),0)</f>
        <v/>
      </c>
      <c r="R2780">
        <f>IF(AND(Inputs!$B$38&lt;&gt;"pvp",Inputs!$B$43&gt;0),IF(MAX(0,Inputs!$B$43-B2810)&lt;=0,0,(INT(MAX(0,Inputs!$B$43-B2810)/IF(Inputs!$B$38="pvp",15,MAX(0.1,Skills!D9-IF(TRUE=TRUE,Inputs!$B$32,0))))+1)),0)</f>
        <v/>
      </c>
      <c r="S2780">
        <f>IFERROR((H2780*N2780*IF(AND(Inputs!$B$38&lt;&gt;"pvp",Inputs!$B$43&gt;0),((Skills!G9*((R2780-1)*IF(Skills!H9&gt;0,Skills!I9/Skills!H9,1)+IF(Skills!H9&gt;0,MIN(Skills!I9,MAX(0,MAX(0,Inputs!$B$43-B2810)-((R2780-1)*IF(Inputs!$B$38="pvp",15,MAX(0.1,Skills!D9-IF(TRUE=TRUE,Inputs!$B$32,0))))))/Skills!H9,1)))/Inputs!$B$43),G2780*Q2780))/N2780*IF(Inputs!$B$38="pvp",1,(1-Summary!$B$11)*1+Summary!$B$11*(MIN(Skills!R9,Inputs!$B$37))),0)</f>
        <v/>
      </c>
      <c r="T2780">
        <f>IF(C2780,(H2780*N2780*IF(AND(Inputs!$B$38&lt;&gt;"pvp",Inputs!$B$43&gt;0),((Skills!G9*((R2780-1)*IF(Skills!H9&gt;0,Skills!I9/Skills!H9,1)+IF(Skills!H9&gt;0,MIN(Skills!I9,MAX(0,MAX(0,Inputs!$B$43-B2810)-((R2780-1)*IF(Inputs!$B$38="pvp",15,MAX(0.1,Skills!D9-IF(TRUE=TRUE,Inputs!$B$32,0)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2810)-((R2780-1)*IF(Inputs!$B$38="pvp",15,MAX(0.1,Skills!D9-IF(TRUE=TRUE,Inputs!$B$32,0))))))/Skills!H9,1)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Skills!G10*IF(Skills!H10&gt;0,IF(Inputs!$B$38="pvp",MIN(Skills!I10,15),Skills!I10)/Skills!H10,1)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Skills!G11*IF(Skills!H11&gt;0,IF(Inputs!$B$38="pvp",MIN(Skills!I11,15),Skills!I11)/Skills!H11,1)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IFERROR(1/IF(Inputs!$B$38="pvp",15,MAX(0.1,Skills!D11-IF(TRUE=TRUE,Inputs!$B$32,0))),0)</f>
        <v/>
      </c>
      <c r="R2782">
        <f>IF(AND(Inputs!$B$38&lt;&gt;"pvp",Inputs!$B$43&gt;0),IF(MAX(0,Inputs!$B$43-B2810)&lt;=0,0,(INT(MAX(0,Inputs!$B$43-B2810)/IF(Inputs!$B$38="pvp",15,MAX(0.1,Skills!D11-IF(TRUE=TRUE,Inputs!$B$32,0))))+1)),0)</f>
        <v/>
      </c>
      <c r="S2782">
        <f>IFERROR((H2782*N2782*IF(AND(Inputs!$B$38&lt;&gt;"pvp",Inputs!$B$43&gt;0),((Skills!G11*((R2782-1)*IF(Skills!H11&gt;0,Skills!I11/Skills!H11,1)+IF(Skills!H11&gt;0,MIN(Skills!I11,MAX(0,MAX(0,Inputs!$B$43-B2810)-((R2782-1)*IF(Inputs!$B$38="pvp",15,MAX(0.1,Skills!D11-IF(TRUE=TRUE,Inputs!$B$32,0))))))/Skills!H11,1)))/Inputs!$B$43),G2782*Q2782))/N2782*IF(Inputs!$B$38="pvp",1,(1-Summary!$B$11)*1+Summary!$B$11*(MIN(Skills!R11,Inputs!$B$37))),0)</f>
        <v/>
      </c>
      <c r="T2782">
        <f>IF(C2782,(H2782*N2782*IF(AND(Inputs!$B$38&lt;&gt;"pvp",Inputs!$B$43&gt;0),((Skills!G11*((R2782-1)*IF(Skills!H11&gt;0,Skills!I11/Skills!H11,1)+IF(Skills!H11&gt;0,MIN(Skills!I11,MAX(0,MAX(0,Inputs!$B$43-B2810)-((R2782-1)*IF(Inputs!$B$38="pvp",15,MAX(0.1,Skills!D11-IF(TRUE=TRUE,Inputs!$B$32,0))))))/Skills!H11,1)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Inputs!$B$38&lt;&gt;"pvp",Inputs!$B$43=0),1,IF(IF(Inputs!$B$38="pvp",15,Inputs!$B$43)-(B2810)&lt;=0,1,MAX(0,IF(Inputs!$B$38="pvp",15,Inputs!$B$43)-MAX(5,B2810))/(IF(Inputs!$B$38="pvp",15,Inputs!$B$43)-(B2810)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Skills!I11/Skills!H11,1)+IF(Skills!H11&gt;0,MIN(Skills!I11,MAX(0,MAX(0,Inputs!$B$43-B2810)-((R2782-1)*IF(Inputs!$B$38="pvp",15,MAX(0.1,Skills!D11-IF(TRUE=TRUE,Inputs!$B$32,0))))))/Skills!H11,1)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Skills!G12*IF(Skills!H12&gt;0,IF(Inputs!$B$38="pvp",MIN(Skills!I12,15),Skills!I12)/Skills!H12,1)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Skills!G13*IF(Skills!H13&gt;0,IF(Inputs!$B$38="pvp",MIN(Skills!I13,15),Skills!I13)/Skills!H13,1)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Skills!G14*IF(Skills!H14&gt;0,IF(Inputs!$B$38="pvp",MIN(Skills!I14,15),Skills!I14)/Skills!H14,1)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Skills!G15*IF(Skills!H15&gt;0,IF(Inputs!$B$38="pvp",MIN(Skills!I15,15),Skills!I15)/Skills!H15,1)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IFERROR(1/IF(Inputs!$B$38="pvp",15,MAX(0.1,Skills!D15-IF(TRUE=TRUE,Inputs!$B$32,0))),0)</f>
        <v/>
      </c>
      <c r="R2786">
        <f>IF(AND(Inputs!$B$38&lt;&gt;"pvp",Inputs!$B$43&gt;0),IF(Inputs!$B$43&lt;=0,0,(INT(Inputs!$B$43/IF(Inputs!$B$38="pvp",15,MAX(0.1,Skills!D15-IF(TRUE=TRUE,Inputs!$B$32,0))))+1)),0)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Skills!G16*IF(Skills!H16&gt;0,IF(Inputs!$B$38="pvp",MIN(Skills!I16,15),Skills!I16)/Skills!H16,1)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IFERROR(1/IF(Inputs!$B$38="pvp",15,MAX(0.1,Skills!D16-IF(TRUE=TRUE,Inputs!$B$32,0))),0)</f>
        <v/>
      </c>
      <c r="R2787">
        <f>IF(AND(Inputs!$B$38&lt;&gt;"pvp",Inputs!$B$43&gt;0),IF(Inputs!$B$43&lt;=0,0,(INT(Inputs!$B$43/IF(Inputs!$B$38="pvp",15,MAX(0.1,Skills!D16-IF(TRUE=TRUE,Inputs!$B$32,0))))+1)),0)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Skills!G17*IF(Skills!H17&gt;0,IF(Inputs!$B$38="pvp",MIN(Skills!I17,15),Skills!I17)/Skills!H17,1)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Skills!G18*IF(Skills!H18&gt;0,IF(Inputs!$B$38="pvp",MIN(Skills!I18,15),Skills!I18)/Skills!H18,1)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IFERROR(1/IF(Inputs!$B$38="pvp",15,MAX(0.1,Skills!D18-IF(TRUE=TRUE,Inputs!$B$32,0))),0)</f>
        <v/>
      </c>
      <c r="R2789">
        <f>IF(AND(Inputs!$B$38&lt;&gt;"pvp",Inputs!$B$43&gt;0),IF(Inputs!$B$43&lt;=0,0,(INT(Inputs!$B$43/IF(Inputs!$B$38="pvp",15,MAX(0.1,Skills!D18-IF(TRUE=TRUE,Inputs!$B$32,0))))+1)),0)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Skills!G19*IF(Skills!H19&gt;0,IF(Inputs!$B$38="pvp",MIN(Skills!I19,15),Skills!I19)/Skills!H19,1)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Skills!G20*IF(Skills!H20&gt;0,IF(Inputs!$B$38="pvp",MIN(Skills!I20,15),Skills!I20)/Skills!H20,1)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Skills!G21*IF(Skills!H21&gt;0,IF(Inputs!$B$38="pvp",MIN(Skills!I21,15),Skills!I21)/Skills!H21,1)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Skills!G22*IF(Skills!H22&gt;0,IF(Inputs!$B$38="pvp",MIN(Skills!I22,15),Skills!I22)/Skills!H22,1)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Skills!G23*IF(Skills!H23&gt;0,IF(Inputs!$B$38="pvp",MIN(Skills!I23,15),Skills!I23)/Skills!H23,1)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Skills!G24*IF(Skills!H24&gt;0,IF(Inputs!$B$38="pvp",MIN(Skills!I24,15),Skills!I24)/Skills!H24,1)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Skills!G25*IF(Skills!H25&gt;0,IF(Inputs!$B$38="pvp",MIN(Skills!I25,15),Skills!I25)/Skills!H25,1)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Skills!G26*IF(Skills!H26&gt;0,IF(Inputs!$B$38="pvp",MIN(Skills!I26,15),Skills!I26)/Skills!H26,1)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Skills!G27*IF(Skills!H27&gt;0,IF(Inputs!$B$38="pvp",MIN(Skills!I27,15),Skills!I27)/Skills!H27,1)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Skills!G28*IF(Skills!H28&gt;0,IF(Inputs!$B$38="pvp",MIN(Skills!I28,15),Skills!I28)/Skills!H28,1)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Skills!G29*IF(Skills!H29&gt;0,IF(Inputs!$B$38="pvp",MIN(Skills!I29,15),Skills!I29)/Skills!H29,1)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MIN((Skills!T15*(1+Inputs!$B$34/100)),(1/Q2786))+MIN((Skills!T15*(1+Inputs!$B$34/100)),MAX(0,Inputs!$B$43-((R2786-1)*(1/Q2786)))))/Inputs!$B$43),IF(Inputs!$B$38="pvp",MIN((Skills!T15*(1+Inputs!$B$34/100)),15)/15,MIN(1,(Skills!T15*(1+Inputs!$B$34/100))/(1/Q2786)))))+((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t="n">
        <v>0</v>
      </c>
    </row>
    <row r="2804">
      <c r="A2804" t="inlineStr">
        <is>
          <t>Attack Speed Buff Bonus %</t>
        </is>
      </c>
      <c r="B2804">
        <f>((C2789=TRUE)*F2789*IF(AND(Inputs!$B$38&lt;&gt;"pvp",Inputs!$B$43&gt;0),(((R2789-1)*MIN((Skills!T18*(1+Inputs!$B$34/100)),(1/Q2789))+MIN((Skills!T18*(1+Inputs!$B$34/100)),MAX(0,Inputs!$B$43-((R2789-1)*(1/Q2789)))))/Inputs!$B$43),IF(Inputs!$B$38="pvp",MIN((Skills!T18*(1+Inputs!$B$34/100)),15)/15,MIN(1,(Skills!T18*(1+Inputs!$B$34/100))/(1/Q2789)))))</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MIN((Skills!T16*(1+Inputs!$B$34/100)),(1/Q2787))+MIN((Skills!T16*(1+Inputs!$B$34/100)),MAX(0,Inputs!$B$43-((R2787-1)*(1/Q2787)))))/Inputs!$B$43),IF(Inputs!$B$38="pvp",MIN((Skills!T16*(1+Inputs!$B$34/100)),15)/15,MIN(1,(Skills!T16*(1+Inputs!$B$34/100))/(1/Q2787))))</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Skills!G2*IF(Skills!H2&gt;0,IF(Inputs!$B$38="pvp",MIN(Skills!I2,15),Skills!I2)/Skills!H2,1)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Skills!G5*IF(Skills!H5&gt;0,IF(Inputs!$B$38="pvp",MIN(Skills!I5,15),Skills!I5)/Skills!H5,1)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IFERROR(1/IF(Inputs!$B$38="pvp",15,MAX(0.1,Skills!D5-IF(TRUE=TRUE,Inputs!$B$32,0))),0)</f>
        <v/>
      </c>
      <c r="R2821">
        <f>IF(AND(Inputs!$B$38&lt;&gt;"pvp",Inputs!$B$43&gt;0),IF(MAX(0,Inputs!$B$43-B2855)&lt;=0,0,(INT(MAX(0,Inputs!$B$43-B2855)/IF(Inputs!$B$38="pvp",15,MAX(0.1,Skills!D5-IF(TRUE=TRUE,Inputs!$B$32,0))))+1)),0)</f>
        <v/>
      </c>
      <c r="S2821">
        <f>IFERROR((H2821*N2821*IF(AND(Inputs!$B$38&lt;&gt;"pvp",Inputs!$B$43&gt;0),((Skills!G5*((R2821-1)*IF(Skills!H5&gt;0,Skills!I5/Skills!H5,1)+IF(Skills!H5&gt;0,MIN(Skills!I5,MAX(0,MAX(0,Inputs!$B$43-B2855)-((R2821-1)*IF(Inputs!$B$38="pvp",15,MAX(0.1,Skills!D5-IF(TRUE=TRUE,Inputs!$B$32,0))))))/Skills!H5,1)))/Inputs!$B$43),G2821*Q2821))/N2821*IF(Inputs!$B$38="pvp",1,(1-Summary!$B$11)*1+Summary!$B$11*(MIN(Skills!R5,Inputs!$B$37))),0)</f>
        <v/>
      </c>
      <c r="T2821">
        <f>IF(C2821,(H2821*N2821*IF(AND(Inputs!$B$38&lt;&gt;"pvp",Inputs!$B$43&gt;0),((Skills!G5*((R2821-1)*IF(Skills!H5&gt;0,Skills!I5/Skills!H5,1)+IF(Skills!H5&gt;0,MIN(Skills!I5,MAX(0,MAX(0,Inputs!$B$43-B2855)-((R2821-1)*IF(Inputs!$B$38="pvp",15,MAX(0.1,Skills!D5-IF(TRUE=TRUE,Inputs!$B$32,0))))))/Skills!H5,1)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Skills!I5/Skills!H5,1)+IF(Skills!H5&gt;0,MIN(Skills!I5,MAX(0,MAX(0,Inputs!$B$43-B2855)-((R2821-1)*IF(Inputs!$B$38="pvp",15,MAX(0.1,Skills!D5-IF(TRUE=TRUE,Inputs!$B$32,0))))))/Skills!H5,1)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Skills!G6*IF(Skills!H6&gt;0,IF(Inputs!$B$38="pvp",MIN(Skills!I6,15),Skills!I6)/Skills!H6,1)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IFERROR(1/IF(Inputs!$B$38="pvp",15,MAX(0.1,Skills!D6-IF(TRUE=TRUE,Inputs!$B$32,0))),0)</f>
        <v/>
      </c>
      <c r="R2822">
        <f>IF(AND(Inputs!$B$38&lt;&gt;"pvp",Inputs!$B$43&gt;0),IF(MAX(0,Inputs!$B$43-B2855)&lt;=0,0,(INT(MAX(0,Inputs!$B$43-B2855)/IF(Inputs!$B$38="pvp",15,MAX(0.1,Skills!D6-IF(TRUE=TRUE,Inputs!$B$32,0))))+1)),0)</f>
        <v/>
      </c>
      <c r="S2822">
        <f>IFERROR((H2822*N2822*IF(AND(Inputs!$B$38&lt;&gt;"pvp",Inputs!$B$43&gt;0),((Skills!G6*((R2822-1)*IF(Skills!H6&gt;0,Skills!I6/Skills!H6,1)+IF(Skills!H6&gt;0,MIN(Skills!I6,MAX(0,MAX(0,Inputs!$B$43-B2855)-((R2822-1)*IF(Inputs!$B$38="pvp",15,MAX(0.1,Skills!D6-IF(TRUE=TRUE,Inputs!$B$32,0))))))/Skills!H6,1)))/Inputs!$B$43),G2822*Q2822))/N2822*IF(Inputs!$B$38="pvp",1,(1-Summary!$B$11)*1+Summary!$B$11*(MIN(Skills!R6,Inputs!$B$37))),0)</f>
        <v/>
      </c>
      <c r="T2822">
        <f>IF(C2822,(H2822*N2822*IF(AND(Inputs!$B$38&lt;&gt;"pvp",Inputs!$B$43&gt;0),((Skills!G6*((R2822-1)*IF(Skills!H6&gt;0,Skills!I6/Skills!H6,1)+IF(Skills!H6&gt;0,MIN(Skills!I6,MAX(0,MAX(0,Inputs!$B$43-B2855)-((R2822-1)*IF(Inputs!$B$38="pvp",15,MAX(0.1,Skills!D6-IF(TRUE=TRUE,Inputs!$B$32,0)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2855)-((R2822-1)*IF(Inputs!$B$38="pvp",15,MAX(0.1,Skills!D6-IF(TRUE=TRUE,Inputs!$B$32,0))))))/Skills!H6,1)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Skills!G7*IF(Skills!H7&gt;0,IF(Inputs!$B$38="pvp",MIN(Skills!I7,15),Skills!I7)/Skills!H7,1)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IFERROR(1/IF(Inputs!$B$38="pvp",15,MAX(0.1,Skills!D7-IF(TRUE=TRUE,Inputs!$B$32,0))),0)</f>
        <v/>
      </c>
      <c r="R2823">
        <f>IF(AND(Inputs!$B$38&lt;&gt;"pvp",Inputs!$B$43&gt;0),IF(MAX(0,Inputs!$B$43-B2855)&lt;=0,0,(INT(MAX(0,Inputs!$B$43-B2855)/IF(Inputs!$B$38="pvp",15,MAX(0.1,Skills!D7-IF(TRUE=TRUE,Inputs!$B$32,0))))+1)),0)</f>
        <v/>
      </c>
      <c r="S2823">
        <f>IFERROR((H2823*N2823*IF(AND(Inputs!$B$38&lt;&gt;"pvp",Inputs!$B$43&gt;0),((Skills!G7*((R2823-1)*IF(Skills!H7&gt;0,Skills!I7/Skills!H7,1)+IF(Skills!H7&gt;0,MIN(Skills!I7,MAX(0,MAX(0,Inputs!$B$43-B2855)-((R2823-1)*IF(Inputs!$B$38="pvp",15,MAX(0.1,Skills!D7-IF(TRUE=TRUE,Inputs!$B$32,0))))))/Skills!H7,1)))/Inputs!$B$43),G2823*Q2823))/N2823*IF(Inputs!$B$38="pvp",1,(1-Summary!$B$11)*1+Summary!$B$11*(MIN(Skills!R7,Inputs!$B$37))),0)</f>
        <v/>
      </c>
      <c r="T2823">
        <f>IF(C2823,(H2823*N2823*IF(AND(Inputs!$B$38&lt;&gt;"pvp",Inputs!$B$43&gt;0),((Skills!G7*((R2823-1)*IF(Skills!H7&gt;0,Skills!I7/Skills!H7,1)+IF(Skills!H7&gt;0,MIN(Skills!I7,MAX(0,MAX(0,Inputs!$B$43-B2855)-((R2823-1)*IF(Inputs!$B$38="pvp",15,MAX(0.1,Skills!D7-IF(TRUE=TRUE,Inputs!$B$32,0)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2855)-((R2823-1)*IF(Inputs!$B$38="pvp",15,MAX(0.1,Skills!D7-IF(TRUE=TRUE,Inputs!$B$32,0))))))/Skills!H7,1)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Skills!G9*IF(Skills!H9&gt;0,IF(Inputs!$B$38="pvp",MIN(Skills!I9,15),Skills!I9)/Skills!H9,1)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IFERROR(1/IF(Inputs!$B$38="pvp",15,MAX(0.1,Skills!D9-IF(TRUE=TRUE,Inputs!$B$32,0))),0)</f>
        <v/>
      </c>
      <c r="R2825">
        <f>IF(AND(Inputs!$B$38&lt;&gt;"pvp",Inputs!$B$43&gt;0),IF(MAX(0,Inputs!$B$43-B2855)&lt;=0,0,(INT(MAX(0,Inputs!$B$43-B2855)/IF(Inputs!$B$38="pvp",15,MAX(0.1,Skills!D9-IF(TRUE=TRUE,Inputs!$B$32,0))))+1)),0)</f>
        <v/>
      </c>
      <c r="S2825">
        <f>IFERROR((H2825*N2825*IF(AND(Inputs!$B$38&lt;&gt;"pvp",Inputs!$B$43&gt;0),((Skills!G9*((R2825-1)*IF(Skills!H9&gt;0,Skills!I9/Skills!H9,1)+IF(Skills!H9&gt;0,MIN(Skills!I9,MAX(0,MAX(0,Inputs!$B$43-B2855)-((R2825-1)*IF(Inputs!$B$38="pvp",15,MAX(0.1,Skills!D9-IF(TRUE=TRUE,Inputs!$B$32,0))))))/Skills!H9,1)))/Inputs!$B$43),G2825*Q2825))/N2825*IF(Inputs!$B$38="pvp",1,(1-Summary!$B$11)*1+Summary!$B$11*(MIN(Skills!R9,Inputs!$B$37))),0)</f>
        <v/>
      </c>
      <c r="T2825">
        <f>IF(C2825,(H2825*N2825*IF(AND(Inputs!$B$38&lt;&gt;"pvp",Inputs!$B$43&gt;0),((Skills!G9*((R2825-1)*IF(Skills!H9&gt;0,Skills!I9/Skills!H9,1)+IF(Skills!H9&gt;0,MIN(Skills!I9,MAX(0,MAX(0,Inputs!$B$43-B2855)-((R2825-1)*IF(Inputs!$B$38="pvp",15,MAX(0.1,Skills!D9-IF(TRUE=TRUE,Inputs!$B$32,0)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2855)-((R2825-1)*IF(Inputs!$B$38="pvp",15,MAX(0.1,Skills!D9-IF(TRUE=TRUE,Inputs!$B$32,0))))))/Skills!H9,1)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Skills!G10*IF(Skills!H10&gt;0,IF(Inputs!$B$38="pvp",MIN(Skills!I10,15),Skills!I10)/Skills!H10,1)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Skills!G11*IF(Skills!H11&gt;0,IF(Inputs!$B$38="pvp",MIN(Skills!I11,15),Skills!I11)/Skills!H11,1)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IFERROR(1/IF(Inputs!$B$38="pvp",15,MAX(0.1,Skills!D11-IF(TRUE=TRUE,Inputs!$B$32,0))),0)</f>
        <v/>
      </c>
      <c r="R2827">
        <f>IF(AND(Inputs!$B$38&lt;&gt;"pvp",Inputs!$B$43&gt;0),IF(MAX(0,Inputs!$B$43-B2855)&lt;=0,0,(INT(MAX(0,Inputs!$B$43-B2855)/IF(Inputs!$B$38="pvp",15,MAX(0.1,Skills!D11-IF(TRUE=TRUE,Inputs!$B$32,0))))+1)),0)</f>
        <v/>
      </c>
      <c r="S2827">
        <f>IFERROR((H2827*N2827*IF(AND(Inputs!$B$38&lt;&gt;"pvp",Inputs!$B$43&gt;0),((Skills!G11*((R2827-1)*IF(Skills!H11&gt;0,Skills!I11/Skills!H11,1)+IF(Skills!H11&gt;0,MIN(Skills!I11,MAX(0,MAX(0,Inputs!$B$43-B2855)-((R2827-1)*IF(Inputs!$B$38="pvp",15,MAX(0.1,Skills!D11-IF(TRUE=TRUE,Inputs!$B$32,0))))))/Skills!H11,1)))/Inputs!$B$43),G2827*Q2827))/N2827*IF(Inputs!$B$38="pvp",1,(1-Summary!$B$11)*1+Summary!$B$11*(MIN(Skills!R11,Inputs!$B$37))),0)</f>
        <v/>
      </c>
      <c r="T2827">
        <f>IF(C2827,(H2827*N2827*IF(AND(Inputs!$B$38&lt;&gt;"pvp",Inputs!$B$43&gt;0),((Skills!G11*((R2827-1)*IF(Skills!H11&gt;0,Skills!I11/Skills!H11,1)+IF(Skills!H11&gt;0,MIN(Skills!I11,MAX(0,MAX(0,Inputs!$B$43-B2855)-((R2827-1)*IF(Inputs!$B$38="pvp",15,MAX(0.1,Skills!D11-IF(TRUE=TRUE,Inputs!$B$32,0))))))/Skills!H11,1)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nputs!$B$38&lt;&gt;"pvp",Inputs!$B$43=0),1,IF(IF(Inputs!$B$38="pvp",15,Inputs!$B$43)-(B2855)&lt;=0,1,MAX(0,IF(Inputs!$B$38="pvp",15,Inputs!$B$43)-MAX(5,B2855))/(IF(Inputs!$B$38="pvp",15,Inputs!$B$43)-(B2855))))*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Skills!I11/Skills!H11,1)+IF(Skills!H11&gt;0,MIN(Skills!I11,MAX(0,MAX(0,Inputs!$B$43-B2855)-((R2827-1)*IF(Inputs!$B$38="pvp",15,MAX(0.1,Skills!D11-IF(TRUE=TRUE,Inputs!$B$32,0))))))/Skills!H11,1)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Skills!G12*IF(Skills!H12&gt;0,IF(Inputs!$B$38="pvp",MIN(Skills!I12,15),Skills!I12)/Skills!H12,1)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Skills!G13*IF(Skills!H13&gt;0,IF(Inputs!$B$38="pvp",MIN(Skills!I13,15),Skills!I13)/Skills!H13,1)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Skills!G14*IF(Skills!H14&gt;0,IF(Inputs!$B$38="pvp",MIN(Skills!I14,15),Skills!I14)/Skills!H14,1)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Skills!G15*IF(Skills!H15&gt;0,IF(Inputs!$B$38="pvp",MIN(Skills!I15,15),Skills!I15)/Skills!H15,1)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IFERROR(1/IF(Inputs!$B$38="pvp",15,MAX(0.1,Skills!D15-IF(TRUE=TRUE,Inputs!$B$32,0))),0)</f>
        <v/>
      </c>
      <c r="R2831">
        <f>IF(AND(Inputs!$B$38&lt;&gt;"pvp",Inputs!$B$43&gt;0),IF(Inputs!$B$43&lt;=0,0,(INT(Inputs!$B$43/IF(Inputs!$B$38="pvp",15,MAX(0.1,Skills!D15-IF(TRUE=TRUE,Inputs!$B$32,0))))+1)),0)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Skills!G16*IF(Skills!H16&gt;0,IF(Inputs!$B$38="pvp",MIN(Skills!I16,15),Skills!I16)/Skills!H16,1)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IFERROR(1/IF(Inputs!$B$38="pvp",15,MAX(0.1,Skills!D16-IF(TRUE=TRUE,Inputs!$B$32,0))),0)</f>
        <v/>
      </c>
      <c r="R2832">
        <f>IF(AND(Inputs!$B$38&lt;&gt;"pvp",Inputs!$B$43&gt;0),IF(Inputs!$B$43&lt;=0,0,(INT(Inputs!$B$43/IF(Inputs!$B$38="pvp",15,MAX(0.1,Skills!D16-IF(TRUE=TRUE,Inputs!$B$32,0))))+1)),0)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Skills!G17*IF(Skills!H17&gt;0,IF(Inputs!$B$38="pvp",MIN(Skills!I17,15),Skills!I17)/Skills!H17,1)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Skills!G18*IF(Skills!H18&gt;0,IF(Inputs!$B$38="pvp",MIN(Skills!I18,15),Skills!I18)/Skills!H18,1)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IFERROR(1/IF(Inputs!$B$38="pvp",15,MAX(0.1,Skills!D18-IF(TRUE=TRUE,Inputs!$B$32,0))),0)</f>
        <v/>
      </c>
      <c r="R2834">
        <f>IF(AND(Inputs!$B$38&lt;&gt;"pvp",Inputs!$B$43&gt;0),IF(Inputs!$B$43&lt;=0,0,(INT(Inputs!$B$43/IF(Inputs!$B$38="pvp",15,MAX(0.1,Skills!D18-IF(TRUE=TRUE,Inputs!$B$32,0))))+1)),0)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Skills!G19*IF(Skills!H19&gt;0,IF(Inputs!$B$38="pvp",MIN(Skills!I19,15),Skills!I19)/Skills!H19,1)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Skills!G20*IF(Skills!H20&gt;0,IF(Inputs!$B$38="pvp",MIN(Skills!I20,15),Skills!I20)/Skills!H20,1)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Skills!G21*IF(Skills!H21&gt;0,IF(Inputs!$B$38="pvp",MIN(Skills!I21,15),Skills!I21)/Skills!H21,1)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Skills!G22*IF(Skills!H22&gt;0,IF(Inputs!$B$38="pvp",MIN(Skills!I22,15),Skills!I22)/Skills!H22,1)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Skills!G23*IF(Skills!H23&gt;0,IF(Inputs!$B$38="pvp",MIN(Skills!I23,15),Skills!I23)/Skills!H23,1)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Skills!G24*IF(Skills!H24&gt;0,IF(Inputs!$B$38="pvp",MIN(Skills!I24,15),Skills!I24)/Skills!H24,1)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Skills!G25*IF(Skills!H25&gt;0,IF(Inputs!$B$38="pvp",MIN(Skills!I25,15),Skills!I25)/Skills!H25,1)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Skills!G26*IF(Skills!H26&gt;0,IF(Inputs!$B$38="pvp",MIN(Skills!I26,15),Skills!I26)/Skills!H26,1)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Skills!G27*IF(Skills!H27&gt;0,IF(Inputs!$B$38="pvp",MIN(Skills!I27,15),Skills!I27)/Skills!H27,1)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Skills!G28*IF(Skills!H28&gt;0,IF(Inputs!$B$38="pvp",MIN(Skills!I28,15),Skills!I28)/Skills!H28,1)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Skills!G29*IF(Skills!H29&gt;0,IF(Inputs!$B$38="pvp",MIN(Skills!I29,15),Skills!I29)/Skills!H29,1)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MIN((Skills!T15*(1+Inputs!$B$34/100)),(1/Q2831))+MIN((Skills!T15*(1+Inputs!$B$34/100)),MAX(0,Inputs!$B$43-((R2831-1)*(1/Q2831)))))/Inputs!$B$43),IF(Inputs!$B$38="pvp",MIN((Skills!T15*(1+Inputs!$B$34/100)),15)/15,MIN(1,(Skills!T15*(1+Inputs!$B$34/100))/(1/Q2831)))))+((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t="n">
        <v>0</v>
      </c>
    </row>
    <row r="2849">
      <c r="A2849" t="inlineStr">
        <is>
          <t>Attack Speed Buff Bonus %</t>
        </is>
      </c>
      <c r="B2849">
        <f>((C2834=TRUE)*F2834*IF(AND(Inputs!$B$38&lt;&gt;"pvp",Inputs!$B$43&gt;0),(((R2834-1)*MIN((Skills!T18*(1+Inputs!$B$34/100)),(1/Q2834))+MIN((Skills!T18*(1+Inputs!$B$34/100)),MAX(0,Inputs!$B$43-((R2834-1)*(1/Q2834)))))/Inputs!$B$43),IF(Inputs!$B$38="pvp",MIN((Skills!T18*(1+Inputs!$B$34/100)),15)/15,MIN(1,(Skills!T18*(1+Inputs!$B$34/100))/(1/Q2834)))))</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MIN((Skills!T16*(1+Inputs!$B$34/100)),(1/Q2832))+MIN((Skills!T16*(1+Inputs!$B$34/100)),MAX(0,Inputs!$B$43-((R2832-1)*(1/Q2832)))))/Inputs!$B$43),IF(Inputs!$B$38="pvp",MIN((Skills!T16*(1+Inputs!$B$34/100)),15)/15,MIN(1,(Skills!T16*(1+Inputs!$B$34/100))/(1/Q2832))))</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Skills!G2*IF(Skills!H2&gt;0,IF(Inputs!$B$38="pvp",MIN(Skills!I2,15),Skills!I2)/Skills!H2,1)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Skills!G5*IF(Skills!H5&gt;0,IF(Inputs!$B$38="pvp",MIN(Skills!I5,15),Skills!I5)/Skills!H5,1)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IFERROR(1/IF(Inputs!$B$38="pvp",15,MAX(0.1,Skills!D5-IF(TRUE=TRUE,0.5,0))),0)</f>
        <v/>
      </c>
      <c r="R2880">
        <f>IF(AND(Inputs!$B$38&lt;&gt;"pvp",Inputs!$B$43&gt;0),IF(MAX(0,Inputs!$B$43-B2914)&lt;=0,0,(INT(MAX(0,Inputs!$B$43-B2914)/IF(Inputs!$B$38="pvp",15,MAX(0.1,Skills!D5-IF(TRUE=TRUE,0.5,0))))+1)),0)</f>
        <v/>
      </c>
      <c r="S2880">
        <f>IFERROR((H2880*N2880*IF(AND(Inputs!$B$38&lt;&gt;"pvp",Inputs!$B$43&gt;0),((Skills!G5*((R2880-1)*IF(Skills!H5&gt;0,Skills!I5/Skills!H5,1)+IF(Skills!H5&gt;0,MIN(Skills!I5,MAX(0,MAX(0,Inputs!$B$43-B2914)-((R2880-1)*IF(Inputs!$B$38="pvp",15,MAX(0.1,Skills!D5-IF(TRUE=TRUE,0.5,0))))))/Skills!H5,1)))/Inputs!$B$43),G2880*Q2880))/N2880*IF(Inputs!$B$38="pvp",1,(1-Summary!$B$11)*1+Summary!$B$11*(MIN(Skills!R5,Inputs!$B$37))),0)</f>
        <v/>
      </c>
      <c r="T2880">
        <f>IF(C2880,(H2880*N2880*IF(AND(Inputs!$B$38&lt;&gt;"pvp",Inputs!$B$43&gt;0),((Skills!G5*((R2880-1)*IF(Skills!H5&gt;0,Skills!I5/Skills!H5,1)+IF(Skills!H5&gt;0,MIN(Skills!I5,MAX(0,MAX(0,Inputs!$B$43-B2914)-((R2880-1)*IF(Inputs!$B$38="pvp",15,MAX(0.1,Skills!D5-IF(TRUE=TRUE,0.5,0))))))/Skills!H5,1)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Skills!I5/Skills!H5,1)+IF(Skills!H5&gt;0,MIN(Skills!I5,MAX(0,MAX(0,Inputs!$B$43-B2914)-((R2880-1)*IF(Inputs!$B$38="pvp",15,MAX(0.1,Skills!D5-IF(TRUE=TRUE,0.5,0))))))/Skills!H5,1)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Skills!G6*IF(Skills!H6&gt;0,IF(Inputs!$B$38="pvp",MIN(Skills!I6,15),Skills!I6)/Skills!H6,1)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IFERROR(1/IF(Inputs!$B$38="pvp",15,MAX(0.1,Skills!D6-IF(TRUE=TRUE,0.5,0))),0)</f>
        <v/>
      </c>
      <c r="R2881">
        <f>IF(AND(Inputs!$B$38&lt;&gt;"pvp",Inputs!$B$43&gt;0),IF(MAX(0,Inputs!$B$43-B2914)&lt;=0,0,(INT(MAX(0,Inputs!$B$43-B2914)/IF(Inputs!$B$38="pvp",15,MAX(0.1,Skills!D6-IF(TRUE=TRUE,0.5,0))))+1)),0)</f>
        <v/>
      </c>
      <c r="S2881">
        <f>IFERROR((H2881*N2881*IF(AND(Inputs!$B$38&lt;&gt;"pvp",Inputs!$B$43&gt;0),((Skills!G6*((R2881-1)*IF(Skills!H6&gt;0,Skills!I6/Skills!H6,1)+IF(Skills!H6&gt;0,MIN(Skills!I6,MAX(0,MAX(0,Inputs!$B$43-B2914)-((R2881-1)*IF(Inputs!$B$38="pvp",15,MAX(0.1,Skills!D6-IF(TRUE=TRUE,0.5,0))))))/Skills!H6,1)))/Inputs!$B$43),G2881*Q2881))/N2881*IF(Inputs!$B$38="pvp",1,(1-Summary!$B$11)*1+Summary!$B$11*(MIN(Skills!R6,Inputs!$B$37))),0)</f>
        <v/>
      </c>
      <c r="T2881">
        <f>IF(C2881,(H2881*N2881*IF(AND(Inputs!$B$38&lt;&gt;"pvp",Inputs!$B$43&gt;0),((Skills!G6*((R2881-1)*IF(Skills!H6&gt;0,Skills!I6/Skills!H6,1)+IF(Skills!H6&gt;0,MIN(Skills!I6,MAX(0,MAX(0,Inputs!$B$43-B2914)-((R2881-1)*IF(Inputs!$B$38="pvp",15,MAX(0.1,Skills!D6-IF(TRUE=TRUE,0.5,0)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2914)-((R2881-1)*IF(Inputs!$B$38="pvp",15,MAX(0.1,Skills!D6-IF(TRUE=TRUE,0.5,0))))))/Skills!H6,1)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Skills!G7*IF(Skills!H7&gt;0,IF(Inputs!$B$38="pvp",MIN(Skills!I7,15),Skills!I7)/Skills!H7,1)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IFERROR(1/IF(Inputs!$B$38="pvp",15,MAX(0.1,Skills!D7-IF(TRUE=TRUE,0.5,0))),0)</f>
        <v/>
      </c>
      <c r="R2882">
        <f>IF(AND(Inputs!$B$38&lt;&gt;"pvp",Inputs!$B$43&gt;0),IF(MAX(0,Inputs!$B$43-B2914)&lt;=0,0,(INT(MAX(0,Inputs!$B$43-B2914)/IF(Inputs!$B$38="pvp",15,MAX(0.1,Skills!D7-IF(TRUE=TRUE,0.5,0))))+1)),0)</f>
        <v/>
      </c>
      <c r="S2882">
        <f>IFERROR((H2882*N2882*IF(AND(Inputs!$B$38&lt;&gt;"pvp",Inputs!$B$43&gt;0),((Skills!G7*((R2882-1)*IF(Skills!H7&gt;0,Skills!I7/Skills!H7,1)+IF(Skills!H7&gt;0,MIN(Skills!I7,MAX(0,MAX(0,Inputs!$B$43-B2914)-((R2882-1)*IF(Inputs!$B$38="pvp",15,MAX(0.1,Skills!D7-IF(TRUE=TRUE,0.5,0))))))/Skills!H7,1)))/Inputs!$B$43),G2882*Q2882))/N2882*IF(Inputs!$B$38="pvp",1,(1-Summary!$B$11)*1+Summary!$B$11*(MIN(Skills!R7,Inputs!$B$37))),0)</f>
        <v/>
      </c>
      <c r="T2882">
        <f>IF(C2882,(H2882*N2882*IF(AND(Inputs!$B$38&lt;&gt;"pvp",Inputs!$B$43&gt;0),((Skills!G7*((R2882-1)*IF(Skills!H7&gt;0,Skills!I7/Skills!H7,1)+IF(Skills!H7&gt;0,MIN(Skills!I7,MAX(0,MAX(0,Inputs!$B$43-B2914)-((R2882-1)*IF(Inputs!$B$38="pvp",15,MAX(0.1,Skills!D7-IF(TRUE=TRUE,0.5,0)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2914)-((R2882-1)*IF(Inputs!$B$38="pvp",15,MAX(0.1,Skills!D7-IF(TRUE=TRUE,0.5,0))))))/Skills!H7,1)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Skills!G9*IF(Skills!H9&gt;0,IF(Inputs!$B$38="pvp",MIN(Skills!I9,15),Skills!I9)/Skills!H9,1)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IFERROR(1/IF(Inputs!$B$38="pvp",15,MAX(0.1,Skills!D9-IF(TRUE=TRUE,0.5,0))),0)</f>
        <v/>
      </c>
      <c r="R2884">
        <f>IF(AND(Inputs!$B$38&lt;&gt;"pvp",Inputs!$B$43&gt;0),IF(MAX(0,Inputs!$B$43-B2914)&lt;=0,0,(INT(MAX(0,Inputs!$B$43-B2914)/IF(Inputs!$B$38="pvp",15,MAX(0.1,Skills!D9-IF(TRUE=TRUE,0.5,0))))+1)),0)</f>
        <v/>
      </c>
      <c r="S2884">
        <f>IFERROR((H2884*N2884*IF(AND(Inputs!$B$38&lt;&gt;"pvp",Inputs!$B$43&gt;0),((Skills!G9*((R2884-1)*IF(Skills!H9&gt;0,Skills!I9/Skills!H9,1)+IF(Skills!H9&gt;0,MIN(Skills!I9,MAX(0,MAX(0,Inputs!$B$43-B2914)-((R2884-1)*IF(Inputs!$B$38="pvp",15,MAX(0.1,Skills!D9-IF(TRUE=TRUE,0.5,0))))))/Skills!H9,1)))/Inputs!$B$43),G2884*Q2884))/N2884*IF(Inputs!$B$38="pvp",1,(1-Summary!$B$11)*1+Summary!$B$11*(MIN(Skills!R9,Inputs!$B$37))),0)</f>
        <v/>
      </c>
      <c r="T2884">
        <f>IF(C2884,(H2884*N2884*IF(AND(Inputs!$B$38&lt;&gt;"pvp",Inputs!$B$43&gt;0),((Skills!G9*((R2884-1)*IF(Skills!H9&gt;0,Skills!I9/Skills!H9,1)+IF(Skills!H9&gt;0,MIN(Skills!I9,MAX(0,MAX(0,Inputs!$B$43-B2914)-((R2884-1)*IF(Inputs!$B$38="pvp",15,MAX(0.1,Skills!D9-IF(TRUE=TRUE,0.5,0)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2914)-((R2884-1)*IF(Inputs!$B$38="pvp",15,MAX(0.1,Skills!D9-IF(TRUE=TRUE,0.5,0))))))/Skills!H9,1)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Skills!G10*IF(Skills!H10&gt;0,IF(Inputs!$B$38="pvp",MIN(Skills!I10,15),Skills!I10)/Skills!H10,1)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Skills!G11*IF(Skills!H11&gt;0,IF(Inputs!$B$38="pvp",MIN(Skills!I11,15),Skills!I11)/Skills!H11,1)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IFERROR(1/IF(Inputs!$B$38="pvp",15,MAX(0.1,Skills!D11-IF(TRUE=TRUE,0.5,0))),0)</f>
        <v/>
      </c>
      <c r="R2886">
        <f>IF(AND(Inputs!$B$38&lt;&gt;"pvp",Inputs!$B$43&gt;0),IF(MAX(0,Inputs!$B$43-B2914)&lt;=0,0,(INT(MAX(0,Inputs!$B$43-B2914)/IF(Inputs!$B$38="pvp",15,MAX(0.1,Skills!D11-IF(TRUE=TRUE,0.5,0))))+1)),0)</f>
        <v/>
      </c>
      <c r="S2886">
        <f>IFERROR((H2886*N2886*IF(AND(Inputs!$B$38&lt;&gt;"pvp",Inputs!$B$43&gt;0),((Skills!G11*((R2886-1)*IF(Skills!H11&gt;0,Skills!I11/Skills!H11,1)+IF(Skills!H11&gt;0,MIN(Skills!I11,MAX(0,MAX(0,Inputs!$B$43-B2914)-((R2886-1)*IF(Inputs!$B$38="pvp",15,MAX(0.1,Skills!D11-IF(TRUE=TRUE,0.5,0))))))/Skills!H11,1)))/Inputs!$B$43),G2886*Q2886))/N2886*IF(Inputs!$B$38="pvp",1,(1-Summary!$B$11)*1+Summary!$B$11*(MIN(Skills!R11,Inputs!$B$37))),0)</f>
        <v/>
      </c>
      <c r="T2886">
        <f>IF(C2886,(H2886*N2886*IF(AND(Inputs!$B$38&lt;&gt;"pvp",Inputs!$B$43&gt;0),((Skills!G11*((R2886-1)*IF(Skills!H11&gt;0,Skills!I11/Skills!H11,1)+IF(Skills!H11&gt;0,MIN(Skills!I11,MAX(0,MAX(0,Inputs!$B$43-B2914)-((R2886-1)*IF(Inputs!$B$38="pvp",15,MAX(0.1,Skills!D11-IF(TRUE=TRUE,0.5,0))))))/Skills!H11,1)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Inputs!$B$38&lt;&gt;"pvp",Inputs!$B$43=0),1,IF(IF(Inputs!$B$38="pvp",15,Inputs!$B$43)-(B2914)&lt;=0,1,MAX(0,IF(Inputs!$B$38="pvp",15,Inputs!$B$43)-MAX(5,B2914))/(IF(Inputs!$B$38="pvp",15,Inputs!$B$43)-(B2914))))*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Skills!I11/Skills!H11,1)+IF(Skills!H11&gt;0,MIN(Skills!I11,MAX(0,MAX(0,Inputs!$B$43-B2914)-((R2886-1)*IF(Inputs!$B$38="pvp",15,MAX(0.1,Skills!D11-IF(TRUE=TRUE,0.5,0))))))/Skills!H11,1)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Skills!G12*IF(Skills!H12&gt;0,IF(Inputs!$B$38="pvp",MIN(Skills!I12,15),Skills!I12)/Skills!H12,1)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Skills!G13*IF(Skills!H13&gt;0,IF(Inputs!$B$38="pvp",MIN(Skills!I13,15),Skills!I13)/Skills!H13,1)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Skills!G14*IF(Skills!H14&gt;0,IF(Inputs!$B$38="pvp",MIN(Skills!I14,15),Skills!I14)/Skills!H14,1)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Skills!G15*IF(Skills!H15&gt;0,IF(Inputs!$B$38="pvp",MIN(Skills!I15,15),Skills!I15)/Skills!H15,1)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IFERROR(1/IF(Inputs!$B$38="pvp",15,MAX(0.1,Skills!D15-IF(TRUE=TRUE,0.5,0))),0)</f>
        <v/>
      </c>
      <c r="R2890">
        <f>IF(AND(Inputs!$B$38&lt;&gt;"pvp",Inputs!$B$43&gt;0),IF(Inputs!$B$43&lt;=0,0,(INT(Inputs!$B$43/IF(Inputs!$B$38="pvp",15,MAX(0.1,Skills!D15-IF(TRUE=TRUE,0.5,0))))+1)),0)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Skills!G16*IF(Skills!H16&gt;0,IF(Inputs!$B$38="pvp",MIN(Skills!I16,15),Skills!I16)/Skills!H16,1)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IFERROR(1/IF(Inputs!$B$38="pvp",15,MAX(0.1,Skills!D16-IF(TRUE=TRUE,0.5,0))),0)</f>
        <v/>
      </c>
      <c r="R2891">
        <f>IF(AND(Inputs!$B$38&lt;&gt;"pvp",Inputs!$B$43&gt;0),IF(Inputs!$B$43&lt;=0,0,(INT(Inputs!$B$43/IF(Inputs!$B$38="pvp",15,MAX(0.1,Skills!D16-IF(TRUE=TRUE,0.5,0))))+1)),0)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Skills!G17*IF(Skills!H17&gt;0,IF(Inputs!$B$38="pvp",MIN(Skills!I17,15),Skills!I17)/Skills!H17,1)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Skills!G18*IF(Skills!H18&gt;0,IF(Inputs!$B$38="pvp",MIN(Skills!I18,15),Skills!I18)/Skills!H18,1)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IFERROR(1/IF(Inputs!$B$38="pvp",15,MAX(0.1,Skills!D18-IF(TRUE=TRUE,0.5,0))),0)</f>
        <v/>
      </c>
      <c r="R2893">
        <f>IF(AND(Inputs!$B$38&lt;&gt;"pvp",Inputs!$B$43&gt;0),IF(Inputs!$B$43&lt;=0,0,(INT(Inputs!$B$43/IF(Inputs!$B$38="pvp",15,MAX(0.1,Skills!D18-IF(TRUE=TRUE,0.5,0))))+1)),0)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Skills!G19*IF(Skills!H19&gt;0,IF(Inputs!$B$38="pvp",MIN(Skills!I19,15),Skills!I19)/Skills!H19,1)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Skills!G20*IF(Skills!H20&gt;0,IF(Inputs!$B$38="pvp",MIN(Skills!I20,15),Skills!I20)/Skills!H20,1)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Skills!G21*IF(Skills!H21&gt;0,IF(Inputs!$B$38="pvp",MIN(Skills!I21,15),Skills!I21)/Skills!H21,1)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Skills!G22*IF(Skills!H22&gt;0,IF(Inputs!$B$38="pvp",MIN(Skills!I22,15),Skills!I22)/Skills!H22,1)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Skills!G23*IF(Skills!H23&gt;0,IF(Inputs!$B$38="pvp",MIN(Skills!I23,15),Skills!I23)/Skills!H23,1)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Skills!G24*IF(Skills!H24&gt;0,IF(Inputs!$B$38="pvp",MIN(Skills!I24,15),Skills!I24)/Skills!H24,1)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Skills!G25*IF(Skills!H25&gt;0,IF(Inputs!$B$38="pvp",MIN(Skills!I25,15),Skills!I25)/Skills!H25,1)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Skills!G26*IF(Skills!H26&gt;0,IF(Inputs!$B$38="pvp",MIN(Skills!I26,15),Skills!I26)/Skills!H26,1)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Skills!G27*IF(Skills!H27&gt;0,IF(Inputs!$B$38="pvp",MIN(Skills!I27,15),Skills!I27)/Skills!H27,1)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Skills!G28*IF(Skills!H28&gt;0,IF(Inputs!$B$38="pvp",MIN(Skills!I28,15),Skills!I28)/Skills!H28,1)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Skills!G29*IF(Skills!H29&gt;0,IF(Inputs!$B$38="pvp",MIN(Skills!I29,15),Skills!I29)/Skills!H29,1)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MIN((Skills!T15*(1+Inputs!$B$34/100)),(1/Q2890))+MIN((Skills!T15*(1+Inputs!$B$34/100)),MAX(0,Inputs!$B$43-((R2890-1)*(1/Q2890)))))/Inputs!$B$43),IF(Inputs!$B$38="pvp",MIN((Skills!T15*(1+Inputs!$B$34/100)),15)/15,MIN(1,(Skills!T15*(1+Inputs!$B$34/100))/(1/Q2890)))))+((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t="n">
        <v>0</v>
      </c>
    </row>
    <row r="2908">
      <c r="A2908" t="inlineStr">
        <is>
          <t>Attack Speed Buff Bonus %</t>
        </is>
      </c>
      <c r="B2908">
        <f>((C2893=TRUE)*F2893*IF(AND(Inputs!$B$38&lt;&gt;"pvp",Inputs!$B$43&gt;0),(((R2893-1)*MIN((Skills!T18*(1+Inputs!$B$34/100)),(1/Q2893))+MIN((Skills!T18*(1+Inputs!$B$34/100)),MAX(0,Inputs!$B$43-((R2893-1)*(1/Q2893)))))/Inputs!$B$43),IF(Inputs!$B$38="pvp",MIN((Skills!T18*(1+Inputs!$B$34/100)),15)/15,MIN(1,(Skills!T18*(1+Inputs!$B$34/100))/(1/Q2893)))))</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MIN((Skills!T16*(1+Inputs!$B$34/100)),(1/Q2891))+MIN((Skills!T16*(1+Inputs!$B$34/100)),MAX(0,Inputs!$B$43-((R2891-1)*(1/Q2891)))))/Inputs!$B$43),IF(Inputs!$B$38="pvp",MIN((Skills!T16*(1+Inputs!$B$34/100)),15)/15,MIN(1,(Skills!T16*(1+Inputs!$B$34/100))/(1/Q2891))))</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Skills!G2*IF(Skills!H2&gt;0,IF(Inputs!$B$38="pvp",MIN(Skills!I2,15),Skills!I2)/Skills!H2,1)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Skills!G5*IF(Skills!H5&gt;0,IF(Inputs!$B$38="pvp",MIN(Skills!I5,15),Skills!I5)/Skills!H5,1)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IFERROR(1/IF(Inputs!$B$38="pvp",15,MAX(0.1,Skills!D5-IF(TRUE=TRUE,1.0,0))),0)</f>
        <v/>
      </c>
      <c r="R2925">
        <f>IF(AND(Inputs!$B$38&lt;&gt;"pvp",Inputs!$B$43&gt;0),IF(MAX(0,Inputs!$B$43-B2959)&lt;=0,0,(INT(MAX(0,Inputs!$B$43-B2959)/IF(Inputs!$B$38="pvp",15,MAX(0.1,Skills!D5-IF(TRUE=TRUE,1.0,0))))+1)),0)</f>
        <v/>
      </c>
      <c r="S2925">
        <f>IFERROR((H2925*N2925*IF(AND(Inputs!$B$38&lt;&gt;"pvp",Inputs!$B$43&gt;0),((Skills!G5*((R2925-1)*IF(Skills!H5&gt;0,Skills!I5/Skills!H5,1)+IF(Skills!H5&gt;0,MIN(Skills!I5,MAX(0,MAX(0,Inputs!$B$43-B2959)-((R2925-1)*IF(Inputs!$B$38="pvp",15,MAX(0.1,Skills!D5-IF(TRUE=TRUE,1.0,0))))))/Skills!H5,1)))/Inputs!$B$43),G2925*Q2925))/N2925*IF(Inputs!$B$38="pvp",1,(1-Summary!$B$11)*1+Summary!$B$11*(MIN(Skills!R5,Inputs!$B$37))),0)</f>
        <v/>
      </c>
      <c r="T2925">
        <f>IF(C2925,(H2925*N2925*IF(AND(Inputs!$B$38&lt;&gt;"pvp",Inputs!$B$43&gt;0),((Skills!G5*((R2925-1)*IF(Skills!H5&gt;0,Skills!I5/Skills!H5,1)+IF(Skills!H5&gt;0,MIN(Skills!I5,MAX(0,MAX(0,Inputs!$B$43-B2959)-((R2925-1)*IF(Inputs!$B$38="pvp",15,MAX(0.1,Skills!D5-IF(TRUE=TRUE,1.0,0))))))/Skills!H5,1)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Skills!I5/Skills!H5,1)+IF(Skills!H5&gt;0,MIN(Skills!I5,MAX(0,MAX(0,Inputs!$B$43-B2959)-((R2925-1)*IF(Inputs!$B$38="pvp",15,MAX(0.1,Skills!D5-IF(TRUE=TRUE,1.0,0))))))/Skills!H5,1)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Skills!G6*IF(Skills!H6&gt;0,IF(Inputs!$B$38="pvp",MIN(Skills!I6,15),Skills!I6)/Skills!H6,1)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IFERROR(1/IF(Inputs!$B$38="pvp",15,MAX(0.1,Skills!D6-IF(TRUE=TRUE,1.0,0))),0)</f>
        <v/>
      </c>
      <c r="R2926">
        <f>IF(AND(Inputs!$B$38&lt;&gt;"pvp",Inputs!$B$43&gt;0),IF(MAX(0,Inputs!$B$43-B2959)&lt;=0,0,(INT(MAX(0,Inputs!$B$43-B2959)/IF(Inputs!$B$38="pvp",15,MAX(0.1,Skills!D6-IF(TRUE=TRUE,1.0,0))))+1)),0)</f>
        <v/>
      </c>
      <c r="S2926">
        <f>IFERROR((H2926*N2926*IF(AND(Inputs!$B$38&lt;&gt;"pvp",Inputs!$B$43&gt;0),((Skills!G6*((R2926-1)*IF(Skills!H6&gt;0,Skills!I6/Skills!H6,1)+IF(Skills!H6&gt;0,MIN(Skills!I6,MAX(0,MAX(0,Inputs!$B$43-B2959)-((R2926-1)*IF(Inputs!$B$38="pvp",15,MAX(0.1,Skills!D6-IF(TRUE=TRUE,1.0,0))))))/Skills!H6,1)))/Inputs!$B$43),G2926*Q2926))/N2926*IF(Inputs!$B$38="pvp",1,(1-Summary!$B$11)*1+Summary!$B$11*(MIN(Skills!R6,Inputs!$B$37))),0)</f>
        <v/>
      </c>
      <c r="T2926">
        <f>IF(C2926,(H2926*N2926*IF(AND(Inputs!$B$38&lt;&gt;"pvp",Inputs!$B$43&gt;0),((Skills!G6*((R2926-1)*IF(Skills!H6&gt;0,Skills!I6/Skills!H6,1)+IF(Skills!H6&gt;0,MIN(Skills!I6,MAX(0,MAX(0,Inputs!$B$43-B2959)-((R2926-1)*IF(Inputs!$B$38="pvp",15,MAX(0.1,Skills!D6-IF(TRUE=TRUE,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2959)-((R2926-1)*IF(Inputs!$B$38="pvp",15,MAX(0.1,Skills!D6-IF(TRUE=TRUE,1.0,0))))))/Skills!H6,1)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Skills!G7*IF(Skills!H7&gt;0,IF(Inputs!$B$38="pvp",MIN(Skills!I7,15),Skills!I7)/Skills!H7,1)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IFERROR(1/IF(Inputs!$B$38="pvp",15,MAX(0.1,Skills!D7-IF(TRUE=TRUE,1.0,0))),0)</f>
        <v/>
      </c>
      <c r="R2927">
        <f>IF(AND(Inputs!$B$38&lt;&gt;"pvp",Inputs!$B$43&gt;0),IF(MAX(0,Inputs!$B$43-B2959)&lt;=0,0,(INT(MAX(0,Inputs!$B$43-B2959)/IF(Inputs!$B$38="pvp",15,MAX(0.1,Skills!D7-IF(TRUE=TRUE,1.0,0))))+1)),0)</f>
        <v/>
      </c>
      <c r="S2927">
        <f>IFERROR((H2927*N2927*IF(AND(Inputs!$B$38&lt;&gt;"pvp",Inputs!$B$43&gt;0),((Skills!G7*((R2927-1)*IF(Skills!H7&gt;0,Skills!I7/Skills!H7,1)+IF(Skills!H7&gt;0,MIN(Skills!I7,MAX(0,MAX(0,Inputs!$B$43-B2959)-((R2927-1)*IF(Inputs!$B$38="pvp",15,MAX(0.1,Skills!D7-IF(TRUE=TRUE,1.0,0))))))/Skills!H7,1)))/Inputs!$B$43),G2927*Q2927))/N2927*IF(Inputs!$B$38="pvp",1,(1-Summary!$B$11)*1+Summary!$B$11*(MIN(Skills!R7,Inputs!$B$37))),0)</f>
        <v/>
      </c>
      <c r="T2927">
        <f>IF(C2927,(H2927*N2927*IF(AND(Inputs!$B$38&lt;&gt;"pvp",Inputs!$B$43&gt;0),((Skills!G7*((R2927-1)*IF(Skills!H7&gt;0,Skills!I7/Skills!H7,1)+IF(Skills!H7&gt;0,MIN(Skills!I7,MAX(0,MAX(0,Inputs!$B$43-B2959)-((R2927-1)*IF(Inputs!$B$38="pvp",15,MAX(0.1,Skills!D7-IF(TRUE=TRUE,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2959)-((R2927-1)*IF(Inputs!$B$38="pvp",15,MAX(0.1,Skills!D7-IF(TRUE=TRUE,1.0,0))))))/Skills!H7,1)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Skills!G9*IF(Skills!H9&gt;0,IF(Inputs!$B$38="pvp",MIN(Skills!I9,15),Skills!I9)/Skills!H9,1)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IFERROR(1/IF(Inputs!$B$38="pvp",15,MAX(0.1,Skills!D9-IF(TRUE=TRUE,1.0,0))),0)</f>
        <v/>
      </c>
      <c r="R2929">
        <f>IF(AND(Inputs!$B$38&lt;&gt;"pvp",Inputs!$B$43&gt;0),IF(MAX(0,Inputs!$B$43-B2959)&lt;=0,0,(INT(MAX(0,Inputs!$B$43-B2959)/IF(Inputs!$B$38="pvp",15,MAX(0.1,Skills!D9-IF(TRUE=TRUE,1.0,0))))+1)),0)</f>
        <v/>
      </c>
      <c r="S2929">
        <f>IFERROR((H2929*N2929*IF(AND(Inputs!$B$38&lt;&gt;"pvp",Inputs!$B$43&gt;0),((Skills!G9*((R2929-1)*IF(Skills!H9&gt;0,Skills!I9/Skills!H9,1)+IF(Skills!H9&gt;0,MIN(Skills!I9,MAX(0,MAX(0,Inputs!$B$43-B2959)-((R2929-1)*IF(Inputs!$B$38="pvp",15,MAX(0.1,Skills!D9-IF(TRUE=TRUE,1.0,0))))))/Skills!H9,1)))/Inputs!$B$43),G2929*Q2929))/N2929*IF(Inputs!$B$38="pvp",1,(1-Summary!$B$11)*1+Summary!$B$11*(MIN(Skills!R9,Inputs!$B$37))),0)</f>
        <v/>
      </c>
      <c r="T2929">
        <f>IF(C2929,(H2929*N2929*IF(AND(Inputs!$B$38&lt;&gt;"pvp",Inputs!$B$43&gt;0),((Skills!G9*((R2929-1)*IF(Skills!H9&gt;0,Skills!I9/Skills!H9,1)+IF(Skills!H9&gt;0,MIN(Skills!I9,MAX(0,MAX(0,Inputs!$B$43-B2959)-((R2929-1)*IF(Inputs!$B$38="pvp",15,MAX(0.1,Skills!D9-IF(TRUE=TRUE,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2959)-((R2929-1)*IF(Inputs!$B$38="pvp",15,MAX(0.1,Skills!D9-IF(TRUE=TRUE,1.0,0))))))/Skills!H9,1)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Skills!G10*IF(Skills!H10&gt;0,IF(Inputs!$B$38="pvp",MIN(Skills!I10,15),Skills!I10)/Skills!H10,1)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Skills!G11*IF(Skills!H11&gt;0,IF(Inputs!$B$38="pvp",MIN(Skills!I11,15),Skills!I11)/Skills!H11,1)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IFERROR(1/IF(Inputs!$B$38="pvp",15,MAX(0.1,Skills!D11-IF(TRUE=TRUE,1.0,0))),0)</f>
        <v/>
      </c>
      <c r="R2931">
        <f>IF(AND(Inputs!$B$38&lt;&gt;"pvp",Inputs!$B$43&gt;0),IF(MAX(0,Inputs!$B$43-B2959)&lt;=0,0,(INT(MAX(0,Inputs!$B$43-B2959)/IF(Inputs!$B$38="pvp",15,MAX(0.1,Skills!D11-IF(TRUE=TRUE,1.0,0))))+1)),0)</f>
        <v/>
      </c>
      <c r="S2931">
        <f>IFERROR((H2931*N2931*IF(AND(Inputs!$B$38&lt;&gt;"pvp",Inputs!$B$43&gt;0),((Skills!G11*((R2931-1)*IF(Skills!H11&gt;0,Skills!I11/Skills!H11,1)+IF(Skills!H11&gt;0,MIN(Skills!I11,MAX(0,MAX(0,Inputs!$B$43-B2959)-((R2931-1)*IF(Inputs!$B$38="pvp",15,MAX(0.1,Skills!D11-IF(TRUE=TRUE,1.0,0))))))/Skills!H11,1)))/Inputs!$B$43),G2931*Q2931))/N2931*IF(Inputs!$B$38="pvp",1,(1-Summary!$B$11)*1+Summary!$B$11*(MIN(Skills!R11,Inputs!$B$37))),0)</f>
        <v/>
      </c>
      <c r="T2931">
        <f>IF(C2931,(H2931*N2931*IF(AND(Inputs!$B$38&lt;&gt;"pvp",Inputs!$B$43&gt;0),((Skills!G11*((R2931-1)*IF(Skills!H11&gt;0,Skills!I11/Skills!H11,1)+IF(Skills!H11&gt;0,MIN(Skills!I11,MAX(0,MAX(0,Inputs!$B$43-B2959)-((R2931-1)*IF(Inputs!$B$38="pvp",15,MAX(0.1,Skills!D11-IF(TRUE=TRUE,1.0,0))))))/Skills!H11,1)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Inputs!$B$38&lt;&gt;"pvp",Inputs!$B$43=0),1,IF(IF(Inputs!$B$38="pvp",15,Inputs!$B$43)-(B2959)&lt;=0,1,MAX(0,IF(Inputs!$B$38="pvp",15,Inputs!$B$43)-MAX(5,B2959))/(IF(Inputs!$B$38="pvp",15,Inputs!$B$43)-(B2959))))*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Skills!I11/Skills!H11,1)+IF(Skills!H11&gt;0,MIN(Skills!I11,MAX(0,MAX(0,Inputs!$B$43-B2959)-((R2931-1)*IF(Inputs!$B$38="pvp",15,MAX(0.1,Skills!D11-IF(TRUE=TRUE,1.0,0))))))/Skills!H11,1)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Skills!G12*IF(Skills!H12&gt;0,IF(Inputs!$B$38="pvp",MIN(Skills!I12,15),Skills!I12)/Skills!H12,1)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Skills!G13*IF(Skills!H13&gt;0,IF(Inputs!$B$38="pvp",MIN(Skills!I13,15),Skills!I13)/Skills!H13,1)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Skills!G14*IF(Skills!H14&gt;0,IF(Inputs!$B$38="pvp",MIN(Skills!I14,15),Skills!I14)/Skills!H14,1)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Skills!G15*IF(Skills!H15&gt;0,IF(Inputs!$B$38="pvp",MIN(Skills!I15,15),Skills!I15)/Skills!H15,1)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IFERROR(1/IF(Inputs!$B$38="pvp",15,MAX(0.1,Skills!D15-IF(TRUE=TRUE,1.0,0))),0)</f>
        <v/>
      </c>
      <c r="R2935">
        <f>IF(AND(Inputs!$B$38&lt;&gt;"pvp",Inputs!$B$43&gt;0),IF(Inputs!$B$43&lt;=0,0,(INT(Inputs!$B$43/IF(Inputs!$B$38="pvp",15,MAX(0.1,Skills!D15-IF(TRUE=TRUE,1.0,0))))+1)),0)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Skills!G16*IF(Skills!H16&gt;0,IF(Inputs!$B$38="pvp",MIN(Skills!I16,15),Skills!I16)/Skills!H16,1)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IFERROR(1/IF(Inputs!$B$38="pvp",15,MAX(0.1,Skills!D16-IF(TRUE=TRUE,1.0,0))),0)</f>
        <v/>
      </c>
      <c r="R2936">
        <f>IF(AND(Inputs!$B$38&lt;&gt;"pvp",Inputs!$B$43&gt;0),IF(Inputs!$B$43&lt;=0,0,(INT(Inputs!$B$43/IF(Inputs!$B$38="pvp",15,MAX(0.1,Skills!D16-IF(TRUE=TRUE,1.0,0))))+1)),0)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Skills!G17*IF(Skills!H17&gt;0,IF(Inputs!$B$38="pvp",MIN(Skills!I17,15),Skills!I17)/Skills!H17,1)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Skills!G18*IF(Skills!H18&gt;0,IF(Inputs!$B$38="pvp",MIN(Skills!I18,15),Skills!I18)/Skills!H18,1)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IFERROR(1/IF(Inputs!$B$38="pvp",15,MAX(0.1,Skills!D18-IF(TRUE=TRUE,1.0,0))),0)</f>
        <v/>
      </c>
      <c r="R2938">
        <f>IF(AND(Inputs!$B$38&lt;&gt;"pvp",Inputs!$B$43&gt;0),IF(Inputs!$B$43&lt;=0,0,(INT(Inputs!$B$43/IF(Inputs!$B$38="pvp",15,MAX(0.1,Skills!D18-IF(TRUE=TRUE,1.0,0))))+1)),0)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Skills!G19*IF(Skills!H19&gt;0,IF(Inputs!$B$38="pvp",MIN(Skills!I19,15),Skills!I19)/Skills!H19,1)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Skills!G20*IF(Skills!H20&gt;0,IF(Inputs!$B$38="pvp",MIN(Skills!I20,15),Skills!I20)/Skills!H20,1)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Skills!G21*IF(Skills!H21&gt;0,IF(Inputs!$B$38="pvp",MIN(Skills!I21,15),Skills!I21)/Skills!H21,1)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Skills!G22*IF(Skills!H22&gt;0,IF(Inputs!$B$38="pvp",MIN(Skills!I22,15),Skills!I22)/Skills!H22,1)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Skills!G23*IF(Skills!H23&gt;0,IF(Inputs!$B$38="pvp",MIN(Skills!I23,15),Skills!I23)/Skills!H23,1)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Skills!G24*IF(Skills!H24&gt;0,IF(Inputs!$B$38="pvp",MIN(Skills!I24,15),Skills!I24)/Skills!H24,1)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Skills!G25*IF(Skills!H25&gt;0,IF(Inputs!$B$38="pvp",MIN(Skills!I25,15),Skills!I25)/Skills!H25,1)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Skills!G26*IF(Skills!H26&gt;0,IF(Inputs!$B$38="pvp",MIN(Skills!I26,15),Skills!I26)/Skills!H26,1)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Skills!G27*IF(Skills!H27&gt;0,IF(Inputs!$B$38="pvp",MIN(Skills!I27,15),Skills!I27)/Skills!H27,1)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Skills!G28*IF(Skills!H28&gt;0,IF(Inputs!$B$38="pvp",MIN(Skills!I28,15),Skills!I28)/Skills!H28,1)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Skills!G29*IF(Skills!H29&gt;0,IF(Inputs!$B$38="pvp",MIN(Skills!I29,15),Skills!I29)/Skills!H29,1)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MIN((Skills!T15*(1+Inputs!$B$34/100)),(1/Q2935))+MIN((Skills!T15*(1+Inputs!$B$34/100)),MAX(0,Inputs!$B$43-((R2935-1)*(1/Q2935)))))/Inputs!$B$43),IF(Inputs!$B$38="pvp",MIN((Skills!T15*(1+Inputs!$B$34/100)),15)/15,MIN(1,(Skills!T15*(1+Inputs!$B$34/100))/(1/Q2935)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2938=TRUE)*F2938*IF(AND(Inputs!$B$38&lt;&gt;"pvp",Inputs!$B$43&gt;0),(((R2938-1)*MIN((Skills!T18*(1+Inputs!$B$34/100)),(1/Q2938))+MIN((Skills!T18*(1+Inputs!$B$34/100)),MAX(0,Inputs!$B$43-((R2938-1)*(1/Q2938)))))/Inputs!$B$43),IF(Inputs!$B$38="pvp",MIN((Skills!T18*(1+Inputs!$B$34/100)),15)/15,MIN(1,(Skills!T18*(1+Inputs!$B$34/100))/(1/Q2938)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MIN((Skills!T16*(1+Inputs!$B$34/100)),(1/Q2936))+MIN((Skills!T16*(1+Inputs!$B$34/100)),MAX(0,Inputs!$B$43-((R2936-1)*(1/Q2936)))))/Inputs!$B$43),IF(Inputs!$B$38="pvp",MIN((Skills!T16*(1+Inputs!$B$34/100)),15)/15,MIN(1,(Skills!T16*(1+Inputs!$B$34/100))/(1/Q2936)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Skills!G2*IF(Skills!H2&gt;0,IF(Inputs!$B$38="pvp",MIN(Skills!I2,15),Skills!I2)/Skills!H2,1)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Skills!G5*IF(Skills!H5&gt;0,IF(Inputs!$B$38="pvp",MIN(Skills!I5,15),Skills!I5)/Skills!H5,1)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IFERROR(1/IF(Inputs!$B$38="pvp",15,MAX(0.1,Skills!D5-IF(TRUE=TRUE,1.5,0))),0)</f>
        <v/>
      </c>
      <c r="R2970">
        <f>IF(AND(Inputs!$B$38&lt;&gt;"pvp",Inputs!$B$43&gt;0),IF(MAX(0,Inputs!$B$43-B3004)&lt;=0,0,(INT(MAX(0,Inputs!$B$43-B3004)/IF(Inputs!$B$38="pvp",15,MAX(0.1,Skills!D5-IF(TRUE=TRUE,1.5,0))))+1)),0)</f>
        <v/>
      </c>
      <c r="S2970">
        <f>IFERROR((H2970*N2970*IF(AND(Inputs!$B$38&lt;&gt;"pvp",Inputs!$B$43&gt;0),((Skills!G5*((R2970-1)*IF(Skills!H5&gt;0,Skills!I5/Skills!H5,1)+IF(Skills!H5&gt;0,MIN(Skills!I5,MAX(0,MAX(0,Inputs!$B$43-B3004)-((R2970-1)*IF(Inputs!$B$38="pvp",15,MAX(0.1,Skills!D5-IF(TRUE=TRUE,1.5,0))))))/Skills!H5,1)))/Inputs!$B$43),G2970*Q2970))/N2970*IF(Inputs!$B$38="pvp",1,(1-Summary!$B$11)*1+Summary!$B$11*(MIN(Skills!R5,Inputs!$B$37))),0)</f>
        <v/>
      </c>
      <c r="T2970">
        <f>IF(C2970,(H2970*N2970*IF(AND(Inputs!$B$38&lt;&gt;"pvp",Inputs!$B$43&gt;0),((Skills!G5*((R2970-1)*IF(Skills!H5&gt;0,Skills!I5/Skills!H5,1)+IF(Skills!H5&gt;0,MIN(Skills!I5,MAX(0,MAX(0,Inputs!$B$43-B3004)-((R2970-1)*IF(Inputs!$B$38="pvp",15,MAX(0.1,Skills!D5-IF(TRUE=TRUE,1.5,0))))))/Skills!H5,1)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Skills!I5/Skills!H5,1)+IF(Skills!H5&gt;0,MIN(Skills!I5,MAX(0,MAX(0,Inputs!$B$43-B3004)-((R2970-1)*IF(Inputs!$B$38="pvp",15,MAX(0.1,Skills!D5-IF(TRUE=TRUE,1.5,0))))))/Skills!H5,1)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Skills!G6*IF(Skills!H6&gt;0,IF(Inputs!$B$38="pvp",MIN(Skills!I6,15),Skills!I6)/Skills!H6,1)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IFERROR(1/IF(Inputs!$B$38="pvp",15,MAX(0.1,Skills!D6-IF(TRUE=TRUE,1.5,0))),0)</f>
        <v/>
      </c>
      <c r="R2971">
        <f>IF(AND(Inputs!$B$38&lt;&gt;"pvp",Inputs!$B$43&gt;0),IF(MAX(0,Inputs!$B$43-B3004)&lt;=0,0,(INT(MAX(0,Inputs!$B$43-B3004)/IF(Inputs!$B$38="pvp",15,MAX(0.1,Skills!D6-IF(TRUE=TRUE,1.5,0))))+1)),0)</f>
        <v/>
      </c>
      <c r="S2971">
        <f>IFERROR((H2971*N2971*IF(AND(Inputs!$B$38&lt;&gt;"pvp",Inputs!$B$43&gt;0),((Skills!G6*((R2971-1)*IF(Skills!H6&gt;0,Skills!I6/Skills!H6,1)+IF(Skills!H6&gt;0,MIN(Skills!I6,MAX(0,MAX(0,Inputs!$B$43-B3004)-((R2971-1)*IF(Inputs!$B$38="pvp",15,MAX(0.1,Skills!D6-IF(TRUE=TRUE,1.5,0))))))/Skills!H6,1)))/Inputs!$B$43),G2971*Q2971))/N2971*IF(Inputs!$B$38="pvp",1,(1-Summary!$B$11)*1+Summary!$B$11*(MIN(Skills!R6,Inputs!$B$37))),0)</f>
        <v/>
      </c>
      <c r="T2971">
        <f>IF(C2971,(H2971*N2971*IF(AND(Inputs!$B$38&lt;&gt;"pvp",Inputs!$B$43&gt;0),((Skills!G6*((R2971-1)*IF(Skills!H6&gt;0,Skills!I6/Skills!H6,1)+IF(Skills!H6&gt;0,MIN(Skills!I6,MAX(0,MAX(0,Inputs!$B$43-B3004)-((R2971-1)*IF(Inputs!$B$38="pvp",15,MAX(0.1,Skills!D6-IF(TRUE=TRUE,1.5,0)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3004)-((R2971-1)*IF(Inputs!$B$38="pvp",15,MAX(0.1,Skills!D6-IF(TRUE=TRUE,1.5,0))))))/Skills!H6,1)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Skills!G7*IF(Skills!H7&gt;0,IF(Inputs!$B$38="pvp",MIN(Skills!I7,15),Skills!I7)/Skills!H7,1)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IFERROR(1/IF(Inputs!$B$38="pvp",15,MAX(0.1,Skills!D7-IF(TRUE=TRUE,1.5,0))),0)</f>
        <v/>
      </c>
      <c r="R2972">
        <f>IF(AND(Inputs!$B$38&lt;&gt;"pvp",Inputs!$B$43&gt;0),IF(MAX(0,Inputs!$B$43-B3004)&lt;=0,0,(INT(MAX(0,Inputs!$B$43-B3004)/IF(Inputs!$B$38="pvp",15,MAX(0.1,Skills!D7-IF(TRUE=TRUE,1.5,0))))+1)),0)</f>
        <v/>
      </c>
      <c r="S2972">
        <f>IFERROR((H2972*N2972*IF(AND(Inputs!$B$38&lt;&gt;"pvp",Inputs!$B$43&gt;0),((Skills!G7*((R2972-1)*IF(Skills!H7&gt;0,Skills!I7/Skills!H7,1)+IF(Skills!H7&gt;0,MIN(Skills!I7,MAX(0,MAX(0,Inputs!$B$43-B3004)-((R2972-1)*IF(Inputs!$B$38="pvp",15,MAX(0.1,Skills!D7-IF(TRUE=TRUE,1.5,0))))))/Skills!H7,1)))/Inputs!$B$43),G2972*Q2972))/N2972*IF(Inputs!$B$38="pvp",1,(1-Summary!$B$11)*1+Summary!$B$11*(MIN(Skills!R7,Inputs!$B$37))),0)</f>
        <v/>
      </c>
      <c r="T2972">
        <f>IF(C2972,(H2972*N2972*IF(AND(Inputs!$B$38&lt;&gt;"pvp",Inputs!$B$43&gt;0),((Skills!G7*((R2972-1)*IF(Skills!H7&gt;0,Skills!I7/Skills!H7,1)+IF(Skills!H7&gt;0,MIN(Skills!I7,MAX(0,MAX(0,Inputs!$B$43-B3004)-((R2972-1)*IF(Inputs!$B$38="pvp",15,MAX(0.1,Skills!D7-IF(TRUE=TRUE,1.5,0)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3004)-((R2972-1)*IF(Inputs!$B$38="pvp",15,MAX(0.1,Skills!D7-IF(TRUE=TRUE,1.5,0))))))/Skills!H7,1)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Skills!G9*IF(Skills!H9&gt;0,IF(Inputs!$B$38="pvp",MIN(Skills!I9,15),Skills!I9)/Skills!H9,1)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IFERROR(1/IF(Inputs!$B$38="pvp",15,MAX(0.1,Skills!D9-IF(TRUE=TRUE,1.5,0))),0)</f>
        <v/>
      </c>
      <c r="R2974">
        <f>IF(AND(Inputs!$B$38&lt;&gt;"pvp",Inputs!$B$43&gt;0),IF(MAX(0,Inputs!$B$43-B3004)&lt;=0,0,(INT(MAX(0,Inputs!$B$43-B3004)/IF(Inputs!$B$38="pvp",15,MAX(0.1,Skills!D9-IF(TRUE=TRUE,1.5,0))))+1)),0)</f>
        <v/>
      </c>
      <c r="S2974">
        <f>IFERROR((H2974*N2974*IF(AND(Inputs!$B$38&lt;&gt;"pvp",Inputs!$B$43&gt;0),((Skills!G9*((R2974-1)*IF(Skills!H9&gt;0,Skills!I9/Skills!H9,1)+IF(Skills!H9&gt;0,MIN(Skills!I9,MAX(0,MAX(0,Inputs!$B$43-B3004)-((R2974-1)*IF(Inputs!$B$38="pvp",15,MAX(0.1,Skills!D9-IF(TRUE=TRUE,1.5,0))))))/Skills!H9,1)))/Inputs!$B$43),G2974*Q2974))/N2974*IF(Inputs!$B$38="pvp",1,(1-Summary!$B$11)*1+Summary!$B$11*(MIN(Skills!R9,Inputs!$B$37))),0)</f>
        <v/>
      </c>
      <c r="T2974">
        <f>IF(C2974,(H2974*N2974*IF(AND(Inputs!$B$38&lt;&gt;"pvp",Inputs!$B$43&gt;0),((Skills!G9*((R2974-1)*IF(Skills!H9&gt;0,Skills!I9/Skills!H9,1)+IF(Skills!H9&gt;0,MIN(Skills!I9,MAX(0,MAX(0,Inputs!$B$43-B3004)-((R2974-1)*IF(Inputs!$B$38="pvp",15,MAX(0.1,Skills!D9-IF(TRUE=TRUE,1.5,0)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3004)-((R2974-1)*IF(Inputs!$B$38="pvp",15,MAX(0.1,Skills!D9-IF(TRUE=TRUE,1.5,0))))))/Skills!H9,1)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Skills!G10*IF(Skills!H10&gt;0,IF(Inputs!$B$38="pvp",MIN(Skills!I10,15),Skills!I10)/Skills!H10,1)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Skills!G11*IF(Skills!H11&gt;0,IF(Inputs!$B$38="pvp",MIN(Skills!I11,15),Skills!I11)/Skills!H11,1)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IFERROR(1/IF(Inputs!$B$38="pvp",15,MAX(0.1,Skills!D11-IF(TRUE=TRUE,1.5,0))),0)</f>
        <v/>
      </c>
      <c r="R2976">
        <f>IF(AND(Inputs!$B$38&lt;&gt;"pvp",Inputs!$B$43&gt;0),IF(MAX(0,Inputs!$B$43-B3004)&lt;=0,0,(INT(MAX(0,Inputs!$B$43-B3004)/IF(Inputs!$B$38="pvp",15,MAX(0.1,Skills!D11-IF(TRUE=TRUE,1.5,0))))+1)),0)</f>
        <v/>
      </c>
      <c r="S2976">
        <f>IFERROR((H2976*N2976*IF(AND(Inputs!$B$38&lt;&gt;"pvp",Inputs!$B$43&gt;0),((Skills!G11*((R2976-1)*IF(Skills!H11&gt;0,Skills!I11/Skills!H11,1)+IF(Skills!H11&gt;0,MIN(Skills!I11,MAX(0,MAX(0,Inputs!$B$43-B3004)-((R2976-1)*IF(Inputs!$B$38="pvp",15,MAX(0.1,Skills!D11-IF(TRUE=TRUE,1.5,0))))))/Skills!H11,1)))/Inputs!$B$43),G2976*Q2976))/N2976*IF(Inputs!$B$38="pvp",1,(1-Summary!$B$11)*1+Summary!$B$11*(MIN(Skills!R11,Inputs!$B$37))),0)</f>
        <v/>
      </c>
      <c r="T2976">
        <f>IF(C2976,(H2976*N2976*IF(AND(Inputs!$B$38&lt;&gt;"pvp",Inputs!$B$43&gt;0),((Skills!G11*((R2976-1)*IF(Skills!H11&gt;0,Skills!I11/Skills!H11,1)+IF(Skills!H11&gt;0,MIN(Skills!I11,MAX(0,MAX(0,Inputs!$B$43-B3004)-((R2976-1)*IF(Inputs!$B$38="pvp",15,MAX(0.1,Skills!D11-IF(TRUE=TRUE,1.5,0))))))/Skills!H11,1)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Inputs!$B$38&lt;&gt;"pvp",Inputs!$B$43=0),1,IF(IF(Inputs!$B$38="pvp",15,Inputs!$B$43)-(B3004)&lt;=0,1,MAX(0,IF(Inputs!$B$38="pvp",15,Inputs!$B$43)-MAX(5,B3004))/(IF(Inputs!$B$38="pvp",15,Inputs!$B$43)-(B3004))))*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Skills!I11/Skills!H11,1)+IF(Skills!H11&gt;0,MIN(Skills!I11,MAX(0,MAX(0,Inputs!$B$43-B3004)-((R2976-1)*IF(Inputs!$B$38="pvp",15,MAX(0.1,Skills!D11-IF(TRUE=TRUE,1.5,0))))))/Skills!H11,1)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Skills!G12*IF(Skills!H12&gt;0,IF(Inputs!$B$38="pvp",MIN(Skills!I12,15),Skills!I12)/Skills!H12,1)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Skills!G13*IF(Skills!H13&gt;0,IF(Inputs!$B$38="pvp",MIN(Skills!I13,15),Skills!I13)/Skills!H13,1)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Skills!G14*IF(Skills!H14&gt;0,IF(Inputs!$B$38="pvp",MIN(Skills!I14,15),Skills!I14)/Skills!H14,1)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Skills!G15*IF(Skills!H15&gt;0,IF(Inputs!$B$38="pvp",MIN(Skills!I15,15),Skills!I15)/Skills!H15,1)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IFERROR(1/IF(Inputs!$B$38="pvp",15,MAX(0.1,Skills!D15-IF(TRUE=TRUE,1.5,0))),0)</f>
        <v/>
      </c>
      <c r="R2980">
        <f>IF(AND(Inputs!$B$38&lt;&gt;"pvp",Inputs!$B$43&gt;0),IF(Inputs!$B$43&lt;=0,0,(INT(Inputs!$B$43/IF(Inputs!$B$38="pvp",15,MAX(0.1,Skills!D15-IF(TRUE=TRUE,1.5,0))))+1)),0)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Skills!G16*IF(Skills!H16&gt;0,IF(Inputs!$B$38="pvp",MIN(Skills!I16,15),Skills!I16)/Skills!H16,1)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IFERROR(1/IF(Inputs!$B$38="pvp",15,MAX(0.1,Skills!D16-IF(TRUE=TRUE,1.5,0))),0)</f>
        <v/>
      </c>
      <c r="R2981">
        <f>IF(AND(Inputs!$B$38&lt;&gt;"pvp",Inputs!$B$43&gt;0),IF(Inputs!$B$43&lt;=0,0,(INT(Inputs!$B$43/IF(Inputs!$B$38="pvp",15,MAX(0.1,Skills!D16-IF(TRUE=TRUE,1.5,0))))+1)),0)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Skills!G17*IF(Skills!H17&gt;0,IF(Inputs!$B$38="pvp",MIN(Skills!I17,15),Skills!I17)/Skills!H17,1)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Skills!G18*IF(Skills!H18&gt;0,IF(Inputs!$B$38="pvp",MIN(Skills!I18,15),Skills!I18)/Skills!H18,1)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IFERROR(1/IF(Inputs!$B$38="pvp",15,MAX(0.1,Skills!D18-IF(TRUE=TRUE,1.5,0))),0)</f>
        <v/>
      </c>
      <c r="R2983">
        <f>IF(AND(Inputs!$B$38&lt;&gt;"pvp",Inputs!$B$43&gt;0),IF(Inputs!$B$43&lt;=0,0,(INT(Inputs!$B$43/IF(Inputs!$B$38="pvp",15,MAX(0.1,Skills!D18-IF(TRUE=TRUE,1.5,0))))+1)),0)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Skills!G19*IF(Skills!H19&gt;0,IF(Inputs!$B$38="pvp",MIN(Skills!I19,15),Skills!I19)/Skills!H19,1)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Skills!G20*IF(Skills!H20&gt;0,IF(Inputs!$B$38="pvp",MIN(Skills!I20,15),Skills!I20)/Skills!H20,1)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Skills!G21*IF(Skills!H21&gt;0,IF(Inputs!$B$38="pvp",MIN(Skills!I21,15),Skills!I21)/Skills!H21,1)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Skills!G22*IF(Skills!H22&gt;0,IF(Inputs!$B$38="pvp",MIN(Skills!I22,15),Skills!I22)/Skills!H22,1)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Skills!G23*IF(Skills!H23&gt;0,IF(Inputs!$B$38="pvp",MIN(Skills!I23,15),Skills!I23)/Skills!H23,1)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Skills!G24*IF(Skills!H24&gt;0,IF(Inputs!$B$38="pvp",MIN(Skills!I24,15),Skills!I24)/Skills!H24,1)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Skills!G25*IF(Skills!H25&gt;0,IF(Inputs!$B$38="pvp",MIN(Skills!I25,15),Skills!I25)/Skills!H25,1)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Skills!G26*IF(Skills!H26&gt;0,IF(Inputs!$B$38="pvp",MIN(Skills!I26,15),Skills!I26)/Skills!H26,1)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Skills!G27*IF(Skills!H27&gt;0,IF(Inputs!$B$38="pvp",MIN(Skills!I27,15),Skills!I27)/Skills!H27,1)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Skills!G28*IF(Skills!H28&gt;0,IF(Inputs!$B$38="pvp",MIN(Skills!I28,15),Skills!I28)/Skills!H28,1)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Skills!G29*IF(Skills!H29&gt;0,IF(Inputs!$B$38="pvp",MIN(Skills!I29,15),Skills!I29)/Skills!H29,1)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MIN((Skills!T15*(1+Inputs!$B$34/100)),(1/Q2980))+MIN((Skills!T15*(1+Inputs!$B$34/100)),MAX(0,Inputs!$B$43-((R2980-1)*(1/Q2980)))))/Inputs!$B$43),IF(Inputs!$B$38="pvp",MIN((Skills!T15*(1+Inputs!$B$34/100)),15)/15,MIN(1,(Skills!T15*(1+Inputs!$B$34/100))/(1/Q2980)))))+((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t="n">
        <v>0</v>
      </c>
    </row>
    <row r="2998">
      <c r="A2998" t="inlineStr">
        <is>
          <t>Attack Speed Buff Bonus %</t>
        </is>
      </c>
      <c r="B2998">
        <f>((C2983=TRUE)*F2983*IF(AND(Inputs!$B$38&lt;&gt;"pvp",Inputs!$B$43&gt;0),(((R2983-1)*MIN((Skills!T18*(1+Inputs!$B$34/100)),(1/Q2983))+MIN((Skills!T18*(1+Inputs!$B$34/100)),MAX(0,Inputs!$B$43-((R2983-1)*(1/Q2983)))))/Inputs!$B$43),IF(Inputs!$B$38="pvp",MIN((Skills!T18*(1+Inputs!$B$34/100)),15)/15,MIN(1,(Skills!T18*(1+Inputs!$B$34/100))/(1/Q2983)))))</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MIN((Skills!T16*(1+Inputs!$B$34/100)),(1/Q2981))+MIN((Skills!T16*(1+Inputs!$B$34/100)),MAX(0,Inputs!$B$43-((R2981-1)*(1/Q2981)))))/Inputs!$B$43),IF(Inputs!$B$38="pvp",MIN((Skills!T16*(1+Inputs!$B$34/100)),15)/15,MIN(1,(Skills!T16*(1+Inputs!$B$34/100))/(1/Q2981))))</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Skills!G2*IF(Skills!H2&gt;0,IF(Inputs!$B$38="pvp",MIN(Skills!I2,15),Skills!I2)/Skills!H2,1)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Skills!G5*IF(Skills!H5&gt;0,IF(Inputs!$B$38="pvp",MIN(Skills!I5,15),Skills!I5)/Skills!H5,1)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IFERROR(1/IF(Inputs!$B$38="pvp",15,MAX(0.1,Skills!D5-IF(TRUE=TRUE,2.0,0))),0)</f>
        <v/>
      </c>
      <c r="R3015">
        <f>IF(AND(Inputs!$B$38&lt;&gt;"pvp",Inputs!$B$43&gt;0),IF(MAX(0,Inputs!$B$43-B3049)&lt;=0,0,(INT(MAX(0,Inputs!$B$43-B3049)/IF(Inputs!$B$38="pvp",15,MAX(0.1,Skills!D5-IF(TRUE=TRUE,2.0,0))))+1)),0)</f>
        <v/>
      </c>
      <c r="S3015">
        <f>IFERROR((H3015*N3015*IF(AND(Inputs!$B$38&lt;&gt;"pvp",Inputs!$B$43&gt;0),((Skills!G5*((R3015-1)*IF(Skills!H5&gt;0,Skills!I5/Skills!H5,1)+IF(Skills!H5&gt;0,MIN(Skills!I5,MAX(0,MAX(0,Inputs!$B$43-B3049)-((R3015-1)*IF(Inputs!$B$38="pvp",15,MAX(0.1,Skills!D5-IF(TRUE=TRUE,2.0,0))))))/Skills!H5,1)))/Inputs!$B$43),G3015*Q3015))/N3015*IF(Inputs!$B$38="pvp",1,(1-Summary!$B$11)*1+Summary!$B$11*(MIN(Skills!R5,Inputs!$B$37))),0)</f>
        <v/>
      </c>
      <c r="T3015">
        <f>IF(C3015,(H3015*N3015*IF(AND(Inputs!$B$38&lt;&gt;"pvp",Inputs!$B$43&gt;0),((Skills!G5*((R3015-1)*IF(Skills!H5&gt;0,Skills!I5/Skills!H5,1)+IF(Skills!H5&gt;0,MIN(Skills!I5,MAX(0,MAX(0,Inputs!$B$43-B3049)-((R3015-1)*IF(Inputs!$B$38="pvp",15,MAX(0.1,Skills!D5-IF(TRUE=TRUE,2.0,0))))))/Skills!H5,1)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Skills!I5/Skills!H5,1)+IF(Skills!H5&gt;0,MIN(Skills!I5,MAX(0,MAX(0,Inputs!$B$43-B3049)-((R3015-1)*IF(Inputs!$B$38="pvp",15,MAX(0.1,Skills!D5-IF(TRUE=TRUE,2.0,0))))))/Skills!H5,1)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Skills!G6*IF(Skills!H6&gt;0,IF(Inputs!$B$38="pvp",MIN(Skills!I6,15),Skills!I6)/Skills!H6,1)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IFERROR(1/IF(Inputs!$B$38="pvp",15,MAX(0.1,Skills!D6-IF(TRUE=TRUE,2.0,0))),0)</f>
        <v/>
      </c>
      <c r="R3016">
        <f>IF(AND(Inputs!$B$38&lt;&gt;"pvp",Inputs!$B$43&gt;0),IF(MAX(0,Inputs!$B$43-B3049)&lt;=0,0,(INT(MAX(0,Inputs!$B$43-B3049)/IF(Inputs!$B$38="pvp",15,MAX(0.1,Skills!D6-IF(TRUE=TRUE,2.0,0))))+1)),0)</f>
        <v/>
      </c>
      <c r="S3016">
        <f>IFERROR((H3016*N3016*IF(AND(Inputs!$B$38&lt;&gt;"pvp",Inputs!$B$43&gt;0),((Skills!G6*((R3016-1)*IF(Skills!H6&gt;0,Skills!I6/Skills!H6,1)+IF(Skills!H6&gt;0,MIN(Skills!I6,MAX(0,MAX(0,Inputs!$B$43-B3049)-((R3016-1)*IF(Inputs!$B$38="pvp",15,MAX(0.1,Skills!D6-IF(TRUE=TRUE,2.0,0))))))/Skills!H6,1)))/Inputs!$B$43),G3016*Q3016))/N3016*IF(Inputs!$B$38="pvp",1,(1-Summary!$B$11)*1+Summary!$B$11*(MIN(Skills!R6,Inputs!$B$37))),0)</f>
        <v/>
      </c>
      <c r="T3016">
        <f>IF(C3016,(H3016*N3016*IF(AND(Inputs!$B$38&lt;&gt;"pvp",Inputs!$B$43&gt;0),((Skills!G6*((R3016-1)*IF(Skills!H6&gt;0,Skills!I6/Skills!H6,1)+IF(Skills!H6&gt;0,MIN(Skills!I6,MAX(0,MAX(0,Inputs!$B$43-B3049)-((R3016-1)*IF(Inputs!$B$38="pvp",15,MAX(0.1,Skills!D6-IF(TRUE=TRUE,2.0,0)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3049)-((R3016-1)*IF(Inputs!$B$38="pvp",15,MAX(0.1,Skills!D6-IF(TRUE=TRUE,2.0,0))))))/Skills!H6,1)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Skills!G7*IF(Skills!H7&gt;0,IF(Inputs!$B$38="pvp",MIN(Skills!I7,15),Skills!I7)/Skills!H7,1)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IFERROR(1/IF(Inputs!$B$38="pvp",15,MAX(0.1,Skills!D7-IF(TRUE=TRUE,2.0,0))),0)</f>
        <v/>
      </c>
      <c r="R3017">
        <f>IF(AND(Inputs!$B$38&lt;&gt;"pvp",Inputs!$B$43&gt;0),IF(MAX(0,Inputs!$B$43-B3049)&lt;=0,0,(INT(MAX(0,Inputs!$B$43-B3049)/IF(Inputs!$B$38="pvp",15,MAX(0.1,Skills!D7-IF(TRUE=TRUE,2.0,0))))+1)),0)</f>
        <v/>
      </c>
      <c r="S3017">
        <f>IFERROR((H3017*N3017*IF(AND(Inputs!$B$38&lt;&gt;"pvp",Inputs!$B$43&gt;0),((Skills!G7*((R3017-1)*IF(Skills!H7&gt;0,Skills!I7/Skills!H7,1)+IF(Skills!H7&gt;0,MIN(Skills!I7,MAX(0,MAX(0,Inputs!$B$43-B3049)-((R3017-1)*IF(Inputs!$B$38="pvp",15,MAX(0.1,Skills!D7-IF(TRUE=TRUE,2.0,0))))))/Skills!H7,1)))/Inputs!$B$43),G3017*Q3017))/N3017*IF(Inputs!$B$38="pvp",1,(1-Summary!$B$11)*1+Summary!$B$11*(MIN(Skills!R7,Inputs!$B$37))),0)</f>
        <v/>
      </c>
      <c r="T3017">
        <f>IF(C3017,(H3017*N3017*IF(AND(Inputs!$B$38&lt;&gt;"pvp",Inputs!$B$43&gt;0),((Skills!G7*((R3017-1)*IF(Skills!H7&gt;0,Skills!I7/Skills!H7,1)+IF(Skills!H7&gt;0,MIN(Skills!I7,MAX(0,MAX(0,Inputs!$B$43-B3049)-((R3017-1)*IF(Inputs!$B$38="pvp",15,MAX(0.1,Skills!D7-IF(TRUE=TRUE,2.0,0)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3049)-((R3017-1)*IF(Inputs!$B$38="pvp",15,MAX(0.1,Skills!D7-IF(TRUE=TRUE,2.0,0))))))/Skills!H7,1)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Skills!G9*IF(Skills!H9&gt;0,IF(Inputs!$B$38="pvp",MIN(Skills!I9,15),Skills!I9)/Skills!H9,1)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IFERROR(1/IF(Inputs!$B$38="pvp",15,MAX(0.1,Skills!D9-IF(TRUE=TRUE,2.0,0))),0)</f>
        <v/>
      </c>
      <c r="R3019">
        <f>IF(AND(Inputs!$B$38&lt;&gt;"pvp",Inputs!$B$43&gt;0),IF(MAX(0,Inputs!$B$43-B3049)&lt;=0,0,(INT(MAX(0,Inputs!$B$43-B3049)/IF(Inputs!$B$38="pvp",15,MAX(0.1,Skills!D9-IF(TRUE=TRUE,2.0,0))))+1)),0)</f>
        <v/>
      </c>
      <c r="S3019">
        <f>IFERROR((H3019*N3019*IF(AND(Inputs!$B$38&lt;&gt;"pvp",Inputs!$B$43&gt;0),((Skills!G9*((R3019-1)*IF(Skills!H9&gt;0,Skills!I9/Skills!H9,1)+IF(Skills!H9&gt;0,MIN(Skills!I9,MAX(0,MAX(0,Inputs!$B$43-B3049)-((R3019-1)*IF(Inputs!$B$38="pvp",15,MAX(0.1,Skills!D9-IF(TRUE=TRUE,2.0,0))))))/Skills!H9,1)))/Inputs!$B$43),G3019*Q3019))/N3019*IF(Inputs!$B$38="pvp",1,(1-Summary!$B$11)*1+Summary!$B$11*(MIN(Skills!R9,Inputs!$B$37))),0)</f>
        <v/>
      </c>
      <c r="T3019">
        <f>IF(C3019,(H3019*N3019*IF(AND(Inputs!$B$38&lt;&gt;"pvp",Inputs!$B$43&gt;0),((Skills!G9*((R3019-1)*IF(Skills!H9&gt;0,Skills!I9/Skills!H9,1)+IF(Skills!H9&gt;0,MIN(Skills!I9,MAX(0,MAX(0,Inputs!$B$43-B3049)-((R3019-1)*IF(Inputs!$B$38="pvp",15,MAX(0.1,Skills!D9-IF(TRUE=TRUE,2.0,0)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3049)-((R3019-1)*IF(Inputs!$B$38="pvp",15,MAX(0.1,Skills!D9-IF(TRUE=TRUE,2.0,0))))))/Skills!H9,1)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Skills!G10*IF(Skills!H10&gt;0,IF(Inputs!$B$38="pvp",MIN(Skills!I10,15),Skills!I10)/Skills!H10,1)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Skills!G11*IF(Skills!H11&gt;0,IF(Inputs!$B$38="pvp",MIN(Skills!I11,15),Skills!I11)/Skills!H11,1)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IFERROR(1/IF(Inputs!$B$38="pvp",15,MAX(0.1,Skills!D11-IF(TRUE=TRUE,2.0,0))),0)</f>
        <v/>
      </c>
      <c r="R3021">
        <f>IF(AND(Inputs!$B$38&lt;&gt;"pvp",Inputs!$B$43&gt;0),IF(MAX(0,Inputs!$B$43-B3049)&lt;=0,0,(INT(MAX(0,Inputs!$B$43-B3049)/IF(Inputs!$B$38="pvp",15,MAX(0.1,Skills!D11-IF(TRUE=TRUE,2.0,0))))+1)),0)</f>
        <v/>
      </c>
      <c r="S3021">
        <f>IFERROR((H3021*N3021*IF(AND(Inputs!$B$38&lt;&gt;"pvp",Inputs!$B$43&gt;0),((Skills!G11*((R3021-1)*IF(Skills!H11&gt;0,Skills!I11/Skills!H11,1)+IF(Skills!H11&gt;0,MIN(Skills!I11,MAX(0,MAX(0,Inputs!$B$43-B3049)-((R3021-1)*IF(Inputs!$B$38="pvp",15,MAX(0.1,Skills!D11-IF(TRUE=TRUE,2.0,0))))))/Skills!H11,1)))/Inputs!$B$43),G3021*Q3021))/N3021*IF(Inputs!$B$38="pvp",1,(1-Summary!$B$11)*1+Summary!$B$11*(MIN(Skills!R11,Inputs!$B$37))),0)</f>
        <v/>
      </c>
      <c r="T3021">
        <f>IF(C3021,(H3021*N3021*IF(AND(Inputs!$B$38&lt;&gt;"pvp",Inputs!$B$43&gt;0),((Skills!G11*((R3021-1)*IF(Skills!H11&gt;0,Skills!I11/Skills!H11,1)+IF(Skills!H11&gt;0,MIN(Skills!I11,MAX(0,MAX(0,Inputs!$B$43-B3049)-((R3021-1)*IF(Inputs!$B$38="pvp",15,MAX(0.1,Skills!D11-IF(TRUE=TRUE,2.0,0))))))/Skills!H11,1)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Inputs!$B$38&lt;&gt;"pvp",Inputs!$B$43=0),1,IF(IF(Inputs!$B$38="pvp",15,Inputs!$B$43)-(B3049)&lt;=0,1,MAX(0,IF(Inputs!$B$38="pvp",15,Inputs!$B$43)-MAX(5,B3049))/(IF(Inputs!$B$38="pvp",15,Inputs!$B$43)-(B3049))))*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Skills!I11/Skills!H11,1)+IF(Skills!H11&gt;0,MIN(Skills!I11,MAX(0,MAX(0,Inputs!$B$43-B3049)-((R3021-1)*IF(Inputs!$B$38="pvp",15,MAX(0.1,Skills!D11-IF(TRUE=TRUE,2.0,0))))))/Skills!H11,1)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Skills!G12*IF(Skills!H12&gt;0,IF(Inputs!$B$38="pvp",MIN(Skills!I12,15),Skills!I12)/Skills!H12,1)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Skills!G13*IF(Skills!H13&gt;0,IF(Inputs!$B$38="pvp",MIN(Skills!I13,15),Skills!I13)/Skills!H13,1)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Skills!G14*IF(Skills!H14&gt;0,IF(Inputs!$B$38="pvp",MIN(Skills!I14,15),Skills!I14)/Skills!H14,1)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Skills!G15*IF(Skills!H15&gt;0,IF(Inputs!$B$38="pvp",MIN(Skills!I15,15),Skills!I15)/Skills!H15,1)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IFERROR(1/IF(Inputs!$B$38="pvp",15,MAX(0.1,Skills!D15-IF(TRUE=TRUE,2.0,0))),0)</f>
        <v/>
      </c>
      <c r="R3025">
        <f>IF(AND(Inputs!$B$38&lt;&gt;"pvp",Inputs!$B$43&gt;0),IF(Inputs!$B$43&lt;=0,0,(INT(Inputs!$B$43/IF(Inputs!$B$38="pvp",15,MAX(0.1,Skills!D15-IF(TRUE=TRUE,2.0,0))))+1)),0)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Skills!G16*IF(Skills!H16&gt;0,IF(Inputs!$B$38="pvp",MIN(Skills!I16,15),Skills!I16)/Skills!H16,1)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IFERROR(1/IF(Inputs!$B$38="pvp",15,MAX(0.1,Skills!D16-IF(TRUE=TRUE,2.0,0))),0)</f>
        <v/>
      </c>
      <c r="R3026">
        <f>IF(AND(Inputs!$B$38&lt;&gt;"pvp",Inputs!$B$43&gt;0),IF(Inputs!$B$43&lt;=0,0,(INT(Inputs!$B$43/IF(Inputs!$B$38="pvp",15,MAX(0.1,Skills!D16-IF(TRUE=TRUE,2.0,0))))+1)),0)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Skills!G17*IF(Skills!H17&gt;0,IF(Inputs!$B$38="pvp",MIN(Skills!I17,15),Skills!I17)/Skills!H17,1)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Skills!G18*IF(Skills!H18&gt;0,IF(Inputs!$B$38="pvp",MIN(Skills!I18,15),Skills!I18)/Skills!H18,1)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IFERROR(1/IF(Inputs!$B$38="pvp",15,MAX(0.1,Skills!D18-IF(TRUE=TRUE,2.0,0))),0)</f>
        <v/>
      </c>
      <c r="R3028">
        <f>IF(AND(Inputs!$B$38&lt;&gt;"pvp",Inputs!$B$43&gt;0),IF(Inputs!$B$43&lt;=0,0,(INT(Inputs!$B$43/IF(Inputs!$B$38="pvp",15,MAX(0.1,Skills!D18-IF(TRUE=TRUE,2.0,0))))+1)),0)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Skills!G19*IF(Skills!H19&gt;0,IF(Inputs!$B$38="pvp",MIN(Skills!I19,15),Skills!I19)/Skills!H19,1)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Skills!G20*IF(Skills!H20&gt;0,IF(Inputs!$B$38="pvp",MIN(Skills!I20,15),Skills!I20)/Skills!H20,1)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Skills!G21*IF(Skills!H21&gt;0,IF(Inputs!$B$38="pvp",MIN(Skills!I21,15),Skills!I21)/Skills!H21,1)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Skills!G22*IF(Skills!H22&gt;0,IF(Inputs!$B$38="pvp",MIN(Skills!I22,15),Skills!I22)/Skills!H22,1)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Skills!G23*IF(Skills!H23&gt;0,IF(Inputs!$B$38="pvp",MIN(Skills!I23,15),Skills!I23)/Skills!H23,1)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Skills!G24*IF(Skills!H24&gt;0,IF(Inputs!$B$38="pvp",MIN(Skills!I24,15),Skills!I24)/Skills!H24,1)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Skills!G25*IF(Skills!H25&gt;0,IF(Inputs!$B$38="pvp",MIN(Skills!I25,15),Skills!I25)/Skills!H25,1)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Skills!G26*IF(Skills!H26&gt;0,IF(Inputs!$B$38="pvp",MIN(Skills!I26,15),Skills!I26)/Skills!H26,1)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Skills!G27*IF(Skills!H27&gt;0,IF(Inputs!$B$38="pvp",MIN(Skills!I27,15),Skills!I27)/Skills!H27,1)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Skills!G28*IF(Skills!H28&gt;0,IF(Inputs!$B$38="pvp",MIN(Skills!I28,15),Skills!I28)/Skills!H28,1)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Skills!G29*IF(Skills!H29&gt;0,IF(Inputs!$B$38="pvp",MIN(Skills!I29,15),Skills!I29)/Skills!H29,1)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MIN((Skills!T15*(1+Inputs!$B$34/100)),(1/Q3025))+MIN((Skills!T15*(1+Inputs!$B$34/100)),MAX(0,Inputs!$B$43-((R3025-1)*(1/Q3025)))))/Inputs!$B$43),IF(Inputs!$B$38="pvp",MIN((Skills!T15*(1+Inputs!$B$34/100)),15)/15,MIN(1,(Skills!T15*(1+Inputs!$B$34/100))/(1/Q3025)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t="n">
        <v>0</v>
      </c>
    </row>
    <row r="3043">
      <c r="A3043" t="inlineStr">
        <is>
          <t>Attack Speed Buff Bonus %</t>
        </is>
      </c>
      <c r="B3043">
        <f>((C3028=TRUE)*F3028*IF(AND(Inputs!$B$38&lt;&gt;"pvp",Inputs!$B$43&gt;0),(((R3028-1)*MIN((Skills!T18*(1+Inputs!$B$34/100)),(1/Q3028))+MIN((Skills!T18*(1+Inputs!$B$34/100)),MAX(0,Inputs!$B$43-((R3028-1)*(1/Q3028)))))/Inputs!$B$43),IF(Inputs!$B$38="pvp",MIN((Skills!T18*(1+Inputs!$B$34/100)),15)/15,MIN(1,(Skills!T18*(1+Inputs!$B$34/100))/(1/Q3028)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MIN((Skills!T16*(1+Inputs!$B$34/100)),(1/Q3026))+MIN((Skills!T16*(1+Inputs!$B$34/100)),MAX(0,Inputs!$B$43-((R3026-1)*(1/Q3026)))))/Inputs!$B$43),IF(Inputs!$B$38="pvp",MIN((Skills!T16*(1+Inputs!$B$34/100)),15)/15,MIN(1,(Skills!T16*(1+Inputs!$B$34/100))/(1/Q3026)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Skills!G2*IF(Skills!H2&gt;0,IF(Inputs!$B$38="pvp",MIN(Skills!I2,15),Skills!I2)/Skills!H2,1)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Skills!G5*IF(Skills!H5&gt;0,IF(Inputs!$B$38="pvp",MIN(Skills!I5,15),Skills!I5)/Skills!H5,1)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IFERROR(1/IF(Inputs!$B$38="pvp",15,MAX(0.1,Skills!D5-IF(TRUE=TRUE,2.5,0))),0)</f>
        <v/>
      </c>
      <c r="R3060">
        <f>IF(AND(Inputs!$B$38&lt;&gt;"pvp",Inputs!$B$43&gt;0),IF(MAX(0,Inputs!$B$43-B3094)&lt;=0,0,(INT(MAX(0,Inputs!$B$43-B3094)/IF(Inputs!$B$38="pvp",15,MAX(0.1,Skills!D5-IF(TRUE=TRUE,2.5,0))))+1)),0)</f>
        <v/>
      </c>
      <c r="S3060">
        <f>IFERROR((H3060*N3060*IF(AND(Inputs!$B$38&lt;&gt;"pvp",Inputs!$B$43&gt;0),((Skills!G5*((R3060-1)*IF(Skills!H5&gt;0,Skills!I5/Skills!H5,1)+IF(Skills!H5&gt;0,MIN(Skills!I5,MAX(0,MAX(0,Inputs!$B$43-B3094)-((R3060-1)*IF(Inputs!$B$38="pvp",15,MAX(0.1,Skills!D5-IF(TRUE=TRUE,2.5,0))))))/Skills!H5,1)))/Inputs!$B$43),G3060*Q3060))/N3060*IF(Inputs!$B$38="pvp",1,(1-Summary!$B$11)*1+Summary!$B$11*(MIN(Skills!R5,Inputs!$B$37))),0)</f>
        <v/>
      </c>
      <c r="T3060">
        <f>IF(C3060,(H3060*N3060*IF(AND(Inputs!$B$38&lt;&gt;"pvp",Inputs!$B$43&gt;0),((Skills!G5*((R3060-1)*IF(Skills!H5&gt;0,Skills!I5/Skills!H5,1)+IF(Skills!H5&gt;0,MIN(Skills!I5,MAX(0,MAX(0,Inputs!$B$43-B3094)-((R3060-1)*IF(Inputs!$B$38="pvp",15,MAX(0.1,Skills!D5-IF(TRUE=TRUE,2.5,0))))))/Skills!H5,1)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Skills!I5/Skills!H5,1)+IF(Skills!H5&gt;0,MIN(Skills!I5,MAX(0,MAX(0,Inputs!$B$43-B3094)-((R3060-1)*IF(Inputs!$B$38="pvp",15,MAX(0.1,Skills!D5-IF(TRUE=TRUE,2.5,0))))))/Skills!H5,1)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Skills!G6*IF(Skills!H6&gt;0,IF(Inputs!$B$38="pvp",MIN(Skills!I6,15),Skills!I6)/Skills!H6,1)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IFERROR(1/IF(Inputs!$B$38="pvp",15,MAX(0.1,Skills!D6-IF(TRUE=TRUE,2.5,0))),0)</f>
        <v/>
      </c>
      <c r="R3061">
        <f>IF(AND(Inputs!$B$38&lt;&gt;"pvp",Inputs!$B$43&gt;0),IF(MAX(0,Inputs!$B$43-B3094)&lt;=0,0,(INT(MAX(0,Inputs!$B$43-B3094)/IF(Inputs!$B$38="pvp",15,MAX(0.1,Skills!D6-IF(TRUE=TRUE,2.5,0))))+1)),0)</f>
        <v/>
      </c>
      <c r="S3061">
        <f>IFERROR((H3061*N3061*IF(AND(Inputs!$B$38&lt;&gt;"pvp",Inputs!$B$43&gt;0),((Skills!G6*((R3061-1)*IF(Skills!H6&gt;0,Skills!I6/Skills!H6,1)+IF(Skills!H6&gt;0,MIN(Skills!I6,MAX(0,MAX(0,Inputs!$B$43-B3094)-((R3061-1)*IF(Inputs!$B$38="pvp",15,MAX(0.1,Skills!D6-IF(TRUE=TRUE,2.5,0))))))/Skills!H6,1)))/Inputs!$B$43),G3061*Q3061))/N3061*IF(Inputs!$B$38="pvp",1,(1-Summary!$B$11)*1+Summary!$B$11*(MIN(Skills!R6,Inputs!$B$37))),0)</f>
        <v/>
      </c>
      <c r="T3061">
        <f>IF(C3061,(H3061*N3061*IF(AND(Inputs!$B$38&lt;&gt;"pvp",Inputs!$B$43&gt;0),((Skills!G6*((R3061-1)*IF(Skills!H6&gt;0,Skills!I6/Skills!H6,1)+IF(Skills!H6&gt;0,MIN(Skills!I6,MAX(0,MAX(0,Inputs!$B$43-B3094)-((R3061-1)*IF(Inputs!$B$38="pvp",15,MAX(0.1,Skills!D6-IF(TRUE=TRUE,2.5,0)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3094)-((R3061-1)*IF(Inputs!$B$38="pvp",15,MAX(0.1,Skills!D6-IF(TRUE=TRUE,2.5,0))))))/Skills!H6,1)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Skills!G7*IF(Skills!H7&gt;0,IF(Inputs!$B$38="pvp",MIN(Skills!I7,15),Skills!I7)/Skills!H7,1)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IFERROR(1/IF(Inputs!$B$38="pvp",15,MAX(0.1,Skills!D7-IF(TRUE=TRUE,2.5,0))),0)</f>
        <v/>
      </c>
      <c r="R3062">
        <f>IF(AND(Inputs!$B$38&lt;&gt;"pvp",Inputs!$B$43&gt;0),IF(MAX(0,Inputs!$B$43-B3094)&lt;=0,0,(INT(MAX(0,Inputs!$B$43-B3094)/IF(Inputs!$B$38="pvp",15,MAX(0.1,Skills!D7-IF(TRUE=TRUE,2.5,0))))+1)),0)</f>
        <v/>
      </c>
      <c r="S3062">
        <f>IFERROR((H3062*N3062*IF(AND(Inputs!$B$38&lt;&gt;"pvp",Inputs!$B$43&gt;0),((Skills!G7*((R3062-1)*IF(Skills!H7&gt;0,Skills!I7/Skills!H7,1)+IF(Skills!H7&gt;0,MIN(Skills!I7,MAX(0,MAX(0,Inputs!$B$43-B3094)-((R3062-1)*IF(Inputs!$B$38="pvp",15,MAX(0.1,Skills!D7-IF(TRUE=TRUE,2.5,0))))))/Skills!H7,1)))/Inputs!$B$43),G3062*Q3062))/N3062*IF(Inputs!$B$38="pvp",1,(1-Summary!$B$11)*1+Summary!$B$11*(MIN(Skills!R7,Inputs!$B$37))),0)</f>
        <v/>
      </c>
      <c r="T3062">
        <f>IF(C3062,(H3062*N3062*IF(AND(Inputs!$B$38&lt;&gt;"pvp",Inputs!$B$43&gt;0),((Skills!G7*((R3062-1)*IF(Skills!H7&gt;0,Skills!I7/Skills!H7,1)+IF(Skills!H7&gt;0,MIN(Skills!I7,MAX(0,MAX(0,Inputs!$B$43-B3094)-((R3062-1)*IF(Inputs!$B$38="pvp",15,MAX(0.1,Skills!D7-IF(TRUE=TRUE,2.5,0)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3094)-((R3062-1)*IF(Inputs!$B$38="pvp",15,MAX(0.1,Skills!D7-IF(TRUE=TRUE,2.5,0))))))/Skills!H7,1)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Skills!G9*IF(Skills!H9&gt;0,IF(Inputs!$B$38="pvp",MIN(Skills!I9,15),Skills!I9)/Skills!H9,1)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IFERROR(1/IF(Inputs!$B$38="pvp",15,MAX(0.1,Skills!D9-IF(TRUE=TRUE,2.5,0))),0)</f>
        <v/>
      </c>
      <c r="R3064">
        <f>IF(AND(Inputs!$B$38&lt;&gt;"pvp",Inputs!$B$43&gt;0),IF(MAX(0,Inputs!$B$43-B3094)&lt;=0,0,(INT(MAX(0,Inputs!$B$43-B3094)/IF(Inputs!$B$38="pvp",15,MAX(0.1,Skills!D9-IF(TRUE=TRUE,2.5,0))))+1)),0)</f>
        <v/>
      </c>
      <c r="S3064">
        <f>IFERROR((H3064*N3064*IF(AND(Inputs!$B$38&lt;&gt;"pvp",Inputs!$B$43&gt;0),((Skills!G9*((R3064-1)*IF(Skills!H9&gt;0,Skills!I9/Skills!H9,1)+IF(Skills!H9&gt;0,MIN(Skills!I9,MAX(0,MAX(0,Inputs!$B$43-B3094)-((R3064-1)*IF(Inputs!$B$38="pvp",15,MAX(0.1,Skills!D9-IF(TRUE=TRUE,2.5,0))))))/Skills!H9,1)))/Inputs!$B$43),G3064*Q3064))/N3064*IF(Inputs!$B$38="pvp",1,(1-Summary!$B$11)*1+Summary!$B$11*(MIN(Skills!R9,Inputs!$B$37))),0)</f>
        <v/>
      </c>
      <c r="T3064">
        <f>IF(C3064,(H3064*N3064*IF(AND(Inputs!$B$38&lt;&gt;"pvp",Inputs!$B$43&gt;0),((Skills!G9*((R3064-1)*IF(Skills!H9&gt;0,Skills!I9/Skills!H9,1)+IF(Skills!H9&gt;0,MIN(Skills!I9,MAX(0,MAX(0,Inputs!$B$43-B3094)-((R3064-1)*IF(Inputs!$B$38="pvp",15,MAX(0.1,Skills!D9-IF(TRUE=TRUE,2.5,0)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3094)-((R3064-1)*IF(Inputs!$B$38="pvp",15,MAX(0.1,Skills!D9-IF(TRUE=TRUE,2.5,0))))))/Skills!H9,1)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Skills!G10*IF(Skills!H10&gt;0,IF(Inputs!$B$38="pvp",MIN(Skills!I10,15),Skills!I10)/Skills!H10,1)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Skills!G11*IF(Skills!H11&gt;0,IF(Inputs!$B$38="pvp",MIN(Skills!I11,15),Skills!I11)/Skills!H11,1)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IFERROR(1/IF(Inputs!$B$38="pvp",15,MAX(0.1,Skills!D11-IF(TRUE=TRUE,2.5,0))),0)</f>
        <v/>
      </c>
      <c r="R3066">
        <f>IF(AND(Inputs!$B$38&lt;&gt;"pvp",Inputs!$B$43&gt;0),IF(MAX(0,Inputs!$B$43-B3094)&lt;=0,0,(INT(MAX(0,Inputs!$B$43-B3094)/IF(Inputs!$B$38="pvp",15,MAX(0.1,Skills!D11-IF(TRUE=TRUE,2.5,0))))+1)),0)</f>
        <v/>
      </c>
      <c r="S3066">
        <f>IFERROR((H3066*N3066*IF(AND(Inputs!$B$38&lt;&gt;"pvp",Inputs!$B$43&gt;0),((Skills!G11*((R3066-1)*IF(Skills!H11&gt;0,Skills!I11/Skills!H11,1)+IF(Skills!H11&gt;0,MIN(Skills!I11,MAX(0,MAX(0,Inputs!$B$43-B3094)-((R3066-1)*IF(Inputs!$B$38="pvp",15,MAX(0.1,Skills!D11-IF(TRUE=TRUE,2.5,0))))))/Skills!H11,1)))/Inputs!$B$43),G3066*Q3066))/N3066*IF(Inputs!$B$38="pvp",1,(1-Summary!$B$11)*1+Summary!$B$11*(MIN(Skills!R11,Inputs!$B$37))),0)</f>
        <v/>
      </c>
      <c r="T3066">
        <f>IF(C3066,(H3066*N3066*IF(AND(Inputs!$B$38&lt;&gt;"pvp",Inputs!$B$43&gt;0),((Skills!G11*((R3066-1)*IF(Skills!H11&gt;0,Skills!I11/Skills!H11,1)+IF(Skills!H11&gt;0,MIN(Skills!I11,MAX(0,MAX(0,Inputs!$B$43-B3094)-((R3066-1)*IF(Inputs!$B$38="pvp",15,MAX(0.1,Skills!D11-IF(TRUE=TRUE,2.5,0))))))/Skills!H11,1)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Inputs!$B$38&lt;&gt;"pvp",Inputs!$B$43=0),1,IF(IF(Inputs!$B$38="pvp",15,Inputs!$B$43)-(B3094)&lt;=0,1,MAX(0,IF(Inputs!$B$38="pvp",15,Inputs!$B$43)-MAX(5,B3094))/(IF(Inputs!$B$38="pvp",15,Inputs!$B$43)-(B3094))))*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Skills!I11/Skills!H11,1)+IF(Skills!H11&gt;0,MIN(Skills!I11,MAX(0,MAX(0,Inputs!$B$43-B3094)-((R3066-1)*IF(Inputs!$B$38="pvp",15,MAX(0.1,Skills!D11-IF(TRUE=TRUE,2.5,0))))))/Skills!H11,1)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Skills!G12*IF(Skills!H12&gt;0,IF(Inputs!$B$38="pvp",MIN(Skills!I12,15),Skills!I12)/Skills!H12,1)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Skills!G13*IF(Skills!H13&gt;0,IF(Inputs!$B$38="pvp",MIN(Skills!I13,15),Skills!I13)/Skills!H13,1)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Skills!G14*IF(Skills!H14&gt;0,IF(Inputs!$B$38="pvp",MIN(Skills!I14,15),Skills!I14)/Skills!H14,1)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Skills!G15*IF(Skills!H15&gt;0,IF(Inputs!$B$38="pvp",MIN(Skills!I15,15),Skills!I15)/Skills!H15,1)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IFERROR(1/IF(Inputs!$B$38="pvp",15,MAX(0.1,Skills!D15-IF(TRUE=TRUE,2.5,0))),0)</f>
        <v/>
      </c>
      <c r="R3070">
        <f>IF(AND(Inputs!$B$38&lt;&gt;"pvp",Inputs!$B$43&gt;0),IF(Inputs!$B$43&lt;=0,0,(INT(Inputs!$B$43/IF(Inputs!$B$38="pvp",15,MAX(0.1,Skills!D15-IF(TRUE=TRUE,2.5,0))))+1)),0)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Skills!G16*IF(Skills!H16&gt;0,IF(Inputs!$B$38="pvp",MIN(Skills!I16,15),Skills!I16)/Skills!H16,1)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IFERROR(1/IF(Inputs!$B$38="pvp",15,MAX(0.1,Skills!D16-IF(TRUE=TRUE,2.5,0))),0)</f>
        <v/>
      </c>
      <c r="R3071">
        <f>IF(AND(Inputs!$B$38&lt;&gt;"pvp",Inputs!$B$43&gt;0),IF(Inputs!$B$43&lt;=0,0,(INT(Inputs!$B$43/IF(Inputs!$B$38="pvp",15,MAX(0.1,Skills!D16-IF(TRUE=TRUE,2.5,0))))+1)),0)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Skills!G17*IF(Skills!H17&gt;0,IF(Inputs!$B$38="pvp",MIN(Skills!I17,15),Skills!I17)/Skills!H17,1)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Skills!G18*IF(Skills!H18&gt;0,IF(Inputs!$B$38="pvp",MIN(Skills!I18,15),Skills!I18)/Skills!H18,1)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IFERROR(1/IF(Inputs!$B$38="pvp",15,MAX(0.1,Skills!D18-IF(TRUE=TRUE,2.5,0))),0)</f>
        <v/>
      </c>
      <c r="R3073">
        <f>IF(AND(Inputs!$B$38&lt;&gt;"pvp",Inputs!$B$43&gt;0),IF(Inputs!$B$43&lt;=0,0,(INT(Inputs!$B$43/IF(Inputs!$B$38="pvp",15,MAX(0.1,Skills!D18-IF(TRUE=TRUE,2.5,0))))+1)),0)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Skills!G19*IF(Skills!H19&gt;0,IF(Inputs!$B$38="pvp",MIN(Skills!I19,15),Skills!I19)/Skills!H19,1)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Skills!G20*IF(Skills!H20&gt;0,IF(Inputs!$B$38="pvp",MIN(Skills!I20,15),Skills!I20)/Skills!H20,1)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Skills!G21*IF(Skills!H21&gt;0,IF(Inputs!$B$38="pvp",MIN(Skills!I21,15),Skills!I21)/Skills!H21,1)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Skills!G22*IF(Skills!H22&gt;0,IF(Inputs!$B$38="pvp",MIN(Skills!I22,15),Skills!I22)/Skills!H22,1)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Skills!G23*IF(Skills!H23&gt;0,IF(Inputs!$B$38="pvp",MIN(Skills!I23,15),Skills!I23)/Skills!H23,1)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Skills!G24*IF(Skills!H24&gt;0,IF(Inputs!$B$38="pvp",MIN(Skills!I24,15),Skills!I24)/Skills!H24,1)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Skills!G25*IF(Skills!H25&gt;0,IF(Inputs!$B$38="pvp",MIN(Skills!I25,15),Skills!I25)/Skills!H25,1)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Skills!G26*IF(Skills!H26&gt;0,IF(Inputs!$B$38="pvp",MIN(Skills!I26,15),Skills!I26)/Skills!H26,1)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Skills!G27*IF(Skills!H27&gt;0,IF(Inputs!$B$38="pvp",MIN(Skills!I27,15),Skills!I27)/Skills!H27,1)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Skills!G28*IF(Skills!H28&gt;0,IF(Inputs!$B$38="pvp",MIN(Skills!I28,15),Skills!I28)/Skills!H28,1)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Skills!G29*IF(Skills!H29&gt;0,IF(Inputs!$B$38="pvp",MIN(Skills!I29,15),Skills!I29)/Skills!H29,1)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MIN((Skills!T15*(1+Inputs!$B$34/100)),(1/Q3070))+MIN((Skills!T15*(1+Inputs!$B$34/100)),MAX(0,Inputs!$B$43-((R3070-1)*(1/Q3070)))))/Inputs!$B$43),IF(Inputs!$B$38="pvp",MIN((Skills!T15*(1+Inputs!$B$34/100)),15)/15,MIN(1,(Skills!T15*(1+Inputs!$B$34/100))/(1/Q3070)))))+((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t="n">
        <v>0</v>
      </c>
    </row>
    <row r="3088">
      <c r="A3088" t="inlineStr">
        <is>
          <t>Attack Speed Buff Bonus %</t>
        </is>
      </c>
      <c r="B3088">
        <f>((C3073=TRUE)*F3073*IF(AND(Inputs!$B$38&lt;&gt;"pvp",Inputs!$B$43&gt;0),(((R3073-1)*MIN((Skills!T18*(1+Inputs!$B$34/100)),(1/Q3073))+MIN((Skills!T18*(1+Inputs!$B$34/100)),MAX(0,Inputs!$B$43-((R3073-1)*(1/Q3073)))))/Inputs!$B$43),IF(Inputs!$B$38="pvp",MIN((Skills!T18*(1+Inputs!$B$34/100)),15)/15,MIN(1,(Skills!T18*(1+Inputs!$B$34/100))/(1/Q3073)))))</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MIN((Skills!T16*(1+Inputs!$B$34/100)),(1/Q3071))+MIN((Skills!T16*(1+Inputs!$B$34/100)),MAX(0,Inputs!$B$43-((R3071-1)*(1/Q3071)))))/Inputs!$B$43),IF(Inputs!$B$38="pvp",MIN((Skills!T16*(1+Inputs!$B$34/100)),15)/15,MIN(1,(Skills!T16*(1+Inputs!$B$34/100))/(1/Q3071))))</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Skills!G2*IF(Skills!H2&gt;0,IF(Inputs!$B$38="pvp",MIN(Skills!I2,15),Skills!I2)/Skills!H2,1)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Skills!G5*IF(Skills!H5&gt;0,IF(Inputs!$B$38="pvp",MIN(Skills!I5,15),Skills!I5)/Skills!H5,1)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IFERROR(1/IF(Inputs!$B$38="pvp",15,MAX(0.1,Skills!D5-IF(TRUE=TRUE,3.0,0))),0)</f>
        <v/>
      </c>
      <c r="R3105">
        <f>IF(AND(Inputs!$B$38&lt;&gt;"pvp",Inputs!$B$43&gt;0),IF(MAX(0,Inputs!$B$43-B3139)&lt;=0,0,(INT(MAX(0,Inputs!$B$43-B3139)/IF(Inputs!$B$38="pvp",15,MAX(0.1,Skills!D5-IF(TRUE=TRUE,3.0,0))))+1)),0)</f>
        <v/>
      </c>
      <c r="S3105">
        <f>IFERROR((H3105*N3105*IF(AND(Inputs!$B$38&lt;&gt;"pvp",Inputs!$B$43&gt;0),((Skills!G5*((R3105-1)*IF(Skills!H5&gt;0,Skills!I5/Skills!H5,1)+IF(Skills!H5&gt;0,MIN(Skills!I5,MAX(0,MAX(0,Inputs!$B$43-B3139)-((R3105-1)*IF(Inputs!$B$38="pvp",15,MAX(0.1,Skills!D5-IF(TRUE=TRUE,3.0,0))))))/Skills!H5,1)))/Inputs!$B$43),G3105*Q3105))/N3105*IF(Inputs!$B$38="pvp",1,(1-Summary!$B$11)*1+Summary!$B$11*(MIN(Skills!R5,Inputs!$B$37))),0)</f>
        <v/>
      </c>
      <c r="T3105">
        <f>IF(C3105,(H3105*N3105*IF(AND(Inputs!$B$38&lt;&gt;"pvp",Inputs!$B$43&gt;0),((Skills!G5*((R3105-1)*IF(Skills!H5&gt;0,Skills!I5/Skills!H5,1)+IF(Skills!H5&gt;0,MIN(Skills!I5,MAX(0,MAX(0,Inputs!$B$43-B3139)-((R3105-1)*IF(Inputs!$B$38="pvp",15,MAX(0.1,Skills!D5-IF(TRUE=TRUE,3.0,0))))))/Skills!H5,1)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Skills!I5/Skills!H5,1)+IF(Skills!H5&gt;0,MIN(Skills!I5,MAX(0,MAX(0,Inputs!$B$43-B3139)-((R3105-1)*IF(Inputs!$B$38="pvp",15,MAX(0.1,Skills!D5-IF(TRUE=TRUE,3.0,0))))))/Skills!H5,1)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Skills!G6*IF(Skills!H6&gt;0,IF(Inputs!$B$38="pvp",MIN(Skills!I6,15),Skills!I6)/Skills!H6,1)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IFERROR(1/IF(Inputs!$B$38="pvp",15,MAX(0.1,Skills!D6-IF(TRUE=TRUE,3.0,0))),0)</f>
        <v/>
      </c>
      <c r="R3106">
        <f>IF(AND(Inputs!$B$38&lt;&gt;"pvp",Inputs!$B$43&gt;0),IF(MAX(0,Inputs!$B$43-B3139)&lt;=0,0,(INT(MAX(0,Inputs!$B$43-B3139)/IF(Inputs!$B$38="pvp",15,MAX(0.1,Skills!D6-IF(TRUE=TRUE,3.0,0))))+1)),0)</f>
        <v/>
      </c>
      <c r="S3106">
        <f>IFERROR((H3106*N3106*IF(AND(Inputs!$B$38&lt;&gt;"pvp",Inputs!$B$43&gt;0),((Skills!G6*((R3106-1)*IF(Skills!H6&gt;0,Skills!I6/Skills!H6,1)+IF(Skills!H6&gt;0,MIN(Skills!I6,MAX(0,MAX(0,Inputs!$B$43-B3139)-((R3106-1)*IF(Inputs!$B$38="pvp",15,MAX(0.1,Skills!D6-IF(TRUE=TRUE,3.0,0))))))/Skills!H6,1)))/Inputs!$B$43),G3106*Q3106))/N3106*IF(Inputs!$B$38="pvp",1,(1-Summary!$B$11)*1+Summary!$B$11*(MIN(Skills!R6,Inputs!$B$37))),0)</f>
        <v/>
      </c>
      <c r="T3106">
        <f>IF(C3106,(H3106*N3106*IF(AND(Inputs!$B$38&lt;&gt;"pvp",Inputs!$B$43&gt;0),((Skills!G6*((R3106-1)*IF(Skills!H6&gt;0,Skills!I6/Skills!H6,1)+IF(Skills!H6&gt;0,MIN(Skills!I6,MAX(0,MAX(0,Inputs!$B$43-B3139)-((R3106-1)*IF(Inputs!$B$38="pvp",15,MAX(0.1,Skills!D6-IF(TRUE=TRUE,3.0,0)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3139)-((R3106-1)*IF(Inputs!$B$38="pvp",15,MAX(0.1,Skills!D6-IF(TRUE=TRUE,3.0,0))))))/Skills!H6,1)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Skills!G7*IF(Skills!H7&gt;0,IF(Inputs!$B$38="pvp",MIN(Skills!I7,15),Skills!I7)/Skills!H7,1)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IFERROR(1/IF(Inputs!$B$38="pvp",15,MAX(0.1,Skills!D7-IF(TRUE=TRUE,3.0,0))),0)</f>
        <v/>
      </c>
      <c r="R3107">
        <f>IF(AND(Inputs!$B$38&lt;&gt;"pvp",Inputs!$B$43&gt;0),IF(MAX(0,Inputs!$B$43-B3139)&lt;=0,0,(INT(MAX(0,Inputs!$B$43-B3139)/IF(Inputs!$B$38="pvp",15,MAX(0.1,Skills!D7-IF(TRUE=TRUE,3.0,0))))+1)),0)</f>
        <v/>
      </c>
      <c r="S3107">
        <f>IFERROR((H3107*N3107*IF(AND(Inputs!$B$38&lt;&gt;"pvp",Inputs!$B$43&gt;0),((Skills!G7*((R3107-1)*IF(Skills!H7&gt;0,Skills!I7/Skills!H7,1)+IF(Skills!H7&gt;0,MIN(Skills!I7,MAX(0,MAX(0,Inputs!$B$43-B3139)-((R3107-1)*IF(Inputs!$B$38="pvp",15,MAX(0.1,Skills!D7-IF(TRUE=TRUE,3.0,0))))))/Skills!H7,1)))/Inputs!$B$43),G3107*Q3107))/N3107*IF(Inputs!$B$38="pvp",1,(1-Summary!$B$11)*1+Summary!$B$11*(MIN(Skills!R7,Inputs!$B$37))),0)</f>
        <v/>
      </c>
      <c r="T3107">
        <f>IF(C3107,(H3107*N3107*IF(AND(Inputs!$B$38&lt;&gt;"pvp",Inputs!$B$43&gt;0),((Skills!G7*((R3107-1)*IF(Skills!H7&gt;0,Skills!I7/Skills!H7,1)+IF(Skills!H7&gt;0,MIN(Skills!I7,MAX(0,MAX(0,Inputs!$B$43-B3139)-((R3107-1)*IF(Inputs!$B$38="pvp",15,MAX(0.1,Skills!D7-IF(TRUE=TRUE,3.0,0)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3139)-((R3107-1)*IF(Inputs!$B$38="pvp",15,MAX(0.1,Skills!D7-IF(TRUE=TRUE,3.0,0))))))/Skills!H7,1)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Skills!G9*IF(Skills!H9&gt;0,IF(Inputs!$B$38="pvp",MIN(Skills!I9,15),Skills!I9)/Skills!H9,1)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IFERROR(1/IF(Inputs!$B$38="pvp",15,MAX(0.1,Skills!D9-IF(TRUE=TRUE,3.0,0))),0)</f>
        <v/>
      </c>
      <c r="R3109">
        <f>IF(AND(Inputs!$B$38&lt;&gt;"pvp",Inputs!$B$43&gt;0),IF(MAX(0,Inputs!$B$43-B3139)&lt;=0,0,(INT(MAX(0,Inputs!$B$43-B3139)/IF(Inputs!$B$38="pvp",15,MAX(0.1,Skills!D9-IF(TRUE=TRUE,3.0,0))))+1)),0)</f>
        <v/>
      </c>
      <c r="S3109">
        <f>IFERROR((H3109*N3109*IF(AND(Inputs!$B$38&lt;&gt;"pvp",Inputs!$B$43&gt;0),((Skills!G9*((R3109-1)*IF(Skills!H9&gt;0,Skills!I9/Skills!H9,1)+IF(Skills!H9&gt;0,MIN(Skills!I9,MAX(0,MAX(0,Inputs!$B$43-B3139)-((R3109-1)*IF(Inputs!$B$38="pvp",15,MAX(0.1,Skills!D9-IF(TRUE=TRUE,3.0,0))))))/Skills!H9,1)))/Inputs!$B$43),G3109*Q3109))/N3109*IF(Inputs!$B$38="pvp",1,(1-Summary!$B$11)*1+Summary!$B$11*(MIN(Skills!R9,Inputs!$B$37))),0)</f>
        <v/>
      </c>
      <c r="T3109">
        <f>IF(C3109,(H3109*N3109*IF(AND(Inputs!$B$38&lt;&gt;"pvp",Inputs!$B$43&gt;0),((Skills!G9*((R3109-1)*IF(Skills!H9&gt;0,Skills!I9/Skills!H9,1)+IF(Skills!H9&gt;0,MIN(Skills!I9,MAX(0,MAX(0,Inputs!$B$43-B3139)-((R3109-1)*IF(Inputs!$B$38="pvp",15,MAX(0.1,Skills!D9-IF(TRUE=TRUE,3.0,0)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3139)-((R3109-1)*IF(Inputs!$B$38="pvp",15,MAX(0.1,Skills!D9-IF(TRUE=TRUE,3.0,0))))))/Skills!H9,1)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Skills!G10*IF(Skills!H10&gt;0,IF(Inputs!$B$38="pvp",MIN(Skills!I10,15),Skills!I10)/Skills!H10,1)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Skills!G11*IF(Skills!H11&gt;0,IF(Inputs!$B$38="pvp",MIN(Skills!I11,15),Skills!I11)/Skills!H11,1)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IFERROR(1/IF(Inputs!$B$38="pvp",15,MAX(0.1,Skills!D11-IF(TRUE=TRUE,3.0,0))),0)</f>
        <v/>
      </c>
      <c r="R3111">
        <f>IF(AND(Inputs!$B$38&lt;&gt;"pvp",Inputs!$B$43&gt;0),IF(MAX(0,Inputs!$B$43-B3139)&lt;=0,0,(INT(MAX(0,Inputs!$B$43-B3139)/IF(Inputs!$B$38="pvp",15,MAX(0.1,Skills!D11-IF(TRUE=TRUE,3.0,0))))+1)),0)</f>
        <v/>
      </c>
      <c r="S3111">
        <f>IFERROR((H3111*N3111*IF(AND(Inputs!$B$38&lt;&gt;"pvp",Inputs!$B$43&gt;0),((Skills!G11*((R3111-1)*IF(Skills!H11&gt;0,Skills!I11/Skills!H11,1)+IF(Skills!H11&gt;0,MIN(Skills!I11,MAX(0,MAX(0,Inputs!$B$43-B3139)-((R3111-1)*IF(Inputs!$B$38="pvp",15,MAX(0.1,Skills!D11-IF(TRUE=TRUE,3.0,0))))))/Skills!H11,1)))/Inputs!$B$43),G3111*Q3111))/N3111*IF(Inputs!$B$38="pvp",1,(1-Summary!$B$11)*1+Summary!$B$11*(MIN(Skills!R11,Inputs!$B$37))),0)</f>
        <v/>
      </c>
      <c r="T3111">
        <f>IF(C3111,(H3111*N3111*IF(AND(Inputs!$B$38&lt;&gt;"pvp",Inputs!$B$43&gt;0),((Skills!G11*((R3111-1)*IF(Skills!H11&gt;0,Skills!I11/Skills!H11,1)+IF(Skills!H11&gt;0,MIN(Skills!I11,MAX(0,MAX(0,Inputs!$B$43-B3139)-((R3111-1)*IF(Inputs!$B$38="pvp",15,MAX(0.1,Skills!D11-IF(TRUE=TRUE,3.0,0))))))/Skills!H11,1)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Inputs!$B$38&lt;&gt;"pvp",Inputs!$B$43=0),1,IF(IF(Inputs!$B$38="pvp",15,Inputs!$B$43)-(B3139)&lt;=0,1,MAX(0,IF(Inputs!$B$38="pvp",15,Inputs!$B$43)-MAX(5,B3139))/(IF(Inputs!$B$38="pvp",15,Inputs!$B$43)-(B3139))))*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Skills!I11/Skills!H11,1)+IF(Skills!H11&gt;0,MIN(Skills!I11,MAX(0,MAX(0,Inputs!$B$43-B3139)-((R3111-1)*IF(Inputs!$B$38="pvp",15,MAX(0.1,Skills!D11-IF(TRUE=TRUE,3.0,0))))))/Skills!H11,1)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Skills!G12*IF(Skills!H12&gt;0,IF(Inputs!$B$38="pvp",MIN(Skills!I12,15),Skills!I12)/Skills!H12,1)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Skills!G13*IF(Skills!H13&gt;0,IF(Inputs!$B$38="pvp",MIN(Skills!I13,15),Skills!I13)/Skills!H13,1)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Skills!G14*IF(Skills!H14&gt;0,IF(Inputs!$B$38="pvp",MIN(Skills!I14,15),Skills!I14)/Skills!H14,1)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Skills!G15*IF(Skills!H15&gt;0,IF(Inputs!$B$38="pvp",MIN(Skills!I15,15),Skills!I15)/Skills!H15,1)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IFERROR(1/IF(Inputs!$B$38="pvp",15,MAX(0.1,Skills!D15-IF(TRUE=TRUE,3.0,0))),0)</f>
        <v/>
      </c>
      <c r="R3115">
        <f>IF(AND(Inputs!$B$38&lt;&gt;"pvp",Inputs!$B$43&gt;0),IF(Inputs!$B$43&lt;=0,0,(INT(Inputs!$B$43/IF(Inputs!$B$38="pvp",15,MAX(0.1,Skills!D15-IF(TRUE=TRUE,3.0,0))))+1)),0)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Skills!G16*IF(Skills!H16&gt;0,IF(Inputs!$B$38="pvp",MIN(Skills!I16,15),Skills!I16)/Skills!H16,1)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IFERROR(1/IF(Inputs!$B$38="pvp",15,MAX(0.1,Skills!D16-IF(TRUE=TRUE,3.0,0))),0)</f>
        <v/>
      </c>
      <c r="R3116">
        <f>IF(AND(Inputs!$B$38&lt;&gt;"pvp",Inputs!$B$43&gt;0),IF(Inputs!$B$43&lt;=0,0,(INT(Inputs!$B$43/IF(Inputs!$B$38="pvp",15,MAX(0.1,Skills!D16-IF(TRUE=TRUE,3.0,0))))+1)),0)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Skills!G17*IF(Skills!H17&gt;0,IF(Inputs!$B$38="pvp",MIN(Skills!I17,15),Skills!I17)/Skills!H17,1)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Skills!G18*IF(Skills!H18&gt;0,IF(Inputs!$B$38="pvp",MIN(Skills!I18,15),Skills!I18)/Skills!H18,1)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IFERROR(1/IF(Inputs!$B$38="pvp",15,MAX(0.1,Skills!D18-IF(TRUE=TRUE,3.0,0))),0)</f>
        <v/>
      </c>
      <c r="R3118">
        <f>IF(AND(Inputs!$B$38&lt;&gt;"pvp",Inputs!$B$43&gt;0),IF(Inputs!$B$43&lt;=0,0,(INT(Inputs!$B$43/IF(Inputs!$B$38="pvp",15,MAX(0.1,Skills!D18-IF(TRUE=TRUE,3.0,0))))+1)),0)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Skills!G19*IF(Skills!H19&gt;0,IF(Inputs!$B$38="pvp",MIN(Skills!I19,15),Skills!I19)/Skills!H19,1)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Skills!G20*IF(Skills!H20&gt;0,IF(Inputs!$B$38="pvp",MIN(Skills!I20,15),Skills!I20)/Skills!H20,1)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Skills!G21*IF(Skills!H21&gt;0,IF(Inputs!$B$38="pvp",MIN(Skills!I21,15),Skills!I21)/Skills!H21,1)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Skills!G22*IF(Skills!H22&gt;0,IF(Inputs!$B$38="pvp",MIN(Skills!I22,15),Skills!I22)/Skills!H22,1)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Skills!G23*IF(Skills!H23&gt;0,IF(Inputs!$B$38="pvp",MIN(Skills!I23,15),Skills!I23)/Skills!H23,1)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Skills!G24*IF(Skills!H24&gt;0,IF(Inputs!$B$38="pvp",MIN(Skills!I24,15),Skills!I24)/Skills!H24,1)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Skills!G25*IF(Skills!H25&gt;0,IF(Inputs!$B$38="pvp",MIN(Skills!I25,15),Skills!I25)/Skills!H25,1)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Skills!G26*IF(Skills!H26&gt;0,IF(Inputs!$B$38="pvp",MIN(Skills!I26,15),Skills!I26)/Skills!H26,1)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Skills!G27*IF(Skills!H27&gt;0,IF(Inputs!$B$38="pvp",MIN(Skills!I27,15),Skills!I27)/Skills!H27,1)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Skills!G28*IF(Skills!H28&gt;0,IF(Inputs!$B$38="pvp",MIN(Skills!I28,15),Skills!I28)/Skills!H28,1)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Skills!G29*IF(Skills!H29&gt;0,IF(Inputs!$B$38="pvp",MIN(Skills!I29,15),Skills!I29)/Skills!H29,1)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MIN((Skills!T15*(1+Inputs!$B$34/100)),(1/Q3115))+MIN((Skills!T15*(1+Inputs!$B$34/100)),MAX(0,Inputs!$B$43-((R3115-1)*(1/Q3115)))))/Inputs!$B$43),IF(Inputs!$B$38="pvp",MIN((Skills!T15*(1+Inputs!$B$34/100)),15)/15,MIN(1,(Skills!T15*(1+Inputs!$B$34/100))/(1/Q3115)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t="n">
        <v>0</v>
      </c>
    </row>
    <row r="3133">
      <c r="A3133" t="inlineStr">
        <is>
          <t>Attack Speed Buff Bonus %</t>
        </is>
      </c>
      <c r="B3133">
        <f>((C3118=TRUE)*F3118*IF(AND(Inputs!$B$38&lt;&gt;"pvp",Inputs!$B$43&gt;0),(((R3118-1)*MIN((Skills!T18*(1+Inputs!$B$34/100)),(1/Q3118))+MIN((Skills!T18*(1+Inputs!$B$34/100)),MAX(0,Inputs!$B$43-((R3118-1)*(1/Q3118)))))/Inputs!$B$43),IF(Inputs!$B$38="pvp",MIN((Skills!T18*(1+Inputs!$B$34/100)),15)/15,MIN(1,(Skills!T18*(1+Inputs!$B$34/100))/(1/Q3118)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MIN((Skills!T16*(1+Inputs!$B$34/100)),(1/Q3116))+MIN((Skills!T16*(1+Inputs!$B$34/100)),MAX(0,Inputs!$B$43-((R3116-1)*(1/Q3116)))))/Inputs!$B$43),IF(Inputs!$B$38="pvp",MIN((Skills!T16*(1+Inputs!$B$34/100)),15)/15,MIN(1,(Skills!T16*(1+Inputs!$B$34/100))/(1/Q3116)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Skills!G2*IF(Skills!H2&gt;0,IF(Inputs!$B$38="pvp",MIN(Skills!I2,15),Skills!I2)/Skills!H2,1)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Skills!G5*IF(Skills!H5&gt;0,IF(Inputs!$B$38="pvp",MIN(Skills!I5,15),Skills!I5)/Skills!H5,1)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IFERROR(1/IF(Inputs!$B$38="pvp",15,MAX(0.1,Skills!D5-IF(TRUE=TRUE,3.5,0))),0)</f>
        <v/>
      </c>
      <c r="R3150">
        <f>IF(AND(Inputs!$B$38&lt;&gt;"pvp",Inputs!$B$43&gt;0),IF(MAX(0,Inputs!$B$43-B3184)&lt;=0,0,(INT(MAX(0,Inputs!$B$43-B3184)/IF(Inputs!$B$38="pvp",15,MAX(0.1,Skills!D5-IF(TRUE=TRUE,3.5,0))))+1)),0)</f>
        <v/>
      </c>
      <c r="S3150">
        <f>IFERROR((H3150*N3150*IF(AND(Inputs!$B$38&lt;&gt;"pvp",Inputs!$B$43&gt;0),((Skills!G5*((R3150-1)*IF(Skills!H5&gt;0,Skills!I5/Skills!H5,1)+IF(Skills!H5&gt;0,MIN(Skills!I5,MAX(0,MAX(0,Inputs!$B$43-B3184)-((R3150-1)*IF(Inputs!$B$38="pvp",15,MAX(0.1,Skills!D5-IF(TRUE=TRUE,3.5,0))))))/Skills!H5,1)))/Inputs!$B$43),G3150*Q3150))/N3150*IF(Inputs!$B$38="pvp",1,(1-Summary!$B$11)*1+Summary!$B$11*(MIN(Skills!R5,Inputs!$B$37))),0)</f>
        <v/>
      </c>
      <c r="T3150">
        <f>IF(C3150,(H3150*N3150*IF(AND(Inputs!$B$38&lt;&gt;"pvp",Inputs!$B$43&gt;0),((Skills!G5*((R3150-1)*IF(Skills!H5&gt;0,Skills!I5/Skills!H5,1)+IF(Skills!H5&gt;0,MIN(Skills!I5,MAX(0,MAX(0,Inputs!$B$43-B3184)-((R3150-1)*IF(Inputs!$B$38="pvp",15,MAX(0.1,Skills!D5-IF(TRUE=TRUE,3.5,0))))))/Skills!H5,1)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Skills!I5/Skills!H5,1)+IF(Skills!H5&gt;0,MIN(Skills!I5,MAX(0,MAX(0,Inputs!$B$43-B3184)-((R3150-1)*IF(Inputs!$B$38="pvp",15,MAX(0.1,Skills!D5-IF(TRUE=TRUE,3.5,0))))))/Skills!H5,1)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Skills!G6*IF(Skills!H6&gt;0,IF(Inputs!$B$38="pvp",MIN(Skills!I6,15),Skills!I6)/Skills!H6,1)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IFERROR(1/IF(Inputs!$B$38="pvp",15,MAX(0.1,Skills!D6-IF(TRUE=TRUE,3.5,0))),0)</f>
        <v/>
      </c>
      <c r="R3151">
        <f>IF(AND(Inputs!$B$38&lt;&gt;"pvp",Inputs!$B$43&gt;0),IF(MAX(0,Inputs!$B$43-B3184)&lt;=0,0,(INT(MAX(0,Inputs!$B$43-B3184)/IF(Inputs!$B$38="pvp",15,MAX(0.1,Skills!D6-IF(TRUE=TRUE,3.5,0))))+1)),0)</f>
        <v/>
      </c>
      <c r="S3151">
        <f>IFERROR((H3151*N3151*IF(AND(Inputs!$B$38&lt;&gt;"pvp",Inputs!$B$43&gt;0),((Skills!G6*((R3151-1)*IF(Skills!H6&gt;0,Skills!I6/Skills!H6,1)+IF(Skills!H6&gt;0,MIN(Skills!I6,MAX(0,MAX(0,Inputs!$B$43-B3184)-((R3151-1)*IF(Inputs!$B$38="pvp",15,MAX(0.1,Skills!D6-IF(TRUE=TRUE,3.5,0))))))/Skills!H6,1)))/Inputs!$B$43),G3151*Q3151))/N3151*IF(Inputs!$B$38="pvp",1,(1-Summary!$B$11)*1+Summary!$B$11*(MIN(Skills!R6,Inputs!$B$37))),0)</f>
        <v/>
      </c>
      <c r="T3151">
        <f>IF(C3151,(H3151*N3151*IF(AND(Inputs!$B$38&lt;&gt;"pvp",Inputs!$B$43&gt;0),((Skills!G6*((R3151-1)*IF(Skills!H6&gt;0,Skills!I6/Skills!H6,1)+IF(Skills!H6&gt;0,MIN(Skills!I6,MAX(0,MAX(0,Inputs!$B$43-B3184)-((R3151-1)*IF(Inputs!$B$38="pvp",15,MAX(0.1,Skills!D6-IF(TRUE=TRUE,3.5,0)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3184)-((R3151-1)*IF(Inputs!$B$38="pvp",15,MAX(0.1,Skills!D6-IF(TRUE=TRUE,3.5,0))))))/Skills!H6,1)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Skills!G7*IF(Skills!H7&gt;0,IF(Inputs!$B$38="pvp",MIN(Skills!I7,15),Skills!I7)/Skills!H7,1)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IFERROR(1/IF(Inputs!$B$38="pvp",15,MAX(0.1,Skills!D7-IF(TRUE=TRUE,3.5,0))),0)</f>
        <v/>
      </c>
      <c r="R3152">
        <f>IF(AND(Inputs!$B$38&lt;&gt;"pvp",Inputs!$B$43&gt;0),IF(MAX(0,Inputs!$B$43-B3184)&lt;=0,0,(INT(MAX(0,Inputs!$B$43-B3184)/IF(Inputs!$B$38="pvp",15,MAX(0.1,Skills!D7-IF(TRUE=TRUE,3.5,0))))+1)),0)</f>
        <v/>
      </c>
      <c r="S3152">
        <f>IFERROR((H3152*N3152*IF(AND(Inputs!$B$38&lt;&gt;"pvp",Inputs!$B$43&gt;0),((Skills!G7*((R3152-1)*IF(Skills!H7&gt;0,Skills!I7/Skills!H7,1)+IF(Skills!H7&gt;0,MIN(Skills!I7,MAX(0,MAX(0,Inputs!$B$43-B3184)-((R3152-1)*IF(Inputs!$B$38="pvp",15,MAX(0.1,Skills!D7-IF(TRUE=TRUE,3.5,0))))))/Skills!H7,1)))/Inputs!$B$43),G3152*Q3152))/N3152*IF(Inputs!$B$38="pvp",1,(1-Summary!$B$11)*1+Summary!$B$11*(MIN(Skills!R7,Inputs!$B$37))),0)</f>
        <v/>
      </c>
      <c r="T3152">
        <f>IF(C3152,(H3152*N3152*IF(AND(Inputs!$B$38&lt;&gt;"pvp",Inputs!$B$43&gt;0),((Skills!G7*((R3152-1)*IF(Skills!H7&gt;0,Skills!I7/Skills!H7,1)+IF(Skills!H7&gt;0,MIN(Skills!I7,MAX(0,MAX(0,Inputs!$B$43-B3184)-((R3152-1)*IF(Inputs!$B$38="pvp",15,MAX(0.1,Skills!D7-IF(TRUE=TRUE,3.5,0)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3184)-((R3152-1)*IF(Inputs!$B$38="pvp",15,MAX(0.1,Skills!D7-IF(TRUE=TRUE,3.5,0))))))/Skills!H7,1)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Skills!G9*IF(Skills!H9&gt;0,IF(Inputs!$B$38="pvp",MIN(Skills!I9,15),Skills!I9)/Skills!H9,1)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IFERROR(1/IF(Inputs!$B$38="pvp",15,MAX(0.1,Skills!D9-IF(TRUE=TRUE,3.5,0))),0)</f>
        <v/>
      </c>
      <c r="R3154">
        <f>IF(AND(Inputs!$B$38&lt;&gt;"pvp",Inputs!$B$43&gt;0),IF(MAX(0,Inputs!$B$43-B3184)&lt;=0,0,(INT(MAX(0,Inputs!$B$43-B3184)/IF(Inputs!$B$38="pvp",15,MAX(0.1,Skills!D9-IF(TRUE=TRUE,3.5,0))))+1)),0)</f>
        <v/>
      </c>
      <c r="S3154">
        <f>IFERROR((H3154*N3154*IF(AND(Inputs!$B$38&lt;&gt;"pvp",Inputs!$B$43&gt;0),((Skills!G9*((R3154-1)*IF(Skills!H9&gt;0,Skills!I9/Skills!H9,1)+IF(Skills!H9&gt;0,MIN(Skills!I9,MAX(0,MAX(0,Inputs!$B$43-B3184)-((R3154-1)*IF(Inputs!$B$38="pvp",15,MAX(0.1,Skills!D9-IF(TRUE=TRUE,3.5,0))))))/Skills!H9,1)))/Inputs!$B$43),G3154*Q3154))/N3154*IF(Inputs!$B$38="pvp",1,(1-Summary!$B$11)*1+Summary!$B$11*(MIN(Skills!R9,Inputs!$B$37))),0)</f>
        <v/>
      </c>
      <c r="T3154">
        <f>IF(C3154,(H3154*N3154*IF(AND(Inputs!$B$38&lt;&gt;"pvp",Inputs!$B$43&gt;0),((Skills!G9*((R3154-1)*IF(Skills!H9&gt;0,Skills!I9/Skills!H9,1)+IF(Skills!H9&gt;0,MIN(Skills!I9,MAX(0,MAX(0,Inputs!$B$43-B3184)-((R3154-1)*IF(Inputs!$B$38="pvp",15,MAX(0.1,Skills!D9-IF(TRUE=TRUE,3.5,0)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3184)-((R3154-1)*IF(Inputs!$B$38="pvp",15,MAX(0.1,Skills!D9-IF(TRUE=TRUE,3.5,0))))))/Skills!H9,1)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Skills!G10*IF(Skills!H10&gt;0,IF(Inputs!$B$38="pvp",MIN(Skills!I10,15),Skills!I10)/Skills!H10,1)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Skills!G11*IF(Skills!H11&gt;0,IF(Inputs!$B$38="pvp",MIN(Skills!I11,15),Skills!I11)/Skills!H11,1)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IFERROR(1/IF(Inputs!$B$38="pvp",15,MAX(0.1,Skills!D11-IF(TRUE=TRUE,3.5,0))),0)</f>
        <v/>
      </c>
      <c r="R3156">
        <f>IF(AND(Inputs!$B$38&lt;&gt;"pvp",Inputs!$B$43&gt;0),IF(MAX(0,Inputs!$B$43-B3184)&lt;=0,0,(INT(MAX(0,Inputs!$B$43-B3184)/IF(Inputs!$B$38="pvp",15,MAX(0.1,Skills!D11-IF(TRUE=TRUE,3.5,0))))+1)),0)</f>
        <v/>
      </c>
      <c r="S3156">
        <f>IFERROR((H3156*N3156*IF(AND(Inputs!$B$38&lt;&gt;"pvp",Inputs!$B$43&gt;0),((Skills!G11*((R3156-1)*IF(Skills!H11&gt;0,Skills!I11/Skills!H11,1)+IF(Skills!H11&gt;0,MIN(Skills!I11,MAX(0,MAX(0,Inputs!$B$43-B3184)-((R3156-1)*IF(Inputs!$B$38="pvp",15,MAX(0.1,Skills!D11-IF(TRUE=TRUE,3.5,0))))))/Skills!H11,1)))/Inputs!$B$43),G3156*Q3156))/N3156*IF(Inputs!$B$38="pvp",1,(1-Summary!$B$11)*1+Summary!$B$11*(MIN(Skills!R11,Inputs!$B$37))),0)</f>
        <v/>
      </c>
      <c r="T3156">
        <f>IF(C3156,(H3156*N3156*IF(AND(Inputs!$B$38&lt;&gt;"pvp",Inputs!$B$43&gt;0),((Skills!G11*((R3156-1)*IF(Skills!H11&gt;0,Skills!I11/Skills!H11,1)+IF(Skills!H11&gt;0,MIN(Skills!I11,MAX(0,MAX(0,Inputs!$B$43-B3184)-((R3156-1)*IF(Inputs!$B$38="pvp",15,MAX(0.1,Skills!D11-IF(TRUE=TRUE,3.5,0))))))/Skills!H11,1)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Inputs!$B$38&lt;&gt;"pvp",Inputs!$B$43=0),1,IF(IF(Inputs!$B$38="pvp",15,Inputs!$B$43)-(B3184)&lt;=0,1,MAX(0,IF(Inputs!$B$38="pvp",15,Inputs!$B$43)-MAX(5,B3184))/(IF(Inputs!$B$38="pvp",15,Inputs!$B$43)-(B3184))))*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Skills!I11/Skills!H11,1)+IF(Skills!H11&gt;0,MIN(Skills!I11,MAX(0,MAX(0,Inputs!$B$43-B3184)-((R3156-1)*IF(Inputs!$B$38="pvp",15,MAX(0.1,Skills!D11-IF(TRUE=TRUE,3.5,0))))))/Skills!H11,1)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Skills!G12*IF(Skills!H12&gt;0,IF(Inputs!$B$38="pvp",MIN(Skills!I12,15),Skills!I12)/Skills!H12,1)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Skills!G13*IF(Skills!H13&gt;0,IF(Inputs!$B$38="pvp",MIN(Skills!I13,15),Skills!I13)/Skills!H13,1)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Skills!G14*IF(Skills!H14&gt;0,IF(Inputs!$B$38="pvp",MIN(Skills!I14,15),Skills!I14)/Skills!H14,1)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Skills!G15*IF(Skills!H15&gt;0,IF(Inputs!$B$38="pvp",MIN(Skills!I15,15),Skills!I15)/Skills!H15,1)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IFERROR(1/IF(Inputs!$B$38="pvp",15,MAX(0.1,Skills!D15-IF(TRUE=TRUE,3.5,0))),0)</f>
        <v/>
      </c>
      <c r="R3160">
        <f>IF(AND(Inputs!$B$38&lt;&gt;"pvp",Inputs!$B$43&gt;0),IF(Inputs!$B$43&lt;=0,0,(INT(Inputs!$B$43/IF(Inputs!$B$38="pvp",15,MAX(0.1,Skills!D15-IF(TRUE=TRUE,3.5,0))))+1)),0)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Skills!G16*IF(Skills!H16&gt;0,IF(Inputs!$B$38="pvp",MIN(Skills!I16,15),Skills!I16)/Skills!H16,1)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IFERROR(1/IF(Inputs!$B$38="pvp",15,MAX(0.1,Skills!D16-IF(TRUE=TRUE,3.5,0))),0)</f>
        <v/>
      </c>
      <c r="R3161">
        <f>IF(AND(Inputs!$B$38&lt;&gt;"pvp",Inputs!$B$43&gt;0),IF(Inputs!$B$43&lt;=0,0,(INT(Inputs!$B$43/IF(Inputs!$B$38="pvp",15,MAX(0.1,Skills!D16-IF(TRUE=TRUE,3.5,0))))+1)),0)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Skills!G17*IF(Skills!H17&gt;0,IF(Inputs!$B$38="pvp",MIN(Skills!I17,15),Skills!I17)/Skills!H17,1)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Skills!G18*IF(Skills!H18&gt;0,IF(Inputs!$B$38="pvp",MIN(Skills!I18,15),Skills!I18)/Skills!H18,1)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IFERROR(1/IF(Inputs!$B$38="pvp",15,MAX(0.1,Skills!D18-IF(TRUE=TRUE,3.5,0))),0)</f>
        <v/>
      </c>
      <c r="R3163">
        <f>IF(AND(Inputs!$B$38&lt;&gt;"pvp",Inputs!$B$43&gt;0),IF(Inputs!$B$43&lt;=0,0,(INT(Inputs!$B$43/IF(Inputs!$B$38="pvp",15,MAX(0.1,Skills!D18-IF(TRUE=TRUE,3.5,0))))+1)),0)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Skills!G19*IF(Skills!H19&gt;0,IF(Inputs!$B$38="pvp",MIN(Skills!I19,15),Skills!I19)/Skills!H19,1)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Skills!G20*IF(Skills!H20&gt;0,IF(Inputs!$B$38="pvp",MIN(Skills!I20,15),Skills!I20)/Skills!H20,1)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Skills!G21*IF(Skills!H21&gt;0,IF(Inputs!$B$38="pvp",MIN(Skills!I21,15),Skills!I21)/Skills!H21,1)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Skills!G22*IF(Skills!H22&gt;0,IF(Inputs!$B$38="pvp",MIN(Skills!I22,15),Skills!I22)/Skills!H22,1)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Skills!G23*IF(Skills!H23&gt;0,IF(Inputs!$B$38="pvp",MIN(Skills!I23,15),Skills!I23)/Skills!H23,1)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Skills!G24*IF(Skills!H24&gt;0,IF(Inputs!$B$38="pvp",MIN(Skills!I24,15),Skills!I24)/Skills!H24,1)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Skills!G25*IF(Skills!H25&gt;0,IF(Inputs!$B$38="pvp",MIN(Skills!I25,15),Skills!I25)/Skills!H25,1)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Skills!G26*IF(Skills!H26&gt;0,IF(Inputs!$B$38="pvp",MIN(Skills!I26,15),Skills!I26)/Skills!H26,1)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Skills!G27*IF(Skills!H27&gt;0,IF(Inputs!$B$38="pvp",MIN(Skills!I27,15),Skills!I27)/Skills!H27,1)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Skills!G28*IF(Skills!H28&gt;0,IF(Inputs!$B$38="pvp",MIN(Skills!I28,15),Skills!I28)/Skills!H28,1)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Skills!G29*IF(Skills!H29&gt;0,IF(Inputs!$B$38="pvp",MIN(Skills!I29,15),Skills!I29)/Skills!H29,1)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MIN((Skills!T15*(1+Inputs!$B$34/100)),(1/Q3160))+MIN((Skills!T15*(1+Inputs!$B$34/100)),MAX(0,Inputs!$B$43-((R3160-1)*(1/Q3160)))))/Inputs!$B$43),IF(Inputs!$B$38="pvp",MIN((Skills!T15*(1+Inputs!$B$34/100)),15)/15,MIN(1,(Skills!T15*(1+Inputs!$B$34/100))/(1/Q3160)))))+((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t="n">
        <v>0</v>
      </c>
    </row>
    <row r="3178">
      <c r="A3178" t="inlineStr">
        <is>
          <t>Attack Speed Buff Bonus %</t>
        </is>
      </c>
      <c r="B3178">
        <f>((C3163=TRUE)*F3163*IF(AND(Inputs!$B$38&lt;&gt;"pvp",Inputs!$B$43&gt;0),(((R3163-1)*MIN((Skills!T18*(1+Inputs!$B$34/100)),(1/Q3163))+MIN((Skills!T18*(1+Inputs!$B$34/100)),MAX(0,Inputs!$B$43-((R3163-1)*(1/Q3163)))))/Inputs!$B$43),IF(Inputs!$B$38="pvp",MIN((Skills!T18*(1+Inputs!$B$34/100)),15)/15,MIN(1,(Skills!T18*(1+Inputs!$B$34/100))/(1/Q3163)))))</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MIN((Skills!T16*(1+Inputs!$B$34/100)),(1/Q3161))+MIN((Skills!T16*(1+Inputs!$B$34/100)),MAX(0,Inputs!$B$43-((R3161-1)*(1/Q3161)))))/Inputs!$B$43),IF(Inputs!$B$38="pvp",MIN((Skills!T16*(1+Inputs!$B$34/100)),15)/15,MIN(1,(Skills!T16*(1+Inputs!$B$34/100))/(1/Q3161))))</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Skills!G2*IF(Skills!H2&gt;0,IF(Inputs!$B$38="pvp",MIN(Skills!I2,15),Skills!I2)/Skills!H2,1)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Skills!G5*IF(Skills!H5&gt;0,IF(Inputs!$B$38="pvp",MIN(Skills!I5,15),Skills!I5)/Skills!H5,1)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IFERROR(1/IF(Inputs!$B$38="pvp",15,MAX(0.1,Skills!D5-IF(TRUE=TRUE,4.0,0))),0)</f>
        <v/>
      </c>
      <c r="R3195">
        <f>IF(AND(Inputs!$B$38&lt;&gt;"pvp",Inputs!$B$43&gt;0),IF(MAX(0,Inputs!$B$43-B3229)&lt;=0,0,(INT(MAX(0,Inputs!$B$43-B3229)/IF(Inputs!$B$38="pvp",15,MAX(0.1,Skills!D5-IF(TRUE=TRUE,4.0,0))))+1)),0)</f>
        <v/>
      </c>
      <c r="S3195">
        <f>IFERROR((H3195*N3195*IF(AND(Inputs!$B$38&lt;&gt;"pvp",Inputs!$B$43&gt;0),((Skills!G5*((R3195-1)*IF(Skills!H5&gt;0,Skills!I5/Skills!H5,1)+IF(Skills!H5&gt;0,MIN(Skills!I5,MAX(0,MAX(0,Inputs!$B$43-B3229)-((R3195-1)*IF(Inputs!$B$38="pvp",15,MAX(0.1,Skills!D5-IF(TRUE=TRUE,4.0,0))))))/Skills!H5,1)))/Inputs!$B$43),G3195*Q3195))/N3195*IF(Inputs!$B$38="pvp",1,(1-Summary!$B$11)*1+Summary!$B$11*(MIN(Skills!R5,Inputs!$B$37))),0)</f>
        <v/>
      </c>
      <c r="T3195">
        <f>IF(C3195,(H3195*N3195*IF(AND(Inputs!$B$38&lt;&gt;"pvp",Inputs!$B$43&gt;0),((Skills!G5*((R3195-1)*IF(Skills!H5&gt;0,Skills!I5/Skills!H5,1)+IF(Skills!H5&gt;0,MIN(Skills!I5,MAX(0,MAX(0,Inputs!$B$43-B3229)-((R3195-1)*IF(Inputs!$B$38="pvp",15,MAX(0.1,Skills!D5-IF(TRUE=TRUE,4.0,0))))))/Skills!H5,1)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Skills!I5/Skills!H5,1)+IF(Skills!H5&gt;0,MIN(Skills!I5,MAX(0,MAX(0,Inputs!$B$43-B3229)-((R3195-1)*IF(Inputs!$B$38="pvp",15,MAX(0.1,Skills!D5-IF(TRUE=TRUE,4.0,0))))))/Skills!H5,1)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Skills!G6*IF(Skills!H6&gt;0,IF(Inputs!$B$38="pvp",MIN(Skills!I6,15),Skills!I6)/Skills!H6,1)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IFERROR(1/IF(Inputs!$B$38="pvp",15,MAX(0.1,Skills!D6-IF(TRUE=TRUE,4.0,0))),0)</f>
        <v/>
      </c>
      <c r="R3196">
        <f>IF(AND(Inputs!$B$38&lt;&gt;"pvp",Inputs!$B$43&gt;0),IF(MAX(0,Inputs!$B$43-B3229)&lt;=0,0,(INT(MAX(0,Inputs!$B$43-B3229)/IF(Inputs!$B$38="pvp",15,MAX(0.1,Skills!D6-IF(TRUE=TRUE,4.0,0))))+1)),0)</f>
        <v/>
      </c>
      <c r="S3196">
        <f>IFERROR((H3196*N3196*IF(AND(Inputs!$B$38&lt;&gt;"pvp",Inputs!$B$43&gt;0),((Skills!G6*((R3196-1)*IF(Skills!H6&gt;0,Skills!I6/Skills!H6,1)+IF(Skills!H6&gt;0,MIN(Skills!I6,MAX(0,MAX(0,Inputs!$B$43-B3229)-((R3196-1)*IF(Inputs!$B$38="pvp",15,MAX(0.1,Skills!D6-IF(TRUE=TRUE,4.0,0))))))/Skills!H6,1)))/Inputs!$B$43),G3196*Q3196))/N3196*IF(Inputs!$B$38="pvp",1,(1-Summary!$B$11)*1+Summary!$B$11*(MIN(Skills!R6,Inputs!$B$37))),0)</f>
        <v/>
      </c>
      <c r="T3196">
        <f>IF(C3196,(H3196*N3196*IF(AND(Inputs!$B$38&lt;&gt;"pvp",Inputs!$B$43&gt;0),((Skills!G6*((R3196-1)*IF(Skills!H6&gt;0,Skills!I6/Skills!H6,1)+IF(Skills!H6&gt;0,MIN(Skills!I6,MAX(0,MAX(0,Inputs!$B$43-B3229)-((R3196-1)*IF(Inputs!$B$38="pvp",15,MAX(0.1,Skills!D6-IF(TRUE=TRUE,4.0,0)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3229)-((R3196-1)*IF(Inputs!$B$38="pvp",15,MAX(0.1,Skills!D6-IF(TRUE=TRUE,4.0,0))))))/Skills!H6,1)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Skills!G7*IF(Skills!H7&gt;0,IF(Inputs!$B$38="pvp",MIN(Skills!I7,15),Skills!I7)/Skills!H7,1)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IFERROR(1/IF(Inputs!$B$38="pvp",15,MAX(0.1,Skills!D7-IF(TRUE=TRUE,4.0,0))),0)</f>
        <v/>
      </c>
      <c r="R3197">
        <f>IF(AND(Inputs!$B$38&lt;&gt;"pvp",Inputs!$B$43&gt;0),IF(MAX(0,Inputs!$B$43-B3229)&lt;=0,0,(INT(MAX(0,Inputs!$B$43-B3229)/IF(Inputs!$B$38="pvp",15,MAX(0.1,Skills!D7-IF(TRUE=TRUE,4.0,0))))+1)),0)</f>
        <v/>
      </c>
      <c r="S3197">
        <f>IFERROR((H3197*N3197*IF(AND(Inputs!$B$38&lt;&gt;"pvp",Inputs!$B$43&gt;0),((Skills!G7*((R3197-1)*IF(Skills!H7&gt;0,Skills!I7/Skills!H7,1)+IF(Skills!H7&gt;0,MIN(Skills!I7,MAX(0,MAX(0,Inputs!$B$43-B3229)-((R3197-1)*IF(Inputs!$B$38="pvp",15,MAX(0.1,Skills!D7-IF(TRUE=TRUE,4.0,0))))))/Skills!H7,1)))/Inputs!$B$43),G3197*Q3197))/N3197*IF(Inputs!$B$38="pvp",1,(1-Summary!$B$11)*1+Summary!$B$11*(MIN(Skills!R7,Inputs!$B$37))),0)</f>
        <v/>
      </c>
      <c r="T3197">
        <f>IF(C3197,(H3197*N3197*IF(AND(Inputs!$B$38&lt;&gt;"pvp",Inputs!$B$43&gt;0),((Skills!G7*((R3197-1)*IF(Skills!H7&gt;0,Skills!I7/Skills!H7,1)+IF(Skills!H7&gt;0,MIN(Skills!I7,MAX(0,MAX(0,Inputs!$B$43-B3229)-((R3197-1)*IF(Inputs!$B$38="pvp",15,MAX(0.1,Skills!D7-IF(TRUE=TRUE,4.0,0)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3229)-((R3197-1)*IF(Inputs!$B$38="pvp",15,MAX(0.1,Skills!D7-IF(TRUE=TRUE,4.0,0))))))/Skills!H7,1)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Skills!G9*IF(Skills!H9&gt;0,IF(Inputs!$B$38="pvp",MIN(Skills!I9,15),Skills!I9)/Skills!H9,1)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IFERROR(1/IF(Inputs!$B$38="pvp",15,MAX(0.1,Skills!D9-IF(TRUE=TRUE,4.0,0))),0)</f>
        <v/>
      </c>
      <c r="R3199">
        <f>IF(AND(Inputs!$B$38&lt;&gt;"pvp",Inputs!$B$43&gt;0),IF(MAX(0,Inputs!$B$43-B3229)&lt;=0,0,(INT(MAX(0,Inputs!$B$43-B3229)/IF(Inputs!$B$38="pvp",15,MAX(0.1,Skills!D9-IF(TRUE=TRUE,4.0,0))))+1)),0)</f>
        <v/>
      </c>
      <c r="S3199">
        <f>IFERROR((H3199*N3199*IF(AND(Inputs!$B$38&lt;&gt;"pvp",Inputs!$B$43&gt;0),((Skills!G9*((R3199-1)*IF(Skills!H9&gt;0,Skills!I9/Skills!H9,1)+IF(Skills!H9&gt;0,MIN(Skills!I9,MAX(0,MAX(0,Inputs!$B$43-B3229)-((R3199-1)*IF(Inputs!$B$38="pvp",15,MAX(0.1,Skills!D9-IF(TRUE=TRUE,4.0,0))))))/Skills!H9,1)))/Inputs!$B$43),G3199*Q3199))/N3199*IF(Inputs!$B$38="pvp",1,(1-Summary!$B$11)*1+Summary!$B$11*(MIN(Skills!R9,Inputs!$B$37))),0)</f>
        <v/>
      </c>
      <c r="T3199">
        <f>IF(C3199,(H3199*N3199*IF(AND(Inputs!$B$38&lt;&gt;"pvp",Inputs!$B$43&gt;0),((Skills!G9*((R3199-1)*IF(Skills!H9&gt;0,Skills!I9/Skills!H9,1)+IF(Skills!H9&gt;0,MIN(Skills!I9,MAX(0,MAX(0,Inputs!$B$43-B3229)-((R3199-1)*IF(Inputs!$B$38="pvp",15,MAX(0.1,Skills!D9-IF(TRUE=TRUE,4.0,0)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3229)-((R3199-1)*IF(Inputs!$B$38="pvp",15,MAX(0.1,Skills!D9-IF(TRUE=TRUE,4.0,0))))))/Skills!H9,1)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Skills!G10*IF(Skills!H10&gt;0,IF(Inputs!$B$38="pvp",MIN(Skills!I10,15),Skills!I10)/Skills!H10,1)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Skills!G11*IF(Skills!H11&gt;0,IF(Inputs!$B$38="pvp",MIN(Skills!I11,15),Skills!I11)/Skills!H11,1)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IFERROR(1/IF(Inputs!$B$38="pvp",15,MAX(0.1,Skills!D11-IF(TRUE=TRUE,4.0,0))),0)</f>
        <v/>
      </c>
      <c r="R3201">
        <f>IF(AND(Inputs!$B$38&lt;&gt;"pvp",Inputs!$B$43&gt;0),IF(MAX(0,Inputs!$B$43-B3229)&lt;=0,0,(INT(MAX(0,Inputs!$B$43-B3229)/IF(Inputs!$B$38="pvp",15,MAX(0.1,Skills!D11-IF(TRUE=TRUE,4.0,0))))+1)),0)</f>
        <v/>
      </c>
      <c r="S3201">
        <f>IFERROR((H3201*N3201*IF(AND(Inputs!$B$38&lt;&gt;"pvp",Inputs!$B$43&gt;0),((Skills!G11*((R3201-1)*IF(Skills!H11&gt;0,Skills!I11/Skills!H11,1)+IF(Skills!H11&gt;0,MIN(Skills!I11,MAX(0,MAX(0,Inputs!$B$43-B3229)-((R3201-1)*IF(Inputs!$B$38="pvp",15,MAX(0.1,Skills!D11-IF(TRUE=TRUE,4.0,0))))))/Skills!H11,1)))/Inputs!$B$43),G3201*Q3201))/N3201*IF(Inputs!$B$38="pvp",1,(1-Summary!$B$11)*1+Summary!$B$11*(MIN(Skills!R11,Inputs!$B$37))),0)</f>
        <v/>
      </c>
      <c r="T3201">
        <f>IF(C3201,(H3201*N3201*IF(AND(Inputs!$B$38&lt;&gt;"pvp",Inputs!$B$43&gt;0),((Skills!G11*((R3201-1)*IF(Skills!H11&gt;0,Skills!I11/Skills!H11,1)+IF(Skills!H11&gt;0,MIN(Skills!I11,MAX(0,MAX(0,Inputs!$B$43-B3229)-((R3201-1)*IF(Inputs!$B$38="pvp",15,MAX(0.1,Skills!D11-IF(TRUE=TRUE,4.0,0))))))/Skills!H11,1)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Inputs!$B$38&lt;&gt;"pvp",Inputs!$B$43=0),1,IF(IF(Inputs!$B$38="pvp",15,Inputs!$B$43)-(B3229)&lt;=0,1,MAX(0,IF(Inputs!$B$38="pvp",15,Inputs!$B$43)-MAX(5,B3229))/(IF(Inputs!$B$38="pvp",15,Inputs!$B$43)-(B3229))))*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Skills!I11/Skills!H11,1)+IF(Skills!H11&gt;0,MIN(Skills!I11,MAX(0,MAX(0,Inputs!$B$43-B3229)-((R3201-1)*IF(Inputs!$B$38="pvp",15,MAX(0.1,Skills!D11-IF(TRUE=TRUE,4.0,0))))))/Skills!H11,1)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Skills!G12*IF(Skills!H12&gt;0,IF(Inputs!$B$38="pvp",MIN(Skills!I12,15),Skills!I12)/Skills!H12,1)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Skills!G13*IF(Skills!H13&gt;0,IF(Inputs!$B$38="pvp",MIN(Skills!I13,15),Skills!I13)/Skills!H13,1)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Skills!G14*IF(Skills!H14&gt;0,IF(Inputs!$B$38="pvp",MIN(Skills!I14,15),Skills!I14)/Skills!H14,1)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Skills!G15*IF(Skills!H15&gt;0,IF(Inputs!$B$38="pvp",MIN(Skills!I15,15),Skills!I15)/Skills!H15,1)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IFERROR(1/IF(Inputs!$B$38="pvp",15,MAX(0.1,Skills!D15-IF(TRUE=TRUE,4.0,0))),0)</f>
        <v/>
      </c>
      <c r="R3205">
        <f>IF(AND(Inputs!$B$38&lt;&gt;"pvp",Inputs!$B$43&gt;0),IF(Inputs!$B$43&lt;=0,0,(INT(Inputs!$B$43/IF(Inputs!$B$38="pvp",15,MAX(0.1,Skills!D15-IF(TRUE=TRUE,4.0,0))))+1)),0)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Skills!G16*IF(Skills!H16&gt;0,IF(Inputs!$B$38="pvp",MIN(Skills!I16,15),Skills!I16)/Skills!H16,1)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IFERROR(1/IF(Inputs!$B$38="pvp",15,MAX(0.1,Skills!D16-IF(TRUE=TRUE,4.0,0))),0)</f>
        <v/>
      </c>
      <c r="R3206">
        <f>IF(AND(Inputs!$B$38&lt;&gt;"pvp",Inputs!$B$43&gt;0),IF(Inputs!$B$43&lt;=0,0,(INT(Inputs!$B$43/IF(Inputs!$B$38="pvp",15,MAX(0.1,Skills!D16-IF(TRUE=TRUE,4.0,0))))+1)),0)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Skills!G17*IF(Skills!H17&gt;0,IF(Inputs!$B$38="pvp",MIN(Skills!I17,15),Skills!I17)/Skills!H17,1)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Skills!G18*IF(Skills!H18&gt;0,IF(Inputs!$B$38="pvp",MIN(Skills!I18,15),Skills!I18)/Skills!H18,1)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IFERROR(1/IF(Inputs!$B$38="pvp",15,MAX(0.1,Skills!D18-IF(TRUE=TRUE,4.0,0))),0)</f>
        <v/>
      </c>
      <c r="R3208">
        <f>IF(AND(Inputs!$B$38&lt;&gt;"pvp",Inputs!$B$43&gt;0),IF(Inputs!$B$43&lt;=0,0,(INT(Inputs!$B$43/IF(Inputs!$B$38="pvp",15,MAX(0.1,Skills!D18-IF(TRUE=TRUE,4.0,0))))+1)),0)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Skills!G19*IF(Skills!H19&gt;0,IF(Inputs!$B$38="pvp",MIN(Skills!I19,15),Skills!I19)/Skills!H19,1)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Skills!G20*IF(Skills!H20&gt;0,IF(Inputs!$B$38="pvp",MIN(Skills!I20,15),Skills!I20)/Skills!H20,1)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Skills!G21*IF(Skills!H21&gt;0,IF(Inputs!$B$38="pvp",MIN(Skills!I21,15),Skills!I21)/Skills!H21,1)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Skills!G22*IF(Skills!H22&gt;0,IF(Inputs!$B$38="pvp",MIN(Skills!I22,15),Skills!I22)/Skills!H22,1)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Skills!G23*IF(Skills!H23&gt;0,IF(Inputs!$B$38="pvp",MIN(Skills!I23,15),Skills!I23)/Skills!H23,1)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Skills!G24*IF(Skills!H24&gt;0,IF(Inputs!$B$38="pvp",MIN(Skills!I24,15),Skills!I24)/Skills!H24,1)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Skills!G25*IF(Skills!H25&gt;0,IF(Inputs!$B$38="pvp",MIN(Skills!I25,15),Skills!I25)/Skills!H25,1)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Skills!G26*IF(Skills!H26&gt;0,IF(Inputs!$B$38="pvp",MIN(Skills!I26,15),Skills!I26)/Skills!H26,1)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Skills!G27*IF(Skills!H27&gt;0,IF(Inputs!$B$38="pvp",MIN(Skills!I27,15),Skills!I27)/Skills!H27,1)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Skills!G28*IF(Skills!H28&gt;0,IF(Inputs!$B$38="pvp",MIN(Skills!I28,15),Skills!I28)/Skills!H28,1)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Skills!G29*IF(Skills!H29&gt;0,IF(Inputs!$B$38="pvp",MIN(Skills!I29,15),Skills!I29)/Skills!H29,1)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MIN((Skills!T15*(1+Inputs!$B$34/100)),(1/Q3205))+MIN((Skills!T15*(1+Inputs!$B$34/100)),MAX(0,Inputs!$B$43-((R3205-1)*(1/Q3205)))))/Inputs!$B$43),IF(Inputs!$B$38="pvp",MIN((Skills!T15*(1+Inputs!$B$34/100)),15)/15,MIN(1,(Skills!T15*(1+Inputs!$B$34/100))/(1/Q3205)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t="n">
        <v>0</v>
      </c>
    </row>
    <row r="3223">
      <c r="A3223" t="inlineStr">
        <is>
          <t>Attack Speed Buff Bonus %</t>
        </is>
      </c>
      <c r="B3223">
        <f>((C3208=TRUE)*F3208*IF(AND(Inputs!$B$38&lt;&gt;"pvp",Inputs!$B$43&gt;0),(((R3208-1)*MIN((Skills!T18*(1+Inputs!$B$34/100)),(1/Q3208))+MIN((Skills!T18*(1+Inputs!$B$34/100)),MAX(0,Inputs!$B$43-((R3208-1)*(1/Q3208)))))/Inputs!$B$43),IF(Inputs!$B$38="pvp",MIN((Skills!T18*(1+Inputs!$B$34/100)),15)/15,MIN(1,(Skills!T18*(1+Inputs!$B$34/100))/(1/Q3208)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MIN((Skills!T16*(1+Inputs!$B$34/100)),(1/Q3206))+MIN((Skills!T16*(1+Inputs!$B$34/100)),MAX(0,Inputs!$B$43-((R3206-1)*(1/Q3206)))))/Inputs!$B$43),IF(Inputs!$B$38="pvp",MIN((Skills!T16*(1+Inputs!$B$34/100)),15)/15,MIN(1,(Skills!T16*(1+Inputs!$B$34/100))/(1/Q3206)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Skills!G2*IF(Skills!H2&gt;0,IF(Inputs!$B$38="pvp",MIN(Skills!I2,15),Skills!I2)/Skills!H2,1)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Skills!G5*IF(Skills!H5&gt;0,IF(Inputs!$B$38="pvp",MIN(Skills!I5,15),Skills!I5)/Skills!H5,1)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IFERROR(1/IF(Inputs!$B$38="pvp",15,MAX(0.1,Skills!D5-IF(TRUE=TRUE,4.5,0))),0)</f>
        <v/>
      </c>
      <c r="R3240">
        <f>IF(AND(Inputs!$B$38&lt;&gt;"pvp",Inputs!$B$43&gt;0),IF(MAX(0,Inputs!$B$43-B3274)&lt;=0,0,(INT(MAX(0,Inputs!$B$43-B3274)/IF(Inputs!$B$38="pvp",15,MAX(0.1,Skills!D5-IF(TRUE=TRUE,4.5,0))))+1)),0)</f>
        <v/>
      </c>
      <c r="S3240">
        <f>IFERROR((H3240*N3240*IF(AND(Inputs!$B$38&lt;&gt;"pvp",Inputs!$B$43&gt;0),((Skills!G5*((R3240-1)*IF(Skills!H5&gt;0,Skills!I5/Skills!H5,1)+IF(Skills!H5&gt;0,MIN(Skills!I5,MAX(0,MAX(0,Inputs!$B$43-B3274)-((R3240-1)*IF(Inputs!$B$38="pvp",15,MAX(0.1,Skills!D5-IF(TRUE=TRUE,4.5,0))))))/Skills!H5,1)))/Inputs!$B$43),G3240*Q3240))/N3240*IF(Inputs!$B$38="pvp",1,(1-Summary!$B$11)*1+Summary!$B$11*(MIN(Skills!R5,Inputs!$B$37))),0)</f>
        <v/>
      </c>
      <c r="T3240">
        <f>IF(C3240,(H3240*N3240*IF(AND(Inputs!$B$38&lt;&gt;"pvp",Inputs!$B$43&gt;0),((Skills!G5*((R3240-1)*IF(Skills!H5&gt;0,Skills!I5/Skills!H5,1)+IF(Skills!H5&gt;0,MIN(Skills!I5,MAX(0,MAX(0,Inputs!$B$43-B3274)-((R3240-1)*IF(Inputs!$B$38="pvp",15,MAX(0.1,Skills!D5-IF(TRUE=TRUE,4.5,0))))))/Skills!H5,1)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Skills!I5/Skills!H5,1)+IF(Skills!H5&gt;0,MIN(Skills!I5,MAX(0,MAX(0,Inputs!$B$43-B3274)-((R3240-1)*IF(Inputs!$B$38="pvp",15,MAX(0.1,Skills!D5-IF(TRUE=TRUE,4.5,0))))))/Skills!H5,1)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Skills!G6*IF(Skills!H6&gt;0,IF(Inputs!$B$38="pvp",MIN(Skills!I6,15),Skills!I6)/Skills!H6,1)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IFERROR(1/IF(Inputs!$B$38="pvp",15,MAX(0.1,Skills!D6-IF(TRUE=TRUE,4.5,0))),0)</f>
        <v/>
      </c>
      <c r="R3241">
        <f>IF(AND(Inputs!$B$38&lt;&gt;"pvp",Inputs!$B$43&gt;0),IF(MAX(0,Inputs!$B$43-B3274)&lt;=0,0,(INT(MAX(0,Inputs!$B$43-B3274)/IF(Inputs!$B$38="pvp",15,MAX(0.1,Skills!D6-IF(TRUE=TRUE,4.5,0))))+1)),0)</f>
        <v/>
      </c>
      <c r="S3241">
        <f>IFERROR((H3241*N3241*IF(AND(Inputs!$B$38&lt;&gt;"pvp",Inputs!$B$43&gt;0),((Skills!G6*((R3241-1)*IF(Skills!H6&gt;0,Skills!I6/Skills!H6,1)+IF(Skills!H6&gt;0,MIN(Skills!I6,MAX(0,MAX(0,Inputs!$B$43-B3274)-((R3241-1)*IF(Inputs!$B$38="pvp",15,MAX(0.1,Skills!D6-IF(TRUE=TRUE,4.5,0))))))/Skills!H6,1)))/Inputs!$B$43),G3241*Q3241))/N3241*IF(Inputs!$B$38="pvp",1,(1-Summary!$B$11)*1+Summary!$B$11*(MIN(Skills!R6,Inputs!$B$37))),0)</f>
        <v/>
      </c>
      <c r="T3241">
        <f>IF(C3241,(H3241*N3241*IF(AND(Inputs!$B$38&lt;&gt;"pvp",Inputs!$B$43&gt;0),((Skills!G6*((R3241-1)*IF(Skills!H6&gt;0,Skills!I6/Skills!H6,1)+IF(Skills!H6&gt;0,MIN(Skills!I6,MAX(0,MAX(0,Inputs!$B$43-B3274)-((R3241-1)*IF(Inputs!$B$38="pvp",15,MAX(0.1,Skills!D6-IF(TRUE=TRUE,4.5,0)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3274)-((R3241-1)*IF(Inputs!$B$38="pvp",15,MAX(0.1,Skills!D6-IF(TRUE=TRUE,4.5,0))))))/Skills!H6,1)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Skills!G7*IF(Skills!H7&gt;0,IF(Inputs!$B$38="pvp",MIN(Skills!I7,15),Skills!I7)/Skills!H7,1)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IFERROR(1/IF(Inputs!$B$38="pvp",15,MAX(0.1,Skills!D7-IF(TRUE=TRUE,4.5,0))),0)</f>
        <v/>
      </c>
      <c r="R3242">
        <f>IF(AND(Inputs!$B$38&lt;&gt;"pvp",Inputs!$B$43&gt;0),IF(MAX(0,Inputs!$B$43-B3274)&lt;=0,0,(INT(MAX(0,Inputs!$B$43-B3274)/IF(Inputs!$B$38="pvp",15,MAX(0.1,Skills!D7-IF(TRUE=TRUE,4.5,0))))+1)),0)</f>
        <v/>
      </c>
      <c r="S3242">
        <f>IFERROR((H3242*N3242*IF(AND(Inputs!$B$38&lt;&gt;"pvp",Inputs!$B$43&gt;0),((Skills!G7*((R3242-1)*IF(Skills!H7&gt;0,Skills!I7/Skills!H7,1)+IF(Skills!H7&gt;0,MIN(Skills!I7,MAX(0,MAX(0,Inputs!$B$43-B3274)-((R3242-1)*IF(Inputs!$B$38="pvp",15,MAX(0.1,Skills!D7-IF(TRUE=TRUE,4.5,0))))))/Skills!H7,1)))/Inputs!$B$43),G3242*Q3242))/N3242*IF(Inputs!$B$38="pvp",1,(1-Summary!$B$11)*1+Summary!$B$11*(MIN(Skills!R7,Inputs!$B$37))),0)</f>
        <v/>
      </c>
      <c r="T3242">
        <f>IF(C3242,(H3242*N3242*IF(AND(Inputs!$B$38&lt;&gt;"pvp",Inputs!$B$43&gt;0),((Skills!G7*((R3242-1)*IF(Skills!H7&gt;0,Skills!I7/Skills!H7,1)+IF(Skills!H7&gt;0,MIN(Skills!I7,MAX(0,MAX(0,Inputs!$B$43-B3274)-((R3242-1)*IF(Inputs!$B$38="pvp",15,MAX(0.1,Skills!D7-IF(TRUE=TRUE,4.5,0)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3274)-((R3242-1)*IF(Inputs!$B$38="pvp",15,MAX(0.1,Skills!D7-IF(TRUE=TRUE,4.5,0))))))/Skills!H7,1)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Skills!G9*IF(Skills!H9&gt;0,IF(Inputs!$B$38="pvp",MIN(Skills!I9,15),Skills!I9)/Skills!H9,1)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IFERROR(1/IF(Inputs!$B$38="pvp",15,MAX(0.1,Skills!D9-IF(TRUE=TRUE,4.5,0))),0)</f>
        <v/>
      </c>
      <c r="R3244">
        <f>IF(AND(Inputs!$B$38&lt;&gt;"pvp",Inputs!$B$43&gt;0),IF(MAX(0,Inputs!$B$43-B3274)&lt;=0,0,(INT(MAX(0,Inputs!$B$43-B3274)/IF(Inputs!$B$38="pvp",15,MAX(0.1,Skills!D9-IF(TRUE=TRUE,4.5,0))))+1)),0)</f>
        <v/>
      </c>
      <c r="S3244">
        <f>IFERROR((H3244*N3244*IF(AND(Inputs!$B$38&lt;&gt;"pvp",Inputs!$B$43&gt;0),((Skills!G9*((R3244-1)*IF(Skills!H9&gt;0,Skills!I9/Skills!H9,1)+IF(Skills!H9&gt;0,MIN(Skills!I9,MAX(0,MAX(0,Inputs!$B$43-B3274)-((R3244-1)*IF(Inputs!$B$38="pvp",15,MAX(0.1,Skills!D9-IF(TRUE=TRUE,4.5,0))))))/Skills!H9,1)))/Inputs!$B$43),G3244*Q3244))/N3244*IF(Inputs!$B$38="pvp",1,(1-Summary!$B$11)*1+Summary!$B$11*(MIN(Skills!R9,Inputs!$B$37))),0)</f>
        <v/>
      </c>
      <c r="T3244">
        <f>IF(C3244,(H3244*N3244*IF(AND(Inputs!$B$38&lt;&gt;"pvp",Inputs!$B$43&gt;0),((Skills!G9*((R3244-1)*IF(Skills!H9&gt;0,Skills!I9/Skills!H9,1)+IF(Skills!H9&gt;0,MIN(Skills!I9,MAX(0,MAX(0,Inputs!$B$43-B3274)-((R3244-1)*IF(Inputs!$B$38="pvp",15,MAX(0.1,Skills!D9-IF(TRUE=TRUE,4.5,0)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3274)-((R3244-1)*IF(Inputs!$B$38="pvp",15,MAX(0.1,Skills!D9-IF(TRUE=TRUE,4.5,0))))))/Skills!H9,1)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Skills!G10*IF(Skills!H10&gt;0,IF(Inputs!$B$38="pvp",MIN(Skills!I10,15),Skills!I10)/Skills!H10,1)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Skills!G11*IF(Skills!H11&gt;0,IF(Inputs!$B$38="pvp",MIN(Skills!I11,15),Skills!I11)/Skills!H11,1)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IFERROR(1/IF(Inputs!$B$38="pvp",15,MAX(0.1,Skills!D11-IF(TRUE=TRUE,4.5,0))),0)</f>
        <v/>
      </c>
      <c r="R3246">
        <f>IF(AND(Inputs!$B$38&lt;&gt;"pvp",Inputs!$B$43&gt;0),IF(MAX(0,Inputs!$B$43-B3274)&lt;=0,0,(INT(MAX(0,Inputs!$B$43-B3274)/IF(Inputs!$B$38="pvp",15,MAX(0.1,Skills!D11-IF(TRUE=TRUE,4.5,0))))+1)),0)</f>
        <v/>
      </c>
      <c r="S3246">
        <f>IFERROR((H3246*N3246*IF(AND(Inputs!$B$38&lt;&gt;"pvp",Inputs!$B$43&gt;0),((Skills!G11*((R3246-1)*IF(Skills!H11&gt;0,Skills!I11/Skills!H11,1)+IF(Skills!H11&gt;0,MIN(Skills!I11,MAX(0,MAX(0,Inputs!$B$43-B3274)-((R3246-1)*IF(Inputs!$B$38="pvp",15,MAX(0.1,Skills!D11-IF(TRUE=TRUE,4.5,0))))))/Skills!H11,1)))/Inputs!$B$43),G3246*Q3246))/N3246*IF(Inputs!$B$38="pvp",1,(1-Summary!$B$11)*1+Summary!$B$11*(MIN(Skills!R11,Inputs!$B$37))),0)</f>
        <v/>
      </c>
      <c r="T3246">
        <f>IF(C3246,(H3246*N3246*IF(AND(Inputs!$B$38&lt;&gt;"pvp",Inputs!$B$43&gt;0),((Skills!G11*((R3246-1)*IF(Skills!H11&gt;0,Skills!I11/Skills!H11,1)+IF(Skills!H11&gt;0,MIN(Skills!I11,MAX(0,MAX(0,Inputs!$B$43-B3274)-((R3246-1)*IF(Inputs!$B$38="pvp",15,MAX(0.1,Skills!D11-IF(TRUE=TRUE,4.5,0))))))/Skills!H11,1)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Inputs!$B$38&lt;&gt;"pvp",Inputs!$B$43=0),1,IF(IF(Inputs!$B$38="pvp",15,Inputs!$B$43)-(B3274)&lt;=0,1,MAX(0,IF(Inputs!$B$38="pvp",15,Inputs!$B$43)-MAX(5,B3274))/(IF(Inputs!$B$38="pvp",15,Inputs!$B$43)-(B3274))))*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Skills!I11/Skills!H11,1)+IF(Skills!H11&gt;0,MIN(Skills!I11,MAX(0,MAX(0,Inputs!$B$43-B3274)-((R3246-1)*IF(Inputs!$B$38="pvp",15,MAX(0.1,Skills!D11-IF(TRUE=TRUE,4.5,0))))))/Skills!H11,1)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Skills!G12*IF(Skills!H12&gt;0,IF(Inputs!$B$38="pvp",MIN(Skills!I12,15),Skills!I12)/Skills!H12,1)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Skills!G13*IF(Skills!H13&gt;0,IF(Inputs!$B$38="pvp",MIN(Skills!I13,15),Skills!I13)/Skills!H13,1)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Skills!G14*IF(Skills!H14&gt;0,IF(Inputs!$B$38="pvp",MIN(Skills!I14,15),Skills!I14)/Skills!H14,1)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Skills!G15*IF(Skills!H15&gt;0,IF(Inputs!$B$38="pvp",MIN(Skills!I15,15),Skills!I15)/Skills!H15,1)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IFERROR(1/IF(Inputs!$B$38="pvp",15,MAX(0.1,Skills!D15-IF(TRUE=TRUE,4.5,0))),0)</f>
        <v/>
      </c>
      <c r="R3250">
        <f>IF(AND(Inputs!$B$38&lt;&gt;"pvp",Inputs!$B$43&gt;0),IF(Inputs!$B$43&lt;=0,0,(INT(Inputs!$B$43/IF(Inputs!$B$38="pvp",15,MAX(0.1,Skills!D15-IF(TRUE=TRUE,4.5,0))))+1)),0)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Skills!G16*IF(Skills!H16&gt;0,IF(Inputs!$B$38="pvp",MIN(Skills!I16,15),Skills!I16)/Skills!H16,1)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IFERROR(1/IF(Inputs!$B$38="pvp",15,MAX(0.1,Skills!D16-IF(TRUE=TRUE,4.5,0))),0)</f>
        <v/>
      </c>
      <c r="R3251">
        <f>IF(AND(Inputs!$B$38&lt;&gt;"pvp",Inputs!$B$43&gt;0),IF(Inputs!$B$43&lt;=0,0,(INT(Inputs!$B$43/IF(Inputs!$B$38="pvp",15,MAX(0.1,Skills!D16-IF(TRUE=TRUE,4.5,0))))+1)),0)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Skills!G17*IF(Skills!H17&gt;0,IF(Inputs!$B$38="pvp",MIN(Skills!I17,15),Skills!I17)/Skills!H17,1)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Skills!G18*IF(Skills!H18&gt;0,IF(Inputs!$B$38="pvp",MIN(Skills!I18,15),Skills!I18)/Skills!H18,1)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IFERROR(1/IF(Inputs!$B$38="pvp",15,MAX(0.1,Skills!D18-IF(TRUE=TRUE,4.5,0))),0)</f>
        <v/>
      </c>
      <c r="R3253">
        <f>IF(AND(Inputs!$B$38&lt;&gt;"pvp",Inputs!$B$43&gt;0),IF(Inputs!$B$43&lt;=0,0,(INT(Inputs!$B$43/IF(Inputs!$B$38="pvp",15,MAX(0.1,Skills!D18-IF(TRUE=TRUE,4.5,0))))+1)),0)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Skills!G19*IF(Skills!H19&gt;0,IF(Inputs!$B$38="pvp",MIN(Skills!I19,15),Skills!I19)/Skills!H19,1)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Skills!G20*IF(Skills!H20&gt;0,IF(Inputs!$B$38="pvp",MIN(Skills!I20,15),Skills!I20)/Skills!H20,1)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Skills!G21*IF(Skills!H21&gt;0,IF(Inputs!$B$38="pvp",MIN(Skills!I21,15),Skills!I21)/Skills!H21,1)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Skills!G22*IF(Skills!H22&gt;0,IF(Inputs!$B$38="pvp",MIN(Skills!I22,15),Skills!I22)/Skills!H22,1)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Skills!G23*IF(Skills!H23&gt;0,IF(Inputs!$B$38="pvp",MIN(Skills!I23,15),Skills!I23)/Skills!H23,1)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Skills!G24*IF(Skills!H24&gt;0,IF(Inputs!$B$38="pvp",MIN(Skills!I24,15),Skills!I24)/Skills!H24,1)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Skills!G25*IF(Skills!H25&gt;0,IF(Inputs!$B$38="pvp",MIN(Skills!I25,15),Skills!I25)/Skills!H25,1)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Skills!G26*IF(Skills!H26&gt;0,IF(Inputs!$B$38="pvp",MIN(Skills!I26,15),Skills!I26)/Skills!H26,1)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Skills!G27*IF(Skills!H27&gt;0,IF(Inputs!$B$38="pvp",MIN(Skills!I27,15),Skills!I27)/Skills!H27,1)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Skills!G28*IF(Skills!H28&gt;0,IF(Inputs!$B$38="pvp",MIN(Skills!I28,15),Skills!I28)/Skills!H28,1)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Skills!G29*IF(Skills!H29&gt;0,IF(Inputs!$B$38="pvp",MIN(Skills!I29,15),Skills!I29)/Skills!H29,1)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MIN((Skills!T15*(1+Inputs!$B$34/100)),(1/Q3250))+MIN((Skills!T15*(1+Inputs!$B$34/100)),MAX(0,Inputs!$B$43-((R3250-1)*(1/Q3250)))))/Inputs!$B$43),IF(Inputs!$B$38="pvp",MIN((Skills!T15*(1+Inputs!$B$34/100)),15)/15,MIN(1,(Skills!T15*(1+Inputs!$B$34/100))/(1/Q3250)))))+((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t="n">
        <v>0</v>
      </c>
    </row>
    <row r="3268">
      <c r="A3268" t="inlineStr">
        <is>
          <t>Attack Speed Buff Bonus %</t>
        </is>
      </c>
      <c r="B3268">
        <f>((C3253=TRUE)*F3253*IF(AND(Inputs!$B$38&lt;&gt;"pvp",Inputs!$B$43&gt;0),(((R3253-1)*MIN((Skills!T18*(1+Inputs!$B$34/100)),(1/Q3253))+MIN((Skills!T18*(1+Inputs!$B$34/100)),MAX(0,Inputs!$B$43-((R3253-1)*(1/Q3253)))))/Inputs!$B$43),IF(Inputs!$B$38="pvp",MIN((Skills!T18*(1+Inputs!$B$34/100)),15)/15,MIN(1,(Skills!T18*(1+Inputs!$B$34/100))/(1/Q3253)))))</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MIN((Skills!T16*(1+Inputs!$B$34/100)),(1/Q3251))+MIN((Skills!T16*(1+Inputs!$B$34/100)),MAX(0,Inputs!$B$43-((R3251-1)*(1/Q3251)))))/Inputs!$B$43),IF(Inputs!$B$38="pvp",MIN((Skills!T16*(1+Inputs!$B$34/100)),15)/15,MIN(1,(Skills!T16*(1+Inputs!$B$34/100))/(1/Q3251))))</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Skills!G2*IF(Skills!H2&gt;0,IF(Inputs!$B$38="pvp",MIN(Skills!I2,15),Skills!I2)/Skills!H2,1)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Skills!G5*IF(Skills!H5&gt;0,IF(Inputs!$B$38="pvp",MIN(Skills!I5,15),Skills!I5)/Skills!H5,1)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IFERROR(1/IF(Inputs!$B$38="pvp",15,MAX(0.1,Skills!D5-IF(TRUE=TRUE,5.0,0))),0)</f>
        <v/>
      </c>
      <c r="R3285">
        <f>IF(AND(Inputs!$B$38&lt;&gt;"pvp",Inputs!$B$43&gt;0),IF(MAX(0,Inputs!$B$43-B3319)&lt;=0,0,(INT(MAX(0,Inputs!$B$43-B3319)/IF(Inputs!$B$38="pvp",15,MAX(0.1,Skills!D5-IF(TRUE=TRUE,5.0,0))))+1)),0)</f>
        <v/>
      </c>
      <c r="S3285">
        <f>IFERROR((H3285*N3285*IF(AND(Inputs!$B$38&lt;&gt;"pvp",Inputs!$B$43&gt;0),((Skills!G5*((R3285-1)*IF(Skills!H5&gt;0,Skills!I5/Skills!H5,1)+IF(Skills!H5&gt;0,MIN(Skills!I5,MAX(0,MAX(0,Inputs!$B$43-B3319)-((R3285-1)*IF(Inputs!$B$38="pvp",15,MAX(0.1,Skills!D5-IF(TRUE=TRUE,5.0,0))))))/Skills!H5,1)))/Inputs!$B$43),G3285*Q3285))/N3285*IF(Inputs!$B$38="pvp",1,(1-Summary!$B$11)*1+Summary!$B$11*(MIN(Skills!R5,Inputs!$B$37))),0)</f>
        <v/>
      </c>
      <c r="T3285">
        <f>IF(C3285,(H3285*N3285*IF(AND(Inputs!$B$38&lt;&gt;"pvp",Inputs!$B$43&gt;0),((Skills!G5*((R3285-1)*IF(Skills!H5&gt;0,Skills!I5/Skills!H5,1)+IF(Skills!H5&gt;0,MIN(Skills!I5,MAX(0,MAX(0,Inputs!$B$43-B3319)-((R3285-1)*IF(Inputs!$B$38="pvp",15,MAX(0.1,Skills!D5-IF(TRUE=TRUE,5.0,0))))))/Skills!H5,1)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Skills!I5/Skills!H5,1)+IF(Skills!H5&gt;0,MIN(Skills!I5,MAX(0,MAX(0,Inputs!$B$43-B3319)-((R3285-1)*IF(Inputs!$B$38="pvp",15,MAX(0.1,Skills!D5-IF(TRUE=TRUE,5.0,0))))))/Skills!H5,1)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Skills!G6*IF(Skills!H6&gt;0,IF(Inputs!$B$38="pvp",MIN(Skills!I6,15),Skills!I6)/Skills!H6,1)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IFERROR(1/IF(Inputs!$B$38="pvp",15,MAX(0.1,Skills!D6-IF(TRUE=TRUE,5.0,0))),0)</f>
        <v/>
      </c>
      <c r="R3286">
        <f>IF(AND(Inputs!$B$38&lt;&gt;"pvp",Inputs!$B$43&gt;0),IF(MAX(0,Inputs!$B$43-B3319)&lt;=0,0,(INT(MAX(0,Inputs!$B$43-B3319)/IF(Inputs!$B$38="pvp",15,MAX(0.1,Skills!D6-IF(TRUE=TRUE,5.0,0))))+1)),0)</f>
        <v/>
      </c>
      <c r="S3286">
        <f>IFERROR((H3286*N3286*IF(AND(Inputs!$B$38&lt;&gt;"pvp",Inputs!$B$43&gt;0),((Skills!G6*((R3286-1)*IF(Skills!H6&gt;0,Skills!I6/Skills!H6,1)+IF(Skills!H6&gt;0,MIN(Skills!I6,MAX(0,MAX(0,Inputs!$B$43-B3319)-((R3286-1)*IF(Inputs!$B$38="pvp",15,MAX(0.1,Skills!D6-IF(TRUE=TRUE,5.0,0))))))/Skills!H6,1)))/Inputs!$B$43),G3286*Q3286))/N3286*IF(Inputs!$B$38="pvp",1,(1-Summary!$B$11)*1+Summary!$B$11*(MIN(Skills!R6,Inputs!$B$37))),0)</f>
        <v/>
      </c>
      <c r="T3286">
        <f>IF(C3286,(H3286*N3286*IF(AND(Inputs!$B$38&lt;&gt;"pvp",Inputs!$B$43&gt;0),((Skills!G6*((R3286-1)*IF(Skills!H6&gt;0,Skills!I6/Skills!H6,1)+IF(Skills!H6&gt;0,MIN(Skills!I6,MAX(0,MAX(0,Inputs!$B$43-B3319)-((R3286-1)*IF(Inputs!$B$38="pvp",15,MAX(0.1,Skills!D6-IF(TRUE=TRUE,5.0,0)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3319)-((R3286-1)*IF(Inputs!$B$38="pvp",15,MAX(0.1,Skills!D6-IF(TRUE=TRUE,5.0,0))))))/Skills!H6,1)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Skills!G7*IF(Skills!H7&gt;0,IF(Inputs!$B$38="pvp",MIN(Skills!I7,15),Skills!I7)/Skills!H7,1)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IFERROR(1/IF(Inputs!$B$38="pvp",15,MAX(0.1,Skills!D7-IF(TRUE=TRUE,5.0,0))),0)</f>
        <v/>
      </c>
      <c r="R3287">
        <f>IF(AND(Inputs!$B$38&lt;&gt;"pvp",Inputs!$B$43&gt;0),IF(MAX(0,Inputs!$B$43-B3319)&lt;=0,0,(INT(MAX(0,Inputs!$B$43-B3319)/IF(Inputs!$B$38="pvp",15,MAX(0.1,Skills!D7-IF(TRUE=TRUE,5.0,0))))+1)),0)</f>
        <v/>
      </c>
      <c r="S3287">
        <f>IFERROR((H3287*N3287*IF(AND(Inputs!$B$38&lt;&gt;"pvp",Inputs!$B$43&gt;0),((Skills!G7*((R3287-1)*IF(Skills!H7&gt;0,Skills!I7/Skills!H7,1)+IF(Skills!H7&gt;0,MIN(Skills!I7,MAX(0,MAX(0,Inputs!$B$43-B3319)-((R3287-1)*IF(Inputs!$B$38="pvp",15,MAX(0.1,Skills!D7-IF(TRUE=TRUE,5.0,0))))))/Skills!H7,1)))/Inputs!$B$43),G3287*Q3287))/N3287*IF(Inputs!$B$38="pvp",1,(1-Summary!$B$11)*1+Summary!$B$11*(MIN(Skills!R7,Inputs!$B$37))),0)</f>
        <v/>
      </c>
      <c r="T3287">
        <f>IF(C3287,(H3287*N3287*IF(AND(Inputs!$B$38&lt;&gt;"pvp",Inputs!$B$43&gt;0),((Skills!G7*((R3287-1)*IF(Skills!H7&gt;0,Skills!I7/Skills!H7,1)+IF(Skills!H7&gt;0,MIN(Skills!I7,MAX(0,MAX(0,Inputs!$B$43-B3319)-((R3287-1)*IF(Inputs!$B$38="pvp",15,MAX(0.1,Skills!D7-IF(TRUE=TRUE,5.0,0)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3319)-((R3287-1)*IF(Inputs!$B$38="pvp",15,MAX(0.1,Skills!D7-IF(TRUE=TRUE,5.0,0))))))/Skills!H7,1)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Skills!G9*IF(Skills!H9&gt;0,IF(Inputs!$B$38="pvp",MIN(Skills!I9,15),Skills!I9)/Skills!H9,1)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IFERROR(1/IF(Inputs!$B$38="pvp",15,MAX(0.1,Skills!D9-IF(TRUE=TRUE,5.0,0))),0)</f>
        <v/>
      </c>
      <c r="R3289">
        <f>IF(AND(Inputs!$B$38&lt;&gt;"pvp",Inputs!$B$43&gt;0),IF(MAX(0,Inputs!$B$43-B3319)&lt;=0,0,(INT(MAX(0,Inputs!$B$43-B3319)/IF(Inputs!$B$38="pvp",15,MAX(0.1,Skills!D9-IF(TRUE=TRUE,5.0,0))))+1)),0)</f>
        <v/>
      </c>
      <c r="S3289">
        <f>IFERROR((H3289*N3289*IF(AND(Inputs!$B$38&lt;&gt;"pvp",Inputs!$B$43&gt;0),((Skills!G9*((R3289-1)*IF(Skills!H9&gt;0,Skills!I9/Skills!H9,1)+IF(Skills!H9&gt;0,MIN(Skills!I9,MAX(0,MAX(0,Inputs!$B$43-B3319)-((R3289-1)*IF(Inputs!$B$38="pvp",15,MAX(0.1,Skills!D9-IF(TRUE=TRUE,5.0,0))))))/Skills!H9,1)))/Inputs!$B$43),G3289*Q3289))/N3289*IF(Inputs!$B$38="pvp",1,(1-Summary!$B$11)*1+Summary!$B$11*(MIN(Skills!R9,Inputs!$B$37))),0)</f>
        <v/>
      </c>
      <c r="T3289">
        <f>IF(C3289,(H3289*N3289*IF(AND(Inputs!$B$38&lt;&gt;"pvp",Inputs!$B$43&gt;0),((Skills!G9*((R3289-1)*IF(Skills!H9&gt;0,Skills!I9/Skills!H9,1)+IF(Skills!H9&gt;0,MIN(Skills!I9,MAX(0,MAX(0,Inputs!$B$43-B3319)-((R3289-1)*IF(Inputs!$B$38="pvp",15,MAX(0.1,Skills!D9-IF(TRUE=TRUE,5.0,0)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3319)-((R3289-1)*IF(Inputs!$B$38="pvp",15,MAX(0.1,Skills!D9-IF(TRUE=TRUE,5.0,0))))))/Skills!H9,1)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Skills!G10*IF(Skills!H10&gt;0,IF(Inputs!$B$38="pvp",MIN(Skills!I10,15),Skills!I10)/Skills!H10,1)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Skills!G11*IF(Skills!H11&gt;0,IF(Inputs!$B$38="pvp",MIN(Skills!I11,15),Skills!I11)/Skills!H11,1)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IFERROR(1/IF(Inputs!$B$38="pvp",15,MAX(0.1,Skills!D11-IF(TRUE=TRUE,5.0,0))),0)</f>
        <v/>
      </c>
      <c r="R3291">
        <f>IF(AND(Inputs!$B$38&lt;&gt;"pvp",Inputs!$B$43&gt;0),IF(MAX(0,Inputs!$B$43-B3319)&lt;=0,0,(INT(MAX(0,Inputs!$B$43-B3319)/IF(Inputs!$B$38="pvp",15,MAX(0.1,Skills!D11-IF(TRUE=TRUE,5.0,0))))+1)),0)</f>
        <v/>
      </c>
      <c r="S3291">
        <f>IFERROR((H3291*N3291*IF(AND(Inputs!$B$38&lt;&gt;"pvp",Inputs!$B$43&gt;0),((Skills!G11*((R3291-1)*IF(Skills!H11&gt;0,Skills!I11/Skills!H11,1)+IF(Skills!H11&gt;0,MIN(Skills!I11,MAX(0,MAX(0,Inputs!$B$43-B3319)-((R3291-1)*IF(Inputs!$B$38="pvp",15,MAX(0.1,Skills!D11-IF(TRUE=TRUE,5.0,0))))))/Skills!H11,1)))/Inputs!$B$43),G3291*Q3291))/N3291*IF(Inputs!$B$38="pvp",1,(1-Summary!$B$11)*1+Summary!$B$11*(MIN(Skills!R11,Inputs!$B$37))),0)</f>
        <v/>
      </c>
      <c r="T3291">
        <f>IF(C3291,(H3291*N3291*IF(AND(Inputs!$B$38&lt;&gt;"pvp",Inputs!$B$43&gt;0),((Skills!G11*((R3291-1)*IF(Skills!H11&gt;0,Skills!I11/Skills!H11,1)+IF(Skills!H11&gt;0,MIN(Skills!I11,MAX(0,MAX(0,Inputs!$B$43-B3319)-((R3291-1)*IF(Inputs!$B$38="pvp",15,MAX(0.1,Skills!D11-IF(TRUE=TRUE,5.0,0))))))/Skills!H11,1)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Inputs!$B$38&lt;&gt;"pvp",Inputs!$B$43=0),1,IF(IF(Inputs!$B$38="pvp",15,Inputs!$B$43)-(B3319)&lt;=0,1,MAX(0,IF(Inputs!$B$38="pvp",15,Inputs!$B$43)-MAX(5,B3319))/(IF(Inputs!$B$38="pvp",15,Inputs!$B$43)-(B3319))))*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Skills!I11/Skills!H11,1)+IF(Skills!H11&gt;0,MIN(Skills!I11,MAX(0,MAX(0,Inputs!$B$43-B3319)-((R3291-1)*IF(Inputs!$B$38="pvp",15,MAX(0.1,Skills!D11-IF(TRUE=TRUE,5.0,0))))))/Skills!H11,1)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Skills!G12*IF(Skills!H12&gt;0,IF(Inputs!$B$38="pvp",MIN(Skills!I12,15),Skills!I12)/Skills!H12,1)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Skills!G13*IF(Skills!H13&gt;0,IF(Inputs!$B$38="pvp",MIN(Skills!I13,15),Skills!I13)/Skills!H13,1)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Skills!G14*IF(Skills!H14&gt;0,IF(Inputs!$B$38="pvp",MIN(Skills!I14,15),Skills!I14)/Skills!H14,1)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Skills!G15*IF(Skills!H15&gt;0,IF(Inputs!$B$38="pvp",MIN(Skills!I15,15),Skills!I15)/Skills!H15,1)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IFERROR(1/IF(Inputs!$B$38="pvp",15,MAX(0.1,Skills!D15-IF(TRUE=TRUE,5.0,0))),0)</f>
        <v/>
      </c>
      <c r="R3295">
        <f>IF(AND(Inputs!$B$38&lt;&gt;"pvp",Inputs!$B$43&gt;0),IF(Inputs!$B$43&lt;=0,0,(INT(Inputs!$B$43/IF(Inputs!$B$38="pvp",15,MAX(0.1,Skills!D15-IF(TRUE=TRUE,5.0,0))))+1)),0)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Skills!G16*IF(Skills!H16&gt;0,IF(Inputs!$B$38="pvp",MIN(Skills!I16,15),Skills!I16)/Skills!H16,1)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IFERROR(1/IF(Inputs!$B$38="pvp",15,MAX(0.1,Skills!D16-IF(TRUE=TRUE,5.0,0))),0)</f>
        <v/>
      </c>
      <c r="R3296">
        <f>IF(AND(Inputs!$B$38&lt;&gt;"pvp",Inputs!$B$43&gt;0),IF(Inputs!$B$43&lt;=0,0,(INT(Inputs!$B$43/IF(Inputs!$B$38="pvp",15,MAX(0.1,Skills!D16-IF(TRUE=TRUE,5.0,0))))+1)),0)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Skills!G17*IF(Skills!H17&gt;0,IF(Inputs!$B$38="pvp",MIN(Skills!I17,15),Skills!I17)/Skills!H17,1)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Skills!G18*IF(Skills!H18&gt;0,IF(Inputs!$B$38="pvp",MIN(Skills!I18,15),Skills!I18)/Skills!H18,1)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IFERROR(1/IF(Inputs!$B$38="pvp",15,MAX(0.1,Skills!D18-IF(TRUE=TRUE,5.0,0))),0)</f>
        <v/>
      </c>
      <c r="R3298">
        <f>IF(AND(Inputs!$B$38&lt;&gt;"pvp",Inputs!$B$43&gt;0),IF(Inputs!$B$43&lt;=0,0,(INT(Inputs!$B$43/IF(Inputs!$B$38="pvp",15,MAX(0.1,Skills!D18-IF(TRUE=TRUE,5.0,0))))+1)),0)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Skills!G19*IF(Skills!H19&gt;0,IF(Inputs!$B$38="pvp",MIN(Skills!I19,15),Skills!I19)/Skills!H19,1)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Skills!G20*IF(Skills!H20&gt;0,IF(Inputs!$B$38="pvp",MIN(Skills!I20,15),Skills!I20)/Skills!H20,1)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Skills!G21*IF(Skills!H21&gt;0,IF(Inputs!$B$38="pvp",MIN(Skills!I21,15),Skills!I21)/Skills!H21,1)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Skills!G22*IF(Skills!H22&gt;0,IF(Inputs!$B$38="pvp",MIN(Skills!I22,15),Skills!I22)/Skills!H22,1)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Skills!G23*IF(Skills!H23&gt;0,IF(Inputs!$B$38="pvp",MIN(Skills!I23,15),Skills!I23)/Skills!H23,1)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Skills!G24*IF(Skills!H24&gt;0,IF(Inputs!$B$38="pvp",MIN(Skills!I24,15),Skills!I24)/Skills!H24,1)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Skills!G25*IF(Skills!H25&gt;0,IF(Inputs!$B$38="pvp",MIN(Skills!I25,15),Skills!I25)/Skills!H25,1)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Skills!G26*IF(Skills!H26&gt;0,IF(Inputs!$B$38="pvp",MIN(Skills!I26,15),Skills!I26)/Skills!H26,1)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Skills!G27*IF(Skills!H27&gt;0,IF(Inputs!$B$38="pvp",MIN(Skills!I27,15),Skills!I27)/Skills!H27,1)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Skills!G28*IF(Skills!H28&gt;0,IF(Inputs!$B$38="pvp",MIN(Skills!I28,15),Skills!I28)/Skills!H28,1)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Skills!G29*IF(Skills!H29&gt;0,IF(Inputs!$B$38="pvp",MIN(Skills!I29,15),Skills!I29)/Skills!H29,1)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MIN((Skills!T15*(1+Inputs!$B$34/100)),(1/Q3295))+MIN((Skills!T15*(1+Inputs!$B$34/100)),MAX(0,Inputs!$B$43-((R3295-1)*(1/Q3295)))))/Inputs!$B$43),IF(Inputs!$B$38="pvp",MIN((Skills!T15*(1+Inputs!$B$34/100)),15)/15,MIN(1,(Skills!T15*(1+Inputs!$B$34/100))/(1/Q3295)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t="n">
        <v>0</v>
      </c>
    </row>
    <row r="3313">
      <c r="A3313" t="inlineStr">
        <is>
          <t>Attack Speed Buff Bonus %</t>
        </is>
      </c>
      <c r="B3313">
        <f>((C3298=TRUE)*F3298*IF(AND(Inputs!$B$38&lt;&gt;"pvp",Inputs!$B$43&gt;0),(((R3298-1)*MIN((Skills!T18*(1+Inputs!$B$34/100)),(1/Q3298))+MIN((Skills!T18*(1+Inputs!$B$34/100)),MAX(0,Inputs!$B$43-((R3298-1)*(1/Q3298)))))/Inputs!$B$43),IF(Inputs!$B$38="pvp",MIN((Skills!T18*(1+Inputs!$B$34/100)),15)/15,MIN(1,(Skills!T18*(1+Inputs!$B$34/100))/(1/Q3298)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MIN((Skills!T16*(1+Inputs!$B$34/100)),(1/Q3296))+MIN((Skills!T16*(1+Inputs!$B$34/100)),MAX(0,Inputs!$B$43-((R3296-1)*(1/Q3296)))))/Inputs!$B$43),IF(Inputs!$B$38="pvp",MIN((Skills!T16*(1+Inputs!$B$34/100)),15)/15,MIN(1,(Skills!T16*(1+Inputs!$B$34/100))/(1/Q3296)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Marksman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2026-10-22T15:47:15Z</dcterms:created>
  <dcterms:modified xsi:type="dcterms:W3CDTF">2026-10-22T15:47:15Z</dcterms:modified>
</cp:coreProperties>
</file>